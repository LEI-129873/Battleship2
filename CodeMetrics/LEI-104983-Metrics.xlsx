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34D73ECA-6E03-4137-A7B8-FFF359C097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I-104983-Metrics" sheetId="1" r:id="rId1"/>
    <sheet name="System" sheetId="2" r:id="rId2"/>
    <sheet name="Package" sheetId="3" r:id="rId3"/>
    <sheet name="Class" sheetId="4" r:id="rId4"/>
    <sheet name="Method" sheetId="5" r:id="rId5"/>
  </sheets>
  <definedNames>
    <definedName name="_xlnm._FilterDatabase" localSheetId="3" hidden="1">Class!$A$5:$AE$45</definedName>
    <definedName name="_xlnm._FilterDatabase" localSheetId="0" hidden="1">'LEI-104983-Metrics'!$A$2:$P$4622</definedName>
    <definedName name="_xlnm._FilterDatabase" localSheetId="4" hidden="1">Method!$A$5:$X$236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6" i="5" l="1"/>
  <c r="AF236" i="5" s="1"/>
  <c r="AB236" i="5"/>
  <c r="AE236" i="5" s="1"/>
  <c r="AA236" i="5"/>
  <c r="AD236" i="5" s="1"/>
  <c r="AG236" i="5" s="1"/>
  <c r="Z236" i="5"/>
  <c r="AC235" i="5"/>
  <c r="AF235" i="5" s="1"/>
  <c r="AB235" i="5"/>
  <c r="AE235" i="5" s="1"/>
  <c r="AA235" i="5"/>
  <c r="AD235" i="5" s="1"/>
  <c r="AG235" i="5" s="1"/>
  <c r="Z235" i="5"/>
  <c r="AC234" i="5"/>
  <c r="AF234" i="5" s="1"/>
  <c r="AB234" i="5"/>
  <c r="AE234" i="5" s="1"/>
  <c r="AA234" i="5"/>
  <c r="AD234" i="5" s="1"/>
  <c r="AG234" i="5" s="1"/>
  <c r="Z234" i="5"/>
  <c r="AC233" i="5"/>
  <c r="AF233" i="5" s="1"/>
  <c r="AB233" i="5"/>
  <c r="AE233" i="5" s="1"/>
  <c r="AA233" i="5"/>
  <c r="AD233" i="5" s="1"/>
  <c r="AG233" i="5" s="1"/>
  <c r="Z233" i="5"/>
  <c r="AC232" i="5"/>
  <c r="AF232" i="5" s="1"/>
  <c r="AB232" i="5"/>
  <c r="AE232" i="5" s="1"/>
  <c r="AA232" i="5"/>
  <c r="AD232" i="5" s="1"/>
  <c r="AG232" i="5" s="1"/>
  <c r="Z232" i="5"/>
  <c r="AC231" i="5"/>
  <c r="AF231" i="5" s="1"/>
  <c r="AB231" i="5"/>
  <c r="AE231" i="5" s="1"/>
  <c r="AA231" i="5"/>
  <c r="AD231" i="5" s="1"/>
  <c r="AG231" i="5" s="1"/>
  <c r="Z231" i="5"/>
  <c r="AC230" i="5"/>
  <c r="AF230" i="5" s="1"/>
  <c r="AB230" i="5"/>
  <c r="AE230" i="5" s="1"/>
  <c r="AA230" i="5"/>
  <c r="AD230" i="5" s="1"/>
  <c r="AG230" i="5" s="1"/>
  <c r="Z230" i="5"/>
  <c r="AC229" i="5"/>
  <c r="AF229" i="5" s="1"/>
  <c r="AB229" i="5"/>
  <c r="AE229" i="5" s="1"/>
  <c r="AA229" i="5"/>
  <c r="AD229" i="5" s="1"/>
  <c r="AG229" i="5" s="1"/>
  <c r="Z229" i="5"/>
  <c r="AC228" i="5"/>
  <c r="AF228" i="5" s="1"/>
  <c r="AB228" i="5"/>
  <c r="AE228" i="5" s="1"/>
  <c r="AA228" i="5"/>
  <c r="AD228" i="5" s="1"/>
  <c r="AG228" i="5" s="1"/>
  <c r="Z228" i="5"/>
  <c r="AC227" i="5"/>
  <c r="AF227" i="5" s="1"/>
  <c r="AB227" i="5"/>
  <c r="AE227" i="5" s="1"/>
  <c r="AA227" i="5"/>
  <c r="AD227" i="5" s="1"/>
  <c r="AG227" i="5" s="1"/>
  <c r="Z227" i="5"/>
  <c r="AC226" i="5"/>
  <c r="AF226" i="5" s="1"/>
  <c r="AB226" i="5"/>
  <c r="AE226" i="5" s="1"/>
  <c r="AA226" i="5"/>
  <c r="AD226" i="5" s="1"/>
  <c r="AG226" i="5" s="1"/>
  <c r="Z226" i="5"/>
  <c r="AC225" i="5"/>
  <c r="AF225" i="5" s="1"/>
  <c r="AB225" i="5"/>
  <c r="AE225" i="5" s="1"/>
  <c r="AA225" i="5"/>
  <c r="AD225" i="5" s="1"/>
  <c r="AG225" i="5" s="1"/>
  <c r="Z225" i="5"/>
  <c r="AC224" i="5"/>
  <c r="AF224" i="5" s="1"/>
  <c r="AB224" i="5"/>
  <c r="AE224" i="5" s="1"/>
  <c r="AA224" i="5"/>
  <c r="AD224" i="5" s="1"/>
  <c r="AG224" i="5" s="1"/>
  <c r="Z224" i="5"/>
  <c r="AC223" i="5"/>
  <c r="AF223" i="5" s="1"/>
  <c r="AB223" i="5"/>
  <c r="AE223" i="5" s="1"/>
  <c r="AA223" i="5"/>
  <c r="AD223" i="5" s="1"/>
  <c r="AG223" i="5" s="1"/>
  <c r="Z223" i="5"/>
  <c r="AC222" i="5"/>
  <c r="AF222" i="5" s="1"/>
  <c r="AB222" i="5"/>
  <c r="AE222" i="5" s="1"/>
  <c r="AA222" i="5"/>
  <c r="AD222" i="5" s="1"/>
  <c r="AG222" i="5" s="1"/>
  <c r="Z222" i="5"/>
  <c r="AC221" i="5"/>
  <c r="AF221" i="5" s="1"/>
  <c r="AB221" i="5"/>
  <c r="AE221" i="5" s="1"/>
  <c r="AA221" i="5"/>
  <c r="AD221" i="5" s="1"/>
  <c r="AG221" i="5" s="1"/>
  <c r="Z221" i="5"/>
  <c r="AC220" i="5"/>
  <c r="AF220" i="5" s="1"/>
  <c r="AB220" i="5"/>
  <c r="AE220" i="5" s="1"/>
  <c r="AA220" i="5"/>
  <c r="AD220" i="5" s="1"/>
  <c r="AG220" i="5" s="1"/>
  <c r="Z220" i="5"/>
  <c r="AC219" i="5"/>
  <c r="AF219" i="5" s="1"/>
  <c r="AB219" i="5"/>
  <c r="AE219" i="5" s="1"/>
  <c r="AA219" i="5"/>
  <c r="AD219" i="5" s="1"/>
  <c r="AG219" i="5" s="1"/>
  <c r="Z219" i="5"/>
  <c r="AC218" i="5"/>
  <c r="AF218" i="5" s="1"/>
  <c r="AB218" i="5"/>
  <c r="AE218" i="5" s="1"/>
  <c r="AA218" i="5"/>
  <c r="AD218" i="5" s="1"/>
  <c r="AG218" i="5" s="1"/>
  <c r="Z218" i="5"/>
  <c r="AC217" i="5"/>
  <c r="AB217" i="5"/>
  <c r="AE217" i="5" s="1"/>
  <c r="AA217" i="5"/>
  <c r="AD217" i="5" s="1"/>
  <c r="Z217" i="5"/>
  <c r="AC216" i="5"/>
  <c r="AF216" i="5" s="1"/>
  <c r="AB216" i="5"/>
  <c r="AE216" i="5" s="1"/>
  <c r="AA216" i="5"/>
  <c r="AD216" i="5" s="1"/>
  <c r="AG216" i="5" s="1"/>
  <c r="Z216" i="5"/>
  <c r="AC215" i="5"/>
  <c r="AF215" i="5" s="1"/>
  <c r="AB215" i="5"/>
  <c r="AE215" i="5" s="1"/>
  <c r="AA215" i="5"/>
  <c r="AD215" i="5" s="1"/>
  <c r="AG215" i="5" s="1"/>
  <c r="Z215" i="5"/>
  <c r="AC214" i="5"/>
  <c r="AF214" i="5" s="1"/>
  <c r="AB214" i="5"/>
  <c r="AE214" i="5" s="1"/>
  <c r="AA214" i="5"/>
  <c r="AD214" i="5" s="1"/>
  <c r="AG214" i="5" s="1"/>
  <c r="Z214" i="5"/>
  <c r="AC213" i="5"/>
  <c r="AF213" i="5" s="1"/>
  <c r="AB213" i="5"/>
  <c r="AE213" i="5" s="1"/>
  <c r="AA213" i="5"/>
  <c r="AD213" i="5" s="1"/>
  <c r="AG213" i="5" s="1"/>
  <c r="Z213" i="5"/>
  <c r="AC212" i="5"/>
  <c r="AF212" i="5" s="1"/>
  <c r="AB212" i="5"/>
  <c r="AE212" i="5" s="1"/>
  <c r="AA212" i="5"/>
  <c r="AD212" i="5" s="1"/>
  <c r="AG212" i="5" s="1"/>
  <c r="Z212" i="5"/>
  <c r="AC211" i="5"/>
  <c r="AF211" i="5" s="1"/>
  <c r="AB211" i="5"/>
  <c r="AE211" i="5" s="1"/>
  <c r="AA211" i="5"/>
  <c r="AD211" i="5" s="1"/>
  <c r="AG211" i="5" s="1"/>
  <c r="Z211" i="5"/>
  <c r="AC210" i="5"/>
  <c r="AF210" i="5" s="1"/>
  <c r="AB210" i="5"/>
  <c r="AE210" i="5" s="1"/>
  <c r="AA210" i="5"/>
  <c r="AD210" i="5" s="1"/>
  <c r="Z210" i="5"/>
  <c r="AC209" i="5"/>
  <c r="AF209" i="5" s="1"/>
  <c r="AB209" i="5"/>
  <c r="AE209" i="5" s="1"/>
  <c r="AA209" i="5"/>
  <c r="AD209" i="5" s="1"/>
  <c r="AG209" i="5" s="1"/>
  <c r="Z209" i="5"/>
  <c r="AC208" i="5"/>
  <c r="AF208" i="5" s="1"/>
  <c r="AB208" i="5"/>
  <c r="AE208" i="5" s="1"/>
  <c r="AA208" i="5"/>
  <c r="AD208" i="5" s="1"/>
  <c r="AG208" i="5" s="1"/>
  <c r="Z208" i="5"/>
  <c r="AC207" i="5"/>
  <c r="AF207" i="5" s="1"/>
  <c r="AB207" i="5"/>
  <c r="AE207" i="5" s="1"/>
  <c r="AA207" i="5"/>
  <c r="AD207" i="5" s="1"/>
  <c r="Z207" i="5"/>
  <c r="AC206" i="5"/>
  <c r="AF206" i="5" s="1"/>
  <c r="AB206" i="5"/>
  <c r="AE206" i="5" s="1"/>
  <c r="AA206" i="5"/>
  <c r="AD206" i="5" s="1"/>
  <c r="AG206" i="5" s="1"/>
  <c r="Z206" i="5"/>
  <c r="AC205" i="5"/>
  <c r="AF205" i="5" s="1"/>
  <c r="AB205" i="5"/>
  <c r="AE205" i="5" s="1"/>
  <c r="AA205" i="5"/>
  <c r="AD205" i="5" s="1"/>
  <c r="AG205" i="5" s="1"/>
  <c r="Z205" i="5"/>
  <c r="AC204" i="5"/>
  <c r="AF204" i="5" s="1"/>
  <c r="AB204" i="5"/>
  <c r="AE204" i="5" s="1"/>
  <c r="AA204" i="5"/>
  <c r="AD204" i="5" s="1"/>
  <c r="AG204" i="5" s="1"/>
  <c r="Z204" i="5"/>
  <c r="AC203" i="5"/>
  <c r="AF203" i="5" s="1"/>
  <c r="AB203" i="5"/>
  <c r="AE203" i="5" s="1"/>
  <c r="AA203" i="5"/>
  <c r="AD203" i="5" s="1"/>
  <c r="AG203" i="5" s="1"/>
  <c r="Z203" i="5"/>
  <c r="AC202" i="5"/>
  <c r="AF202" i="5" s="1"/>
  <c r="AB202" i="5"/>
  <c r="AE202" i="5" s="1"/>
  <c r="AA202" i="5"/>
  <c r="AD202" i="5" s="1"/>
  <c r="AG202" i="5" s="1"/>
  <c r="Z202" i="5"/>
  <c r="AC201" i="5"/>
  <c r="AF201" i="5" s="1"/>
  <c r="AB201" i="5"/>
  <c r="AE201" i="5" s="1"/>
  <c r="AA201" i="5"/>
  <c r="AD201" i="5" s="1"/>
  <c r="AG201" i="5" s="1"/>
  <c r="Z201" i="5"/>
  <c r="AC200" i="5"/>
  <c r="AF200" i="5" s="1"/>
  <c r="AB200" i="5"/>
  <c r="AE200" i="5" s="1"/>
  <c r="AA200" i="5"/>
  <c r="AD200" i="5" s="1"/>
  <c r="AG200" i="5" s="1"/>
  <c r="Z200" i="5"/>
  <c r="AC199" i="5"/>
  <c r="AF199" i="5" s="1"/>
  <c r="AB199" i="5"/>
  <c r="AE199" i="5" s="1"/>
  <c r="AA199" i="5"/>
  <c r="AD199" i="5" s="1"/>
  <c r="AG199" i="5" s="1"/>
  <c r="Z199" i="5"/>
  <c r="AC198" i="5"/>
  <c r="AB198" i="5"/>
  <c r="AA198" i="5"/>
  <c r="Z198" i="5"/>
  <c r="AC197" i="5"/>
  <c r="AF197" i="5" s="1"/>
  <c r="AB197" i="5"/>
  <c r="AE197" i="5" s="1"/>
  <c r="AA197" i="5"/>
  <c r="AD197" i="5" s="1"/>
  <c r="AG197" i="5" s="1"/>
  <c r="Z197" i="5"/>
  <c r="AC196" i="5"/>
  <c r="AF196" i="5" s="1"/>
  <c r="AB196" i="5"/>
  <c r="AE196" i="5" s="1"/>
  <c r="AA196" i="5"/>
  <c r="AD196" i="5" s="1"/>
  <c r="AG196" i="5" s="1"/>
  <c r="Z196" i="5"/>
  <c r="AC195" i="5"/>
  <c r="AF195" i="5" s="1"/>
  <c r="AB195" i="5"/>
  <c r="AE195" i="5" s="1"/>
  <c r="AA195" i="5"/>
  <c r="AD195" i="5" s="1"/>
  <c r="AG195" i="5" s="1"/>
  <c r="Z195" i="5"/>
  <c r="AC194" i="5"/>
  <c r="AF194" i="5" s="1"/>
  <c r="AB194" i="5"/>
  <c r="AE194" i="5" s="1"/>
  <c r="AA194" i="5"/>
  <c r="AD194" i="5" s="1"/>
  <c r="AG194" i="5" s="1"/>
  <c r="Z194" i="5"/>
  <c r="AC193" i="5"/>
  <c r="AF193" i="5" s="1"/>
  <c r="AB193" i="5"/>
  <c r="AE193" i="5" s="1"/>
  <c r="AA193" i="5"/>
  <c r="AD193" i="5" s="1"/>
  <c r="AG193" i="5" s="1"/>
  <c r="Z193" i="5"/>
  <c r="AC192" i="5"/>
  <c r="AF192" i="5" s="1"/>
  <c r="AB192" i="5"/>
  <c r="AE192" i="5" s="1"/>
  <c r="AA192" i="5"/>
  <c r="AD192" i="5" s="1"/>
  <c r="AG192" i="5" s="1"/>
  <c r="Z192" i="5"/>
  <c r="AC191" i="5"/>
  <c r="AF191" i="5" s="1"/>
  <c r="AB191" i="5"/>
  <c r="AE191" i="5" s="1"/>
  <c r="AA191" i="5"/>
  <c r="AD191" i="5" s="1"/>
  <c r="AG191" i="5" s="1"/>
  <c r="Z191" i="5"/>
  <c r="AC190" i="5"/>
  <c r="AF190" i="5" s="1"/>
  <c r="AB190" i="5"/>
  <c r="AE190" i="5" s="1"/>
  <c r="AA190" i="5"/>
  <c r="AD190" i="5" s="1"/>
  <c r="AG190" i="5" s="1"/>
  <c r="Z190" i="5"/>
  <c r="AC189" i="5"/>
  <c r="AF189" i="5" s="1"/>
  <c r="AB189" i="5"/>
  <c r="AE189" i="5" s="1"/>
  <c r="AA189" i="5"/>
  <c r="AD189" i="5" s="1"/>
  <c r="AG189" i="5" s="1"/>
  <c r="Z189" i="5"/>
  <c r="AC188" i="5"/>
  <c r="AF188" i="5" s="1"/>
  <c r="AB188" i="5"/>
  <c r="AE188" i="5" s="1"/>
  <c r="AA188" i="5"/>
  <c r="AD188" i="5" s="1"/>
  <c r="AG188" i="5" s="1"/>
  <c r="Z188" i="5"/>
  <c r="AC187" i="5"/>
  <c r="AF187" i="5" s="1"/>
  <c r="AB187" i="5"/>
  <c r="AE187" i="5" s="1"/>
  <c r="AA187" i="5"/>
  <c r="AD187" i="5" s="1"/>
  <c r="AG187" i="5" s="1"/>
  <c r="Z187" i="5"/>
  <c r="AC186" i="5"/>
  <c r="AF186" i="5" s="1"/>
  <c r="AB186" i="5"/>
  <c r="AE186" i="5" s="1"/>
  <c r="AA186" i="5"/>
  <c r="AD186" i="5" s="1"/>
  <c r="AG186" i="5" s="1"/>
  <c r="Z186" i="5"/>
  <c r="AC185" i="5"/>
  <c r="AF185" i="5" s="1"/>
  <c r="AB185" i="5"/>
  <c r="AE185" i="5" s="1"/>
  <c r="AA185" i="5"/>
  <c r="AD185" i="5" s="1"/>
  <c r="AG185" i="5" s="1"/>
  <c r="Z185" i="5"/>
  <c r="AC184" i="5"/>
  <c r="AF184" i="5" s="1"/>
  <c r="AB184" i="5"/>
  <c r="AE184" i="5" s="1"/>
  <c r="AA184" i="5"/>
  <c r="AD184" i="5" s="1"/>
  <c r="AG184" i="5" s="1"/>
  <c r="Z184" i="5"/>
  <c r="AC183" i="5"/>
  <c r="AF183" i="5" s="1"/>
  <c r="AB183" i="5"/>
  <c r="AE183" i="5" s="1"/>
  <c r="AA183" i="5"/>
  <c r="AD183" i="5" s="1"/>
  <c r="AG183" i="5" s="1"/>
  <c r="Z183" i="5"/>
  <c r="AC182" i="5"/>
  <c r="AF182" i="5" s="1"/>
  <c r="AB182" i="5"/>
  <c r="AE182" i="5" s="1"/>
  <c r="AA182" i="5"/>
  <c r="AD182" i="5" s="1"/>
  <c r="AG182" i="5" s="1"/>
  <c r="Z182" i="5"/>
  <c r="AC181" i="5"/>
  <c r="AF181" i="5" s="1"/>
  <c r="AB181" i="5"/>
  <c r="AE181" i="5" s="1"/>
  <c r="AA181" i="5"/>
  <c r="AD181" i="5" s="1"/>
  <c r="AG181" i="5" s="1"/>
  <c r="Z181" i="5"/>
  <c r="AC180" i="5"/>
  <c r="AF180" i="5" s="1"/>
  <c r="AB180" i="5"/>
  <c r="AE180" i="5" s="1"/>
  <c r="AA180" i="5"/>
  <c r="AD180" i="5" s="1"/>
  <c r="AG180" i="5" s="1"/>
  <c r="Z180" i="5"/>
  <c r="AC179" i="5"/>
  <c r="AF179" i="5" s="1"/>
  <c r="AB179" i="5"/>
  <c r="AE179" i="5" s="1"/>
  <c r="AA179" i="5"/>
  <c r="Z179" i="5"/>
  <c r="AC178" i="5"/>
  <c r="AF178" i="5" s="1"/>
  <c r="AB178" i="5"/>
  <c r="AE178" i="5" s="1"/>
  <c r="AA178" i="5"/>
  <c r="AD178" i="5" s="1"/>
  <c r="AG178" i="5" s="1"/>
  <c r="Z178" i="5"/>
  <c r="AC177" i="5"/>
  <c r="AF177" i="5" s="1"/>
  <c r="AB177" i="5"/>
  <c r="AE177" i="5" s="1"/>
  <c r="AA177" i="5"/>
  <c r="AD177" i="5" s="1"/>
  <c r="AG177" i="5" s="1"/>
  <c r="Z177" i="5"/>
  <c r="AC176" i="5"/>
  <c r="AF176" i="5" s="1"/>
  <c r="AB176" i="5"/>
  <c r="AE176" i="5" s="1"/>
  <c r="AA176" i="5"/>
  <c r="AD176" i="5" s="1"/>
  <c r="AG176" i="5" s="1"/>
  <c r="Z176" i="5"/>
  <c r="AC175" i="5"/>
  <c r="AF175" i="5" s="1"/>
  <c r="AB175" i="5"/>
  <c r="AE175" i="5" s="1"/>
  <c r="AA175" i="5"/>
  <c r="AD175" i="5" s="1"/>
  <c r="AG175" i="5" s="1"/>
  <c r="Z175" i="5"/>
  <c r="AC174" i="5"/>
  <c r="AF174" i="5" s="1"/>
  <c r="AB174" i="5"/>
  <c r="AE174" i="5" s="1"/>
  <c r="AA174" i="5"/>
  <c r="AD174" i="5" s="1"/>
  <c r="AG174" i="5" s="1"/>
  <c r="Z174" i="5"/>
  <c r="AC173" i="5"/>
  <c r="AF173" i="5" s="1"/>
  <c r="AB173" i="5"/>
  <c r="AE173" i="5" s="1"/>
  <c r="AA173" i="5"/>
  <c r="AD173" i="5" s="1"/>
  <c r="AG173" i="5" s="1"/>
  <c r="Z173" i="5"/>
  <c r="AC172" i="5"/>
  <c r="AF172" i="5" s="1"/>
  <c r="AB172" i="5"/>
  <c r="AE172" i="5" s="1"/>
  <c r="AA172" i="5"/>
  <c r="AD172" i="5" s="1"/>
  <c r="AG172" i="5" s="1"/>
  <c r="Z172" i="5"/>
  <c r="AC171" i="5"/>
  <c r="AF171" i="5" s="1"/>
  <c r="AB171" i="5"/>
  <c r="AE171" i="5" s="1"/>
  <c r="AA171" i="5"/>
  <c r="AD171" i="5" s="1"/>
  <c r="AG171" i="5" s="1"/>
  <c r="Z171" i="5"/>
  <c r="AC170" i="5"/>
  <c r="AF170" i="5" s="1"/>
  <c r="AB170" i="5"/>
  <c r="AE170" i="5" s="1"/>
  <c r="AA170" i="5"/>
  <c r="AD170" i="5" s="1"/>
  <c r="AG170" i="5" s="1"/>
  <c r="Z170" i="5"/>
  <c r="AC169" i="5"/>
  <c r="AF169" i="5" s="1"/>
  <c r="AB169" i="5"/>
  <c r="AE169" i="5" s="1"/>
  <c r="AA169" i="5"/>
  <c r="AD169" i="5" s="1"/>
  <c r="AG169" i="5" s="1"/>
  <c r="Z169" i="5"/>
  <c r="AC168" i="5"/>
  <c r="AF168" i="5" s="1"/>
  <c r="AB168" i="5"/>
  <c r="AE168" i="5" s="1"/>
  <c r="AA168" i="5"/>
  <c r="AD168" i="5" s="1"/>
  <c r="AG168" i="5" s="1"/>
  <c r="Z168" i="5"/>
  <c r="AC167" i="5"/>
  <c r="AF167" i="5" s="1"/>
  <c r="AB167" i="5"/>
  <c r="AE167" i="5" s="1"/>
  <c r="AA167" i="5"/>
  <c r="AD167" i="5" s="1"/>
  <c r="AG167" i="5" s="1"/>
  <c r="Z167" i="5"/>
  <c r="AC166" i="5"/>
  <c r="AF166" i="5" s="1"/>
  <c r="AB166" i="5"/>
  <c r="AE166" i="5" s="1"/>
  <c r="AA166" i="5"/>
  <c r="AD166" i="5" s="1"/>
  <c r="AG166" i="5" s="1"/>
  <c r="Z166" i="5"/>
  <c r="AC165" i="5"/>
  <c r="AF165" i="5" s="1"/>
  <c r="AB165" i="5"/>
  <c r="AE165" i="5" s="1"/>
  <c r="AA165" i="5"/>
  <c r="AD165" i="5" s="1"/>
  <c r="AG165" i="5" s="1"/>
  <c r="Z165" i="5"/>
  <c r="AC164" i="5"/>
  <c r="AF164" i="5" s="1"/>
  <c r="AB164" i="5"/>
  <c r="AE164" i="5" s="1"/>
  <c r="AA164" i="5"/>
  <c r="AD164" i="5" s="1"/>
  <c r="AG164" i="5" s="1"/>
  <c r="Z164" i="5"/>
  <c r="AC163" i="5"/>
  <c r="AF163" i="5" s="1"/>
  <c r="AB163" i="5"/>
  <c r="AE163" i="5" s="1"/>
  <c r="AA163" i="5"/>
  <c r="AD163" i="5" s="1"/>
  <c r="AG163" i="5" s="1"/>
  <c r="Z163" i="5"/>
  <c r="AC162" i="5"/>
  <c r="AF162" i="5" s="1"/>
  <c r="AB162" i="5"/>
  <c r="AE162" i="5" s="1"/>
  <c r="AA162" i="5"/>
  <c r="AD162" i="5" s="1"/>
  <c r="AG162" i="5" s="1"/>
  <c r="Z162" i="5"/>
  <c r="AC161" i="5"/>
  <c r="AF161" i="5" s="1"/>
  <c r="AB161" i="5"/>
  <c r="AE161" i="5" s="1"/>
  <c r="AA161" i="5"/>
  <c r="AD161" i="5" s="1"/>
  <c r="AG161" i="5" s="1"/>
  <c r="Z161" i="5"/>
  <c r="AC160" i="5"/>
  <c r="AF160" i="5" s="1"/>
  <c r="AB160" i="5"/>
  <c r="AE160" i="5" s="1"/>
  <c r="AA160" i="5"/>
  <c r="AD160" i="5" s="1"/>
  <c r="AG160" i="5" s="1"/>
  <c r="Z160" i="5"/>
  <c r="AC159" i="5"/>
  <c r="AF159" i="5" s="1"/>
  <c r="AB159" i="5"/>
  <c r="AE159" i="5" s="1"/>
  <c r="AA159" i="5"/>
  <c r="AD159" i="5" s="1"/>
  <c r="AG159" i="5" s="1"/>
  <c r="Z159" i="5"/>
  <c r="AC158" i="5"/>
  <c r="AF158" i="5" s="1"/>
  <c r="AB158" i="5"/>
  <c r="AE158" i="5" s="1"/>
  <c r="AA158" i="5"/>
  <c r="AD158" i="5" s="1"/>
  <c r="AG158" i="5" s="1"/>
  <c r="Z158" i="5"/>
  <c r="AC157" i="5"/>
  <c r="AF157" i="5" s="1"/>
  <c r="AB157" i="5"/>
  <c r="AE157" i="5" s="1"/>
  <c r="AA157" i="5"/>
  <c r="Z157" i="5"/>
  <c r="AC156" i="5"/>
  <c r="AF156" i="5" s="1"/>
  <c r="AB156" i="5"/>
  <c r="AE156" i="5" s="1"/>
  <c r="AA156" i="5"/>
  <c r="AD156" i="5" s="1"/>
  <c r="AG156" i="5" s="1"/>
  <c r="Z156" i="5"/>
  <c r="AC155" i="5"/>
  <c r="AF155" i="5" s="1"/>
  <c r="AB155" i="5"/>
  <c r="AE155" i="5" s="1"/>
  <c r="AA155" i="5"/>
  <c r="AD155" i="5" s="1"/>
  <c r="AG155" i="5" s="1"/>
  <c r="Z155" i="5"/>
  <c r="AC154" i="5"/>
  <c r="AF154" i="5" s="1"/>
  <c r="AB154" i="5"/>
  <c r="AE154" i="5" s="1"/>
  <c r="AA154" i="5"/>
  <c r="AD154" i="5" s="1"/>
  <c r="AG154" i="5" s="1"/>
  <c r="Z154" i="5"/>
  <c r="AC153" i="5"/>
  <c r="AF153" i="5" s="1"/>
  <c r="AB153" i="5"/>
  <c r="AE153" i="5" s="1"/>
  <c r="AA153" i="5"/>
  <c r="AD153" i="5" s="1"/>
  <c r="AG153" i="5" s="1"/>
  <c r="Z153" i="5"/>
  <c r="AC152" i="5"/>
  <c r="AF152" i="5" s="1"/>
  <c r="AB152" i="5"/>
  <c r="AE152" i="5" s="1"/>
  <c r="AA152" i="5"/>
  <c r="AD152" i="5" s="1"/>
  <c r="AG152" i="5" s="1"/>
  <c r="Z152" i="5"/>
  <c r="AC151" i="5"/>
  <c r="AF151" i="5" s="1"/>
  <c r="AB151" i="5"/>
  <c r="AE151" i="5" s="1"/>
  <c r="AA151" i="5"/>
  <c r="AD151" i="5" s="1"/>
  <c r="AG151" i="5" s="1"/>
  <c r="Z151" i="5"/>
  <c r="AC150" i="5"/>
  <c r="AF150" i="5" s="1"/>
  <c r="AB150" i="5"/>
  <c r="AE150" i="5" s="1"/>
  <c r="AA150" i="5"/>
  <c r="AD150" i="5" s="1"/>
  <c r="AG150" i="5" s="1"/>
  <c r="Z150" i="5"/>
  <c r="AC149" i="5"/>
  <c r="AF149" i="5" s="1"/>
  <c r="AB149" i="5"/>
  <c r="AE149" i="5" s="1"/>
  <c r="AA149" i="5"/>
  <c r="AD149" i="5" s="1"/>
  <c r="AG149" i="5" s="1"/>
  <c r="Z149" i="5"/>
  <c r="AC148" i="5"/>
  <c r="AF148" i="5" s="1"/>
  <c r="AB148" i="5"/>
  <c r="AE148" i="5" s="1"/>
  <c r="AA148" i="5"/>
  <c r="AD148" i="5" s="1"/>
  <c r="AG148" i="5" s="1"/>
  <c r="Z148" i="5"/>
  <c r="AC147" i="5"/>
  <c r="AF147" i="5" s="1"/>
  <c r="AB147" i="5"/>
  <c r="AE147" i="5" s="1"/>
  <c r="AA147" i="5"/>
  <c r="AD147" i="5" s="1"/>
  <c r="AG147" i="5" s="1"/>
  <c r="Z147" i="5"/>
  <c r="AC146" i="5"/>
  <c r="AF146" i="5" s="1"/>
  <c r="AB146" i="5"/>
  <c r="AE146" i="5" s="1"/>
  <c r="AA146" i="5"/>
  <c r="AD146" i="5" s="1"/>
  <c r="AG146" i="5" s="1"/>
  <c r="Z146" i="5"/>
  <c r="AC145" i="5"/>
  <c r="AF145" i="5" s="1"/>
  <c r="AB145" i="5"/>
  <c r="AE145" i="5" s="1"/>
  <c r="AA145" i="5"/>
  <c r="AD145" i="5" s="1"/>
  <c r="AG145" i="5" s="1"/>
  <c r="Z145" i="5"/>
  <c r="AC144" i="5"/>
  <c r="AF144" i="5" s="1"/>
  <c r="AB144" i="5"/>
  <c r="AE144" i="5" s="1"/>
  <c r="AA144" i="5"/>
  <c r="AD144" i="5" s="1"/>
  <c r="AG144" i="5" s="1"/>
  <c r="Z144" i="5"/>
  <c r="AC143" i="5"/>
  <c r="AF143" i="5" s="1"/>
  <c r="AB143" i="5"/>
  <c r="AE143" i="5" s="1"/>
  <c r="AA143" i="5"/>
  <c r="AD143" i="5" s="1"/>
  <c r="AG143" i="5" s="1"/>
  <c r="Z143" i="5"/>
  <c r="AC142" i="5"/>
  <c r="AF142" i="5" s="1"/>
  <c r="AB142" i="5"/>
  <c r="AE142" i="5" s="1"/>
  <c r="AA142" i="5"/>
  <c r="AD142" i="5" s="1"/>
  <c r="AG142" i="5" s="1"/>
  <c r="Z142" i="5"/>
  <c r="AC141" i="5"/>
  <c r="AF141" i="5" s="1"/>
  <c r="AB141" i="5"/>
  <c r="AE141" i="5" s="1"/>
  <c r="AA141" i="5"/>
  <c r="AD141" i="5" s="1"/>
  <c r="AG141" i="5" s="1"/>
  <c r="Z141" i="5"/>
  <c r="AC140" i="5"/>
  <c r="AB140" i="5"/>
  <c r="AE140" i="5" s="1"/>
  <c r="AA140" i="5"/>
  <c r="AD140" i="5" s="1"/>
  <c r="Z140" i="5"/>
  <c r="AC139" i="5"/>
  <c r="AF139" i="5" s="1"/>
  <c r="AB139" i="5"/>
  <c r="AE139" i="5" s="1"/>
  <c r="AA139" i="5"/>
  <c r="AD139" i="5" s="1"/>
  <c r="AG139" i="5" s="1"/>
  <c r="Z139" i="5"/>
  <c r="AC138" i="5"/>
  <c r="AF138" i="5" s="1"/>
  <c r="AB138" i="5"/>
  <c r="AE138" i="5" s="1"/>
  <c r="AA138" i="5"/>
  <c r="AD138" i="5" s="1"/>
  <c r="AG138" i="5" s="1"/>
  <c r="Z138" i="5"/>
  <c r="AC137" i="5"/>
  <c r="AF137" i="5" s="1"/>
  <c r="AB137" i="5"/>
  <c r="AE137" i="5" s="1"/>
  <c r="AA137" i="5"/>
  <c r="AD137" i="5" s="1"/>
  <c r="AG137" i="5" s="1"/>
  <c r="Z137" i="5"/>
  <c r="AC136" i="5"/>
  <c r="AF136" i="5" s="1"/>
  <c r="AB136" i="5"/>
  <c r="AE136" i="5" s="1"/>
  <c r="AA136" i="5"/>
  <c r="AD136" i="5" s="1"/>
  <c r="AG136" i="5" s="1"/>
  <c r="Z136" i="5"/>
  <c r="AC135" i="5"/>
  <c r="AF135" i="5" s="1"/>
  <c r="AB135" i="5"/>
  <c r="AE135" i="5" s="1"/>
  <c r="AA135" i="5"/>
  <c r="AD135" i="5" s="1"/>
  <c r="AG135" i="5" s="1"/>
  <c r="Z135" i="5"/>
  <c r="AC134" i="5"/>
  <c r="AF134" i="5" s="1"/>
  <c r="AB134" i="5"/>
  <c r="AE134" i="5" s="1"/>
  <c r="AA134" i="5"/>
  <c r="AD134" i="5" s="1"/>
  <c r="AG134" i="5" s="1"/>
  <c r="Z134" i="5"/>
  <c r="AC133" i="5"/>
  <c r="AF133" i="5" s="1"/>
  <c r="AB133" i="5"/>
  <c r="AE133" i="5" s="1"/>
  <c r="AA133" i="5"/>
  <c r="AD133" i="5" s="1"/>
  <c r="AG133" i="5" s="1"/>
  <c r="Z133" i="5"/>
  <c r="AC132" i="5"/>
  <c r="AF132" i="5" s="1"/>
  <c r="AB132" i="5"/>
  <c r="AE132" i="5" s="1"/>
  <c r="AA132" i="5"/>
  <c r="AD132" i="5" s="1"/>
  <c r="AG132" i="5" s="1"/>
  <c r="Z132" i="5"/>
  <c r="AC131" i="5"/>
  <c r="AF131" i="5" s="1"/>
  <c r="AB131" i="5"/>
  <c r="AE131" i="5" s="1"/>
  <c r="AA131" i="5"/>
  <c r="AD131" i="5" s="1"/>
  <c r="AG131" i="5" s="1"/>
  <c r="Z131" i="5"/>
  <c r="AC130" i="5"/>
  <c r="AF130" i="5" s="1"/>
  <c r="AB130" i="5"/>
  <c r="AE130" i="5" s="1"/>
  <c r="AA130" i="5"/>
  <c r="AD130" i="5" s="1"/>
  <c r="AG130" i="5" s="1"/>
  <c r="Z130" i="5"/>
  <c r="AC129" i="5"/>
  <c r="AF129" i="5" s="1"/>
  <c r="AB129" i="5"/>
  <c r="AE129" i="5" s="1"/>
  <c r="AA129" i="5"/>
  <c r="AD129" i="5" s="1"/>
  <c r="AG129" i="5" s="1"/>
  <c r="Z129" i="5"/>
  <c r="AC128" i="5"/>
  <c r="AF128" i="5" s="1"/>
  <c r="AB128" i="5"/>
  <c r="AE128" i="5" s="1"/>
  <c r="AA128" i="5"/>
  <c r="AD128" i="5" s="1"/>
  <c r="AG128" i="5" s="1"/>
  <c r="Z128" i="5"/>
  <c r="AC127" i="5"/>
  <c r="AF127" i="5" s="1"/>
  <c r="AB127" i="5"/>
  <c r="AE127" i="5" s="1"/>
  <c r="AA127" i="5"/>
  <c r="AD127" i="5" s="1"/>
  <c r="AG127" i="5" s="1"/>
  <c r="Z127" i="5"/>
  <c r="AC126" i="5"/>
  <c r="AF126" i="5" s="1"/>
  <c r="AB126" i="5"/>
  <c r="AE126" i="5" s="1"/>
  <c r="AA126" i="5"/>
  <c r="AD126" i="5" s="1"/>
  <c r="AG126" i="5" s="1"/>
  <c r="Z126" i="5"/>
  <c r="AC125" i="5"/>
  <c r="AF125" i="5" s="1"/>
  <c r="AB125" i="5"/>
  <c r="AE125" i="5" s="1"/>
  <c r="AA125" i="5"/>
  <c r="AD125" i="5" s="1"/>
  <c r="AG125" i="5" s="1"/>
  <c r="Z125" i="5"/>
  <c r="AC124" i="5"/>
  <c r="AF124" i="5" s="1"/>
  <c r="AB124" i="5"/>
  <c r="AE124" i="5" s="1"/>
  <c r="AA124" i="5"/>
  <c r="AD124" i="5" s="1"/>
  <c r="AG124" i="5" s="1"/>
  <c r="Z124" i="5"/>
  <c r="AC123" i="5"/>
  <c r="AF123" i="5" s="1"/>
  <c r="AB123" i="5"/>
  <c r="AE123" i="5" s="1"/>
  <c r="AA123" i="5"/>
  <c r="AD123" i="5" s="1"/>
  <c r="AG123" i="5" s="1"/>
  <c r="Z123" i="5"/>
  <c r="AC122" i="5"/>
  <c r="AF122" i="5" s="1"/>
  <c r="AB122" i="5"/>
  <c r="AE122" i="5" s="1"/>
  <c r="AA122" i="5"/>
  <c r="AD122" i="5" s="1"/>
  <c r="AG122" i="5" s="1"/>
  <c r="Z122" i="5"/>
  <c r="AC121" i="5"/>
  <c r="AB121" i="5"/>
  <c r="AA121" i="5"/>
  <c r="Z121" i="5"/>
  <c r="AC120" i="5"/>
  <c r="AF120" i="5" s="1"/>
  <c r="AB120" i="5"/>
  <c r="AE120" i="5" s="1"/>
  <c r="AA120" i="5"/>
  <c r="AD120" i="5" s="1"/>
  <c r="AG120" i="5" s="1"/>
  <c r="Z120" i="5"/>
  <c r="AC119" i="5"/>
  <c r="AF119" i="5" s="1"/>
  <c r="AB119" i="5"/>
  <c r="AE119" i="5" s="1"/>
  <c r="AA119" i="5"/>
  <c r="AD119" i="5" s="1"/>
  <c r="AG119" i="5" s="1"/>
  <c r="Z119" i="5"/>
  <c r="AC118" i="5"/>
  <c r="AF118" i="5" s="1"/>
  <c r="AB118" i="5"/>
  <c r="AE118" i="5" s="1"/>
  <c r="AA118" i="5"/>
  <c r="AD118" i="5" s="1"/>
  <c r="AG118" i="5" s="1"/>
  <c r="Z118" i="5"/>
  <c r="AC117" i="5"/>
  <c r="AF117" i="5" s="1"/>
  <c r="AB117" i="5"/>
  <c r="AE117" i="5" s="1"/>
  <c r="AA117" i="5"/>
  <c r="AD117" i="5" s="1"/>
  <c r="AG117" i="5" s="1"/>
  <c r="Z117" i="5"/>
  <c r="AC116" i="5"/>
  <c r="AF116" i="5" s="1"/>
  <c r="AB116" i="5"/>
  <c r="AE116" i="5" s="1"/>
  <c r="AA116" i="5"/>
  <c r="AD116" i="5" s="1"/>
  <c r="AG116" i="5" s="1"/>
  <c r="Z116" i="5"/>
  <c r="AC115" i="5"/>
  <c r="AF115" i="5" s="1"/>
  <c r="AB115" i="5"/>
  <c r="AE115" i="5" s="1"/>
  <c r="AA115" i="5"/>
  <c r="AD115" i="5" s="1"/>
  <c r="AG115" i="5" s="1"/>
  <c r="Z115" i="5"/>
  <c r="AC114" i="5"/>
  <c r="AF114" i="5" s="1"/>
  <c r="AB114" i="5"/>
  <c r="AE114" i="5" s="1"/>
  <c r="AA114" i="5"/>
  <c r="AD114" i="5" s="1"/>
  <c r="AG114" i="5" s="1"/>
  <c r="Z114" i="5"/>
  <c r="AC113" i="5"/>
  <c r="AF113" i="5" s="1"/>
  <c r="AB113" i="5"/>
  <c r="AE113" i="5" s="1"/>
  <c r="AA113" i="5"/>
  <c r="AD113" i="5" s="1"/>
  <c r="AG113" i="5" s="1"/>
  <c r="Z113" i="5"/>
  <c r="AC112" i="5"/>
  <c r="AF112" i="5" s="1"/>
  <c r="AB112" i="5"/>
  <c r="AE112" i="5" s="1"/>
  <c r="AA112" i="5"/>
  <c r="AD112" i="5" s="1"/>
  <c r="AG112" i="5" s="1"/>
  <c r="Z112" i="5"/>
  <c r="AC111" i="5"/>
  <c r="AF111" i="5" s="1"/>
  <c r="AB111" i="5"/>
  <c r="AE111" i="5" s="1"/>
  <c r="AA111" i="5"/>
  <c r="AD111" i="5" s="1"/>
  <c r="AG111" i="5" s="1"/>
  <c r="Z111" i="5"/>
  <c r="AC110" i="5"/>
  <c r="AF110" i="5" s="1"/>
  <c r="AB110" i="5"/>
  <c r="AE110" i="5" s="1"/>
  <c r="AA110" i="5"/>
  <c r="AD110" i="5" s="1"/>
  <c r="AG110" i="5" s="1"/>
  <c r="Z110" i="5"/>
  <c r="AC109" i="5"/>
  <c r="AF109" i="5" s="1"/>
  <c r="AB109" i="5"/>
  <c r="AE109" i="5" s="1"/>
  <c r="AA109" i="5"/>
  <c r="AD109" i="5" s="1"/>
  <c r="AG109" i="5" s="1"/>
  <c r="Z109" i="5"/>
  <c r="AC108" i="5"/>
  <c r="AF108" i="5" s="1"/>
  <c r="AB108" i="5"/>
  <c r="AE108" i="5" s="1"/>
  <c r="AA108" i="5"/>
  <c r="AD108" i="5" s="1"/>
  <c r="AG108" i="5" s="1"/>
  <c r="Z108" i="5"/>
  <c r="AC107" i="5"/>
  <c r="AF107" i="5" s="1"/>
  <c r="AB107" i="5"/>
  <c r="AE107" i="5" s="1"/>
  <c r="AA107" i="5"/>
  <c r="AD107" i="5" s="1"/>
  <c r="AG107" i="5" s="1"/>
  <c r="Z107" i="5"/>
  <c r="AC106" i="5"/>
  <c r="AF106" i="5" s="1"/>
  <c r="AB106" i="5"/>
  <c r="AE106" i="5" s="1"/>
  <c r="AA106" i="5"/>
  <c r="AD106" i="5" s="1"/>
  <c r="AG106" i="5" s="1"/>
  <c r="Z106" i="5"/>
  <c r="AC105" i="5"/>
  <c r="AF105" i="5" s="1"/>
  <c r="AB105" i="5"/>
  <c r="AE105" i="5" s="1"/>
  <c r="AA105" i="5"/>
  <c r="AD105" i="5" s="1"/>
  <c r="AG105" i="5" s="1"/>
  <c r="Z105" i="5"/>
  <c r="AC104" i="5"/>
  <c r="AF104" i="5" s="1"/>
  <c r="AB104" i="5"/>
  <c r="AE104" i="5" s="1"/>
  <c r="AA104" i="5"/>
  <c r="AD104" i="5" s="1"/>
  <c r="AG104" i="5" s="1"/>
  <c r="Z104" i="5"/>
  <c r="AC103" i="5"/>
  <c r="AF103" i="5" s="1"/>
  <c r="AB103" i="5"/>
  <c r="AE103" i="5" s="1"/>
  <c r="AA103" i="5"/>
  <c r="AD103" i="5" s="1"/>
  <c r="AG103" i="5" s="1"/>
  <c r="Z103" i="5"/>
  <c r="AC102" i="5"/>
  <c r="AF102" i="5" s="1"/>
  <c r="AB102" i="5"/>
  <c r="AE102" i="5" s="1"/>
  <c r="AA102" i="5"/>
  <c r="Z102" i="5"/>
  <c r="AC101" i="5"/>
  <c r="AF101" i="5" s="1"/>
  <c r="AB101" i="5"/>
  <c r="AE101" i="5" s="1"/>
  <c r="AA101" i="5"/>
  <c r="AD101" i="5" s="1"/>
  <c r="AG101" i="5" s="1"/>
  <c r="Z101" i="5"/>
  <c r="AC100" i="5"/>
  <c r="AF100" i="5" s="1"/>
  <c r="AB100" i="5"/>
  <c r="AE100" i="5" s="1"/>
  <c r="AA100" i="5"/>
  <c r="AD100" i="5" s="1"/>
  <c r="AG100" i="5" s="1"/>
  <c r="Z100" i="5"/>
  <c r="AC99" i="5"/>
  <c r="AF99" i="5" s="1"/>
  <c r="AB99" i="5"/>
  <c r="AE99" i="5" s="1"/>
  <c r="AA99" i="5"/>
  <c r="AD99" i="5" s="1"/>
  <c r="AG99" i="5" s="1"/>
  <c r="Z99" i="5"/>
  <c r="AC98" i="5"/>
  <c r="AF98" i="5" s="1"/>
  <c r="AB98" i="5"/>
  <c r="AE98" i="5" s="1"/>
  <c r="AA98" i="5"/>
  <c r="AD98" i="5" s="1"/>
  <c r="AG98" i="5" s="1"/>
  <c r="Z98" i="5"/>
  <c r="AC97" i="5"/>
  <c r="AF97" i="5" s="1"/>
  <c r="AB97" i="5"/>
  <c r="AE97" i="5" s="1"/>
  <c r="AA97" i="5"/>
  <c r="AD97" i="5" s="1"/>
  <c r="AG97" i="5" s="1"/>
  <c r="Z97" i="5"/>
  <c r="AC96" i="5"/>
  <c r="AF96" i="5" s="1"/>
  <c r="AB96" i="5"/>
  <c r="AE96" i="5" s="1"/>
  <c r="AA96" i="5"/>
  <c r="AD96" i="5" s="1"/>
  <c r="AG96" i="5" s="1"/>
  <c r="Z96" i="5"/>
  <c r="AC95" i="5"/>
  <c r="AF95" i="5" s="1"/>
  <c r="AB95" i="5"/>
  <c r="AE95" i="5" s="1"/>
  <c r="AA95" i="5"/>
  <c r="AD95" i="5" s="1"/>
  <c r="AG95" i="5" s="1"/>
  <c r="Z95" i="5"/>
  <c r="AC94" i="5"/>
  <c r="AF94" i="5" s="1"/>
  <c r="AB94" i="5"/>
  <c r="AE94" i="5" s="1"/>
  <c r="AA94" i="5"/>
  <c r="AD94" i="5" s="1"/>
  <c r="Z94" i="5"/>
  <c r="AC93" i="5"/>
  <c r="AF93" i="5" s="1"/>
  <c r="AB93" i="5"/>
  <c r="AE93" i="5" s="1"/>
  <c r="AA93" i="5"/>
  <c r="AD93" i="5" s="1"/>
  <c r="AG93" i="5" s="1"/>
  <c r="Z93" i="5"/>
  <c r="AC92" i="5"/>
  <c r="AF92" i="5" s="1"/>
  <c r="AB92" i="5"/>
  <c r="AE92" i="5" s="1"/>
  <c r="AA92" i="5"/>
  <c r="AD92" i="5" s="1"/>
  <c r="AG92" i="5" s="1"/>
  <c r="Z92" i="5"/>
  <c r="AC91" i="5"/>
  <c r="AF91" i="5" s="1"/>
  <c r="AB91" i="5"/>
  <c r="AE91" i="5" s="1"/>
  <c r="AA91" i="5"/>
  <c r="AD91" i="5" s="1"/>
  <c r="AG91" i="5" s="1"/>
  <c r="Z91" i="5"/>
  <c r="AC90" i="5"/>
  <c r="AF90" i="5" s="1"/>
  <c r="AB90" i="5"/>
  <c r="AE90" i="5" s="1"/>
  <c r="AA90" i="5"/>
  <c r="AD90" i="5" s="1"/>
  <c r="AG90" i="5" s="1"/>
  <c r="Z90" i="5"/>
  <c r="AC89" i="5"/>
  <c r="AF89" i="5" s="1"/>
  <c r="AB89" i="5"/>
  <c r="AE89" i="5" s="1"/>
  <c r="AA89" i="5"/>
  <c r="AD89" i="5" s="1"/>
  <c r="AG89" i="5" s="1"/>
  <c r="Z89" i="5"/>
  <c r="AC88" i="5"/>
  <c r="AF88" i="5" s="1"/>
  <c r="AB88" i="5"/>
  <c r="AE88" i="5" s="1"/>
  <c r="AA88" i="5"/>
  <c r="AD88" i="5" s="1"/>
  <c r="AG88" i="5" s="1"/>
  <c r="Z88" i="5"/>
  <c r="AC87" i="5"/>
  <c r="AF87" i="5" s="1"/>
  <c r="AB87" i="5"/>
  <c r="AE87" i="5" s="1"/>
  <c r="AA87" i="5"/>
  <c r="AD87" i="5" s="1"/>
  <c r="AG87" i="5" s="1"/>
  <c r="Z87" i="5"/>
  <c r="AC86" i="5"/>
  <c r="AF86" i="5" s="1"/>
  <c r="AB86" i="5"/>
  <c r="AE86" i="5" s="1"/>
  <c r="AA86" i="5"/>
  <c r="Z86" i="5"/>
  <c r="AC85" i="5"/>
  <c r="AF85" i="5" s="1"/>
  <c r="AB85" i="5"/>
  <c r="AE85" i="5" s="1"/>
  <c r="AA85" i="5"/>
  <c r="AD85" i="5" s="1"/>
  <c r="AG85" i="5" s="1"/>
  <c r="Z85" i="5"/>
  <c r="AC84" i="5"/>
  <c r="AF84" i="5" s="1"/>
  <c r="AB84" i="5"/>
  <c r="AE84" i="5" s="1"/>
  <c r="AA84" i="5"/>
  <c r="AD84" i="5" s="1"/>
  <c r="AG84" i="5" s="1"/>
  <c r="Z84" i="5"/>
  <c r="AC83" i="5"/>
  <c r="AF83" i="5" s="1"/>
  <c r="AB83" i="5"/>
  <c r="AE83" i="5" s="1"/>
  <c r="AA83" i="5"/>
  <c r="AD83" i="5" s="1"/>
  <c r="AG83" i="5" s="1"/>
  <c r="Z83" i="5"/>
  <c r="AC82" i="5"/>
  <c r="AF82" i="5" s="1"/>
  <c r="AB82" i="5"/>
  <c r="AE82" i="5" s="1"/>
  <c r="AA82" i="5"/>
  <c r="AD82" i="5" s="1"/>
  <c r="AG82" i="5" s="1"/>
  <c r="Z82" i="5"/>
  <c r="AC81" i="5"/>
  <c r="AF81" i="5" s="1"/>
  <c r="AB81" i="5"/>
  <c r="AE81" i="5" s="1"/>
  <c r="AA81" i="5"/>
  <c r="AD81" i="5" s="1"/>
  <c r="AG81" i="5" s="1"/>
  <c r="Z81" i="5"/>
  <c r="AC80" i="5"/>
  <c r="AF80" i="5" s="1"/>
  <c r="AB80" i="5"/>
  <c r="AE80" i="5" s="1"/>
  <c r="AA80" i="5"/>
  <c r="AD80" i="5" s="1"/>
  <c r="AG80" i="5" s="1"/>
  <c r="Z80" i="5"/>
  <c r="AC79" i="5"/>
  <c r="AF79" i="5" s="1"/>
  <c r="AB79" i="5"/>
  <c r="AE79" i="5" s="1"/>
  <c r="AA79" i="5"/>
  <c r="AD79" i="5" s="1"/>
  <c r="AG79" i="5" s="1"/>
  <c r="Z79" i="5"/>
  <c r="AC78" i="5"/>
  <c r="AF78" i="5" s="1"/>
  <c r="AB78" i="5"/>
  <c r="AE78" i="5" s="1"/>
  <c r="AA78" i="5"/>
  <c r="AD78" i="5" s="1"/>
  <c r="AG78" i="5" s="1"/>
  <c r="Z78" i="5"/>
  <c r="AC77" i="5"/>
  <c r="AF77" i="5" s="1"/>
  <c r="AB77" i="5"/>
  <c r="AE77" i="5" s="1"/>
  <c r="AA77" i="5"/>
  <c r="AD77" i="5" s="1"/>
  <c r="AG77" i="5" s="1"/>
  <c r="Z77" i="5"/>
  <c r="AC76" i="5"/>
  <c r="AF76" i="5" s="1"/>
  <c r="AB76" i="5"/>
  <c r="AE76" i="5" s="1"/>
  <c r="AA76" i="5"/>
  <c r="AD76" i="5" s="1"/>
  <c r="AG76" i="5" s="1"/>
  <c r="Z76" i="5"/>
  <c r="AC75" i="5"/>
  <c r="AF75" i="5" s="1"/>
  <c r="AB75" i="5"/>
  <c r="AE75" i="5" s="1"/>
  <c r="AA75" i="5"/>
  <c r="AD75" i="5" s="1"/>
  <c r="AG75" i="5" s="1"/>
  <c r="Z75" i="5"/>
  <c r="AC74" i="5"/>
  <c r="AF74" i="5" s="1"/>
  <c r="AB74" i="5"/>
  <c r="AE74" i="5" s="1"/>
  <c r="AA74" i="5"/>
  <c r="AD74" i="5" s="1"/>
  <c r="AG74" i="5" s="1"/>
  <c r="Z74" i="5"/>
  <c r="AC73" i="5"/>
  <c r="AF73" i="5" s="1"/>
  <c r="AB73" i="5"/>
  <c r="AE73" i="5" s="1"/>
  <c r="AA73" i="5"/>
  <c r="AD73" i="5" s="1"/>
  <c r="AG73" i="5" s="1"/>
  <c r="Z73" i="5"/>
  <c r="AC72" i="5"/>
  <c r="AF72" i="5" s="1"/>
  <c r="AB72" i="5"/>
  <c r="AE72" i="5" s="1"/>
  <c r="AA72" i="5"/>
  <c r="AD72" i="5" s="1"/>
  <c r="AG72" i="5" s="1"/>
  <c r="Z72" i="5"/>
  <c r="AC71" i="5"/>
  <c r="AF71" i="5" s="1"/>
  <c r="AB71" i="5"/>
  <c r="AE71" i="5" s="1"/>
  <c r="AA71" i="5"/>
  <c r="AD71" i="5" s="1"/>
  <c r="AG71" i="5" s="1"/>
  <c r="Z71" i="5"/>
  <c r="AC70" i="5"/>
  <c r="AF70" i="5" s="1"/>
  <c r="AB70" i="5"/>
  <c r="AE70" i="5" s="1"/>
  <c r="AA70" i="5"/>
  <c r="AD70" i="5" s="1"/>
  <c r="AG70" i="5" s="1"/>
  <c r="Z70" i="5"/>
  <c r="AC69" i="5"/>
  <c r="AF69" i="5" s="1"/>
  <c r="AB69" i="5"/>
  <c r="AE69" i="5" s="1"/>
  <c r="AA69" i="5"/>
  <c r="AD69" i="5" s="1"/>
  <c r="AG69" i="5" s="1"/>
  <c r="Z69" i="5"/>
  <c r="AC68" i="5"/>
  <c r="AF68" i="5" s="1"/>
  <c r="AB68" i="5"/>
  <c r="AE68" i="5" s="1"/>
  <c r="AA68" i="5"/>
  <c r="AD68" i="5" s="1"/>
  <c r="AG68" i="5" s="1"/>
  <c r="Z68" i="5"/>
  <c r="AC67" i="5"/>
  <c r="AF67" i="5" s="1"/>
  <c r="AB67" i="5"/>
  <c r="AE67" i="5" s="1"/>
  <c r="AA67" i="5"/>
  <c r="AD67" i="5" s="1"/>
  <c r="AG67" i="5" s="1"/>
  <c r="Z67" i="5"/>
  <c r="AC66" i="5"/>
  <c r="AF66" i="5" s="1"/>
  <c r="AB66" i="5"/>
  <c r="AE66" i="5" s="1"/>
  <c r="AA66" i="5"/>
  <c r="AD66" i="5" s="1"/>
  <c r="AG66" i="5" s="1"/>
  <c r="Z66" i="5"/>
  <c r="AC65" i="5"/>
  <c r="AF65" i="5" s="1"/>
  <c r="AB65" i="5"/>
  <c r="AE65" i="5" s="1"/>
  <c r="AA65" i="5"/>
  <c r="AD65" i="5" s="1"/>
  <c r="AG65" i="5" s="1"/>
  <c r="Z65" i="5"/>
  <c r="AC64" i="5"/>
  <c r="AF64" i="5" s="1"/>
  <c r="AB64" i="5"/>
  <c r="AE64" i="5" s="1"/>
  <c r="AA64" i="5"/>
  <c r="Z64" i="5"/>
  <c r="AC63" i="5"/>
  <c r="AB63" i="5"/>
  <c r="AE63" i="5" s="1"/>
  <c r="AA63" i="5"/>
  <c r="AD63" i="5" s="1"/>
  <c r="Z63" i="5"/>
  <c r="AC62" i="5"/>
  <c r="AF62" i="5" s="1"/>
  <c r="AB62" i="5"/>
  <c r="AE62" i="5" s="1"/>
  <c r="AA62" i="5"/>
  <c r="AD62" i="5" s="1"/>
  <c r="AG62" i="5" s="1"/>
  <c r="Z62" i="5"/>
  <c r="AC61" i="5"/>
  <c r="AF61" i="5" s="1"/>
  <c r="AB61" i="5"/>
  <c r="AE61" i="5" s="1"/>
  <c r="AA61" i="5"/>
  <c r="AD61" i="5" s="1"/>
  <c r="AG61" i="5" s="1"/>
  <c r="Z61" i="5"/>
  <c r="AC60" i="5"/>
  <c r="AF60" i="5" s="1"/>
  <c r="AB60" i="5"/>
  <c r="AE60" i="5" s="1"/>
  <c r="AA60" i="5"/>
  <c r="AD60" i="5" s="1"/>
  <c r="AG60" i="5" s="1"/>
  <c r="Z60" i="5"/>
  <c r="AC59" i="5"/>
  <c r="AF59" i="5" s="1"/>
  <c r="AB59" i="5"/>
  <c r="AE59" i="5" s="1"/>
  <c r="AA59" i="5"/>
  <c r="AD59" i="5" s="1"/>
  <c r="AG59" i="5" s="1"/>
  <c r="Z59" i="5"/>
  <c r="AC58" i="5"/>
  <c r="AF58" i="5" s="1"/>
  <c r="AB58" i="5"/>
  <c r="AE58" i="5" s="1"/>
  <c r="AA58" i="5"/>
  <c r="AD58" i="5" s="1"/>
  <c r="AG58" i="5" s="1"/>
  <c r="Z58" i="5"/>
  <c r="AC57" i="5"/>
  <c r="AF57" i="5" s="1"/>
  <c r="AB57" i="5"/>
  <c r="AE57" i="5" s="1"/>
  <c r="AA57" i="5"/>
  <c r="AD57" i="5" s="1"/>
  <c r="AG57" i="5" s="1"/>
  <c r="Z57" i="5"/>
  <c r="AC56" i="5"/>
  <c r="AF56" i="5" s="1"/>
  <c r="AB56" i="5"/>
  <c r="AE56" i="5" s="1"/>
  <c r="AA56" i="5"/>
  <c r="AD56" i="5" s="1"/>
  <c r="AG56" i="5" s="1"/>
  <c r="Z56" i="5"/>
  <c r="AC55" i="5"/>
  <c r="AF55" i="5" s="1"/>
  <c r="AB55" i="5"/>
  <c r="AE55" i="5" s="1"/>
  <c r="AA55" i="5"/>
  <c r="AD55" i="5" s="1"/>
  <c r="AG55" i="5" s="1"/>
  <c r="Z55" i="5"/>
  <c r="AC54" i="5"/>
  <c r="AF54" i="5" s="1"/>
  <c r="AB54" i="5"/>
  <c r="AE54" i="5" s="1"/>
  <c r="AA54" i="5"/>
  <c r="AD54" i="5" s="1"/>
  <c r="AG54" i="5" s="1"/>
  <c r="Z54" i="5"/>
  <c r="AC53" i="5"/>
  <c r="AF53" i="5" s="1"/>
  <c r="AB53" i="5"/>
  <c r="AE53" i="5" s="1"/>
  <c r="AA53" i="5"/>
  <c r="AD53" i="5" s="1"/>
  <c r="AG53" i="5" s="1"/>
  <c r="Z53" i="5"/>
  <c r="AC52" i="5"/>
  <c r="AF52" i="5" s="1"/>
  <c r="AB52" i="5"/>
  <c r="AE52" i="5" s="1"/>
  <c r="AA52" i="5"/>
  <c r="AD52" i="5" s="1"/>
  <c r="AG52" i="5" s="1"/>
  <c r="Z52" i="5"/>
  <c r="AC51" i="5"/>
  <c r="AF51" i="5" s="1"/>
  <c r="AB51" i="5"/>
  <c r="AE51" i="5" s="1"/>
  <c r="AA51" i="5"/>
  <c r="AD51" i="5" s="1"/>
  <c r="AG51" i="5" s="1"/>
  <c r="Z51" i="5"/>
  <c r="AC50" i="5"/>
  <c r="AF50" i="5" s="1"/>
  <c r="AB50" i="5"/>
  <c r="AE50" i="5" s="1"/>
  <c r="AA50" i="5"/>
  <c r="AD50" i="5" s="1"/>
  <c r="AG50" i="5" s="1"/>
  <c r="Z50" i="5"/>
  <c r="AC49" i="5"/>
  <c r="AF49" i="5" s="1"/>
  <c r="AB49" i="5"/>
  <c r="AE49" i="5" s="1"/>
  <c r="AA49" i="5"/>
  <c r="AD49" i="5" s="1"/>
  <c r="AG49" i="5" s="1"/>
  <c r="Z49" i="5"/>
  <c r="AC48" i="5"/>
  <c r="AF48" i="5" s="1"/>
  <c r="AB48" i="5"/>
  <c r="AE48" i="5" s="1"/>
  <c r="AA48" i="5"/>
  <c r="AD48" i="5" s="1"/>
  <c r="AG48" i="5" s="1"/>
  <c r="Z48" i="5"/>
  <c r="AC47" i="5"/>
  <c r="AF47" i="5" s="1"/>
  <c r="AB47" i="5"/>
  <c r="AE47" i="5" s="1"/>
  <c r="AA47" i="5"/>
  <c r="AD47" i="5" s="1"/>
  <c r="AG47" i="5" s="1"/>
  <c r="Z47" i="5"/>
  <c r="AC46" i="5"/>
  <c r="AF46" i="5" s="1"/>
  <c r="AB46" i="5"/>
  <c r="AE46" i="5" s="1"/>
  <c r="AA46" i="5"/>
  <c r="AD46" i="5" s="1"/>
  <c r="AG46" i="5" s="1"/>
  <c r="Z46" i="5"/>
  <c r="AC45" i="5"/>
  <c r="AF45" i="5" s="1"/>
  <c r="AB45" i="5"/>
  <c r="AE45" i="5" s="1"/>
  <c r="AA45" i="5"/>
  <c r="AD45" i="5" s="1"/>
  <c r="AG45" i="5" s="1"/>
  <c r="Z45" i="5"/>
  <c r="AF44" i="5"/>
  <c r="AC44" i="5"/>
  <c r="AB44" i="5"/>
  <c r="AA44" i="5"/>
  <c r="Z44" i="5"/>
  <c r="AC43" i="5"/>
  <c r="AF43" i="5" s="1"/>
  <c r="AB43" i="5"/>
  <c r="AE43" i="5" s="1"/>
  <c r="AA43" i="5"/>
  <c r="AD43" i="5" s="1"/>
  <c r="AG43" i="5" s="1"/>
  <c r="Z43" i="5"/>
  <c r="AC42" i="5"/>
  <c r="AF42" i="5" s="1"/>
  <c r="AB42" i="5"/>
  <c r="AE42" i="5" s="1"/>
  <c r="AA42" i="5"/>
  <c r="AD42" i="5" s="1"/>
  <c r="AG42" i="5" s="1"/>
  <c r="Z42" i="5"/>
  <c r="AC41" i="5"/>
  <c r="AF41" i="5" s="1"/>
  <c r="AB41" i="5"/>
  <c r="AE41" i="5" s="1"/>
  <c r="AA41" i="5"/>
  <c r="AD41" i="5" s="1"/>
  <c r="AG41" i="5" s="1"/>
  <c r="Z41" i="5"/>
  <c r="AC40" i="5"/>
  <c r="AF40" i="5" s="1"/>
  <c r="AB40" i="5"/>
  <c r="AE40" i="5" s="1"/>
  <c r="AA40" i="5"/>
  <c r="AD40" i="5" s="1"/>
  <c r="AG40" i="5" s="1"/>
  <c r="Z40" i="5"/>
  <c r="AC39" i="5"/>
  <c r="AF39" i="5" s="1"/>
  <c r="AB39" i="5"/>
  <c r="AE39" i="5" s="1"/>
  <c r="AA39" i="5"/>
  <c r="AD39" i="5" s="1"/>
  <c r="AG39" i="5" s="1"/>
  <c r="Z39" i="5"/>
  <c r="AC38" i="5"/>
  <c r="AF38" i="5" s="1"/>
  <c r="AB38" i="5"/>
  <c r="AE38" i="5" s="1"/>
  <c r="AA38" i="5"/>
  <c r="AD38" i="5" s="1"/>
  <c r="AG38" i="5" s="1"/>
  <c r="Z38" i="5"/>
  <c r="AC37" i="5"/>
  <c r="AF37" i="5" s="1"/>
  <c r="AB37" i="5"/>
  <c r="AE37" i="5" s="1"/>
  <c r="AA37" i="5"/>
  <c r="AD37" i="5" s="1"/>
  <c r="AG37" i="5" s="1"/>
  <c r="Z37" i="5"/>
  <c r="AC36" i="5"/>
  <c r="AF36" i="5" s="1"/>
  <c r="AB36" i="5"/>
  <c r="AE36" i="5" s="1"/>
  <c r="AA36" i="5"/>
  <c r="AD36" i="5" s="1"/>
  <c r="AG36" i="5" s="1"/>
  <c r="Z36" i="5"/>
  <c r="AC35" i="5"/>
  <c r="AF35" i="5" s="1"/>
  <c r="AB35" i="5"/>
  <c r="AE35" i="5" s="1"/>
  <c r="AA35" i="5"/>
  <c r="AD35" i="5" s="1"/>
  <c r="AG35" i="5" s="1"/>
  <c r="Z35" i="5"/>
  <c r="AC34" i="5"/>
  <c r="AF34" i="5" s="1"/>
  <c r="AB34" i="5"/>
  <c r="AE34" i="5" s="1"/>
  <c r="AA34" i="5"/>
  <c r="AD34" i="5" s="1"/>
  <c r="AG34" i="5" s="1"/>
  <c r="Z34" i="5"/>
  <c r="AC33" i="5"/>
  <c r="AF33" i="5" s="1"/>
  <c r="AB33" i="5"/>
  <c r="AE33" i="5" s="1"/>
  <c r="AA33" i="5"/>
  <c r="AD33" i="5" s="1"/>
  <c r="AG33" i="5" s="1"/>
  <c r="Z33" i="5"/>
  <c r="AC32" i="5"/>
  <c r="AF32" i="5" s="1"/>
  <c r="AB32" i="5"/>
  <c r="AE32" i="5" s="1"/>
  <c r="AA32" i="5"/>
  <c r="AD32" i="5" s="1"/>
  <c r="AG32" i="5" s="1"/>
  <c r="Z32" i="5"/>
  <c r="AC31" i="5"/>
  <c r="AF31" i="5" s="1"/>
  <c r="AB31" i="5"/>
  <c r="AE31" i="5" s="1"/>
  <c r="AA31" i="5"/>
  <c r="AD31" i="5" s="1"/>
  <c r="AG31" i="5" s="1"/>
  <c r="Z31" i="5"/>
  <c r="AC30" i="5"/>
  <c r="AF30" i="5" s="1"/>
  <c r="AB30" i="5"/>
  <c r="AE30" i="5" s="1"/>
  <c r="AA30" i="5"/>
  <c r="AD30" i="5" s="1"/>
  <c r="AG30" i="5" s="1"/>
  <c r="Z30" i="5"/>
  <c r="AC29" i="5"/>
  <c r="AF29" i="5" s="1"/>
  <c r="AB29" i="5"/>
  <c r="AE29" i="5" s="1"/>
  <c r="AA29" i="5"/>
  <c r="AD29" i="5" s="1"/>
  <c r="AG29" i="5" s="1"/>
  <c r="Z29" i="5"/>
  <c r="AC28" i="5"/>
  <c r="AF28" i="5" s="1"/>
  <c r="AB28" i="5"/>
  <c r="AE28" i="5" s="1"/>
  <c r="AA28" i="5"/>
  <c r="AD28" i="5" s="1"/>
  <c r="AG28" i="5" s="1"/>
  <c r="Z28" i="5"/>
  <c r="AC27" i="5"/>
  <c r="AF27" i="5" s="1"/>
  <c r="AB27" i="5"/>
  <c r="AE27" i="5" s="1"/>
  <c r="AA27" i="5"/>
  <c r="AD27" i="5" s="1"/>
  <c r="AG27" i="5" s="1"/>
  <c r="Z27" i="5"/>
  <c r="AC26" i="5"/>
  <c r="AF26" i="5" s="1"/>
  <c r="AB26" i="5"/>
  <c r="AE26" i="5" s="1"/>
  <c r="AA26" i="5"/>
  <c r="AD26" i="5" s="1"/>
  <c r="AG26" i="5" s="1"/>
  <c r="Z26" i="5"/>
  <c r="AD25" i="5"/>
  <c r="AC25" i="5"/>
  <c r="AB25" i="5"/>
  <c r="AA25" i="5"/>
  <c r="Z25" i="5"/>
  <c r="AC24" i="5"/>
  <c r="AF24" i="5" s="1"/>
  <c r="AB24" i="5"/>
  <c r="AE24" i="5" s="1"/>
  <c r="AA24" i="5"/>
  <c r="AD24" i="5" s="1"/>
  <c r="AG24" i="5" s="1"/>
  <c r="Z24" i="5"/>
  <c r="AC23" i="5"/>
  <c r="AF23" i="5" s="1"/>
  <c r="AB23" i="5"/>
  <c r="AE23" i="5" s="1"/>
  <c r="AA23" i="5"/>
  <c r="AD23" i="5" s="1"/>
  <c r="AG23" i="5" s="1"/>
  <c r="Z23" i="5"/>
  <c r="AC22" i="5"/>
  <c r="AF22" i="5" s="1"/>
  <c r="AB22" i="5"/>
  <c r="AE22" i="5" s="1"/>
  <c r="AA22" i="5"/>
  <c r="AD22" i="5" s="1"/>
  <c r="AG22" i="5" s="1"/>
  <c r="Z22" i="5"/>
  <c r="AC21" i="5"/>
  <c r="AF21" i="5" s="1"/>
  <c r="AB21" i="5"/>
  <c r="AE21" i="5" s="1"/>
  <c r="AA21" i="5"/>
  <c r="AD21" i="5" s="1"/>
  <c r="AG21" i="5" s="1"/>
  <c r="Z21" i="5"/>
  <c r="AC20" i="5"/>
  <c r="AF20" i="5" s="1"/>
  <c r="AB20" i="5"/>
  <c r="AE20" i="5" s="1"/>
  <c r="AA20" i="5"/>
  <c r="AD20" i="5" s="1"/>
  <c r="AG20" i="5" s="1"/>
  <c r="Z20" i="5"/>
  <c r="AC19" i="5"/>
  <c r="AF19" i="5" s="1"/>
  <c r="AB19" i="5"/>
  <c r="AE19" i="5" s="1"/>
  <c r="AA19" i="5"/>
  <c r="AD19" i="5" s="1"/>
  <c r="AG19" i="5" s="1"/>
  <c r="Z19" i="5"/>
  <c r="AC18" i="5"/>
  <c r="AF18" i="5" s="1"/>
  <c r="AB18" i="5"/>
  <c r="AE18" i="5" s="1"/>
  <c r="AA18" i="5"/>
  <c r="AD18" i="5" s="1"/>
  <c r="AG18" i="5" s="1"/>
  <c r="Z18" i="5"/>
  <c r="AC17" i="5"/>
  <c r="AF17" i="5" s="1"/>
  <c r="AB17" i="5"/>
  <c r="AE17" i="5" s="1"/>
  <c r="AA17" i="5"/>
  <c r="AD17" i="5" s="1"/>
  <c r="AG17" i="5" s="1"/>
  <c r="Z17" i="5"/>
  <c r="AC16" i="5"/>
  <c r="AF16" i="5" s="1"/>
  <c r="AB16" i="5"/>
  <c r="AE16" i="5" s="1"/>
  <c r="AA16" i="5"/>
  <c r="AD16" i="5" s="1"/>
  <c r="AG16" i="5" s="1"/>
  <c r="Z16" i="5"/>
  <c r="AC15" i="5"/>
  <c r="AF15" i="5" s="1"/>
  <c r="AB15" i="5"/>
  <c r="AE15" i="5" s="1"/>
  <c r="AA15" i="5"/>
  <c r="AD15" i="5" s="1"/>
  <c r="AG15" i="5" s="1"/>
  <c r="Z15" i="5"/>
  <c r="AC14" i="5"/>
  <c r="AF14" i="5" s="1"/>
  <c r="AB14" i="5"/>
  <c r="AE14" i="5" s="1"/>
  <c r="AA14" i="5"/>
  <c r="AD14" i="5" s="1"/>
  <c r="AG14" i="5" s="1"/>
  <c r="Z14" i="5"/>
  <c r="AC13" i="5"/>
  <c r="AF13" i="5" s="1"/>
  <c r="AB13" i="5"/>
  <c r="AE13" i="5" s="1"/>
  <c r="AA13" i="5"/>
  <c r="AD13" i="5" s="1"/>
  <c r="AG13" i="5" s="1"/>
  <c r="Z13" i="5"/>
  <c r="AC12" i="5"/>
  <c r="AF12" i="5" s="1"/>
  <c r="AB12" i="5"/>
  <c r="AE12" i="5" s="1"/>
  <c r="AA12" i="5"/>
  <c r="AD12" i="5" s="1"/>
  <c r="AG12" i="5" s="1"/>
  <c r="Z12" i="5"/>
  <c r="AC11" i="5"/>
  <c r="AF11" i="5" s="1"/>
  <c r="AB11" i="5"/>
  <c r="AE11" i="5" s="1"/>
  <c r="AA11" i="5"/>
  <c r="AD11" i="5" s="1"/>
  <c r="Z11" i="5"/>
  <c r="AC10" i="5"/>
  <c r="AF10" i="5" s="1"/>
  <c r="AB10" i="5"/>
  <c r="AE10" i="5" s="1"/>
  <c r="AA10" i="5"/>
  <c r="AD10" i="5" s="1"/>
  <c r="AG10" i="5" s="1"/>
  <c r="Z10" i="5"/>
  <c r="AC9" i="5"/>
  <c r="AF9" i="5" s="1"/>
  <c r="AB9" i="5"/>
  <c r="AE9" i="5" s="1"/>
  <c r="AA9" i="5"/>
  <c r="AD9" i="5" s="1"/>
  <c r="AG9" i="5" s="1"/>
  <c r="Z9" i="5"/>
  <c r="AC8" i="5"/>
  <c r="AF8" i="5" s="1"/>
  <c r="AB8" i="5"/>
  <c r="AE8" i="5" s="1"/>
  <c r="AA8" i="5"/>
  <c r="AD8" i="5" s="1"/>
  <c r="Z8" i="5"/>
  <c r="AC7" i="5"/>
  <c r="AF7" i="5" s="1"/>
  <c r="AB7" i="5"/>
  <c r="AE7" i="5" s="1"/>
  <c r="AA7" i="5"/>
  <c r="AD7" i="5" s="1"/>
  <c r="AG7" i="5" s="1"/>
  <c r="Z7" i="5"/>
  <c r="AC6" i="5"/>
  <c r="AF6" i="5" s="1"/>
  <c r="AB6" i="5"/>
  <c r="AE6" i="5" s="1"/>
  <c r="AA6" i="5"/>
  <c r="AD6" i="5" s="1"/>
  <c r="AG6" i="5" s="1"/>
  <c r="Z6" i="5"/>
  <c r="AD86" i="5" l="1"/>
  <c r="AG86" i="5" s="1"/>
  <c r="AD44" i="5"/>
  <c r="AD64" i="5"/>
  <c r="AG64" i="5" s="1"/>
  <c r="AD179" i="5"/>
  <c r="AG179" i="5" s="1"/>
  <c r="AD198" i="5"/>
  <c r="AD121" i="5"/>
  <c r="AD102" i="5"/>
  <c r="AG102" i="5" s="1"/>
  <c r="AD157" i="5"/>
  <c r="AG157" i="5" s="1"/>
  <c r="AF63" i="5"/>
  <c r="AG63" i="5" s="1"/>
  <c r="AF140" i="5"/>
  <c r="AG140" i="5" s="1"/>
  <c r="AF198" i="5"/>
  <c r="AF217" i="5"/>
  <c r="AG217" i="5" s="1"/>
  <c r="AF25" i="5"/>
  <c r="AF121" i="5"/>
  <c r="AE198" i="5"/>
  <c r="AE44" i="5"/>
  <c r="AE25" i="5"/>
  <c r="AE121" i="5"/>
  <c r="AG8" i="5"/>
  <c r="AG94" i="5"/>
  <c r="AG11" i="5"/>
  <c r="AG210" i="5"/>
  <c r="AG207" i="5"/>
  <c r="AG44" i="5" l="1"/>
  <c r="AG198" i="5"/>
  <c r="AG121" i="5"/>
  <c r="AG25" i="5"/>
</calcChain>
</file>

<file path=xl/sharedStrings.xml><?xml version="1.0" encoding="utf-8"?>
<sst xmlns="http://schemas.openxmlformats.org/spreadsheetml/2006/main" count="24183" uniqueCount="608">
  <si>
    <t>Métricas ao nível do Sistema (projeto BattleShip2)</t>
  </si>
  <si>
    <t>Métricas ao nível do Pacote</t>
  </si>
  <si>
    <t>SISTEMA (A–C)</t>
  </si>
  <si>
    <t>Fonte: export XML do MetricsTree (colunas A–C da folha base).</t>
  </si>
  <si>
    <t>Fonte: colunas D–G da folha base. Cores segundo os limiares do MetricsTree para Ca e Ce.</t>
  </si>
  <si>
    <t>Legenda (limiares MetricsTree, Fig. 1):</t>
  </si>
  <si>
    <t>Descrição</t>
  </si>
  <si>
    <t>&gt; Regular</t>
  </si>
  <si>
    <t>Métrica</t>
  </si>
  <si>
    <t>Valor</t>
  </si>
  <si>
    <t>Attribute Hiding Factor</t>
  </si>
  <si>
    <t>PACOTE (D–G)</t>
  </si>
  <si>
    <t>&gt; High</t>
  </si>
  <si>
    <t>AHF</t>
  </si>
  <si>
    <t>&gt; Very-high</t>
  </si>
  <si>
    <t>CLASSE (H–K)</t>
  </si>
  <si>
    <t>Attribute Inheritance Factor</t>
  </si>
  <si>
    <t>MÉTODO (L–P)</t>
  </si>
  <si>
    <t>Abstractness</t>
  </si>
  <si>
    <t>AIF</t>
  </si>
  <si>
    <t>Afferent Coupling</t>
  </si>
  <si>
    <t>Efferent Coupling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</si>
  <si>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</si>
  <si>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</si>
  <si>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</si>
  <si>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</si>
  <si>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</si>
  <si>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</si>
  <si>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Instability</t>
  </si>
  <si>
    <t>Lines Of Code</t>
  </si>
  <si>
    <t>Maintainability Index</t>
  </si>
  <si>
    <t>Non-Commenting Source Statements</t>
  </si>
  <si>
    <t>Normalized Distance From Main Sequence</t>
  </si>
  <si>
    <t>Coupling Factor</t>
  </si>
  <si>
    <t>Number Of Abstract Classes</t>
  </si>
  <si>
    <t>CF</t>
  </si>
  <si>
    <t>Pacote</t>
  </si>
  <si>
    <t>Number Of Concrete Classes</t>
  </si>
  <si>
    <t>Effectiveness</t>
  </si>
  <si>
    <t>Number Of Interfaces</t>
  </si>
  <si>
    <t>Number Of Static Classes</t>
  </si>
  <si>
    <t>Extendibility</t>
  </si>
  <si>
    <t>Classe</t>
  </si>
  <si>
    <t>Flexibility</t>
  </si>
  <si>
    <t>Functionality</t>
  </si>
  <si>
    <t>Método</t>
  </si>
  <si>
    <t>PRHD</t>
  </si>
  <si>
    <t>PRCHEF</t>
  </si>
  <si>
    <t>PRCHER</t>
  </si>
  <si>
    <t>PRCHL</t>
  </si>
  <si>
    <t>battleship</t>
  </si>
  <si>
    <t>PRCHVC</t>
  </si>
  <si>
    <t>A</t>
  </si>
  <si>
    <t>Ca</t>
  </si>
  <si>
    <t>Ce</t>
  </si>
  <si>
    <t>Barge</t>
  </si>
  <si>
    <t>PAHD</t>
  </si>
  <si>
    <t>PACHEF</t>
  </si>
  <si>
    <t>Access To Foreign Data</t>
  </si>
  <si>
    <t>PACHER</t>
  </si>
  <si>
    <t>ATFD</t>
  </si>
  <si>
    <t>PACHL</t>
  </si>
  <si>
    <t>PACHVC</t>
  </si>
  <si>
    <t>PRHVL</t>
  </si>
  <si>
    <t>PAHVL</t>
  </si>
  <si>
    <t>I</t>
  </si>
  <si>
    <t>PLOC</t>
  </si>
  <si>
    <t>PAMI</t>
  </si>
  <si>
    <t>PNCSS</t>
  </si>
  <si>
    <t>D</t>
  </si>
  <si>
    <t>Barge(Compass, IPosition)</t>
  </si>
  <si>
    <t>PNOAC</t>
  </si>
  <si>
    <t>Cognitive Complexity</t>
  </si>
  <si>
    <t>PNOCC</t>
  </si>
  <si>
    <t>PRMI</t>
  </si>
  <si>
    <t>CCM</t>
  </si>
  <si>
    <t>PNOI</t>
  </si>
  <si>
    <t>PNOSC</t>
  </si>
  <si>
    <t>Method Hiding Factor</t>
  </si>
  <si>
    <t>MHF</t>
  </si>
  <si>
    <t>Method Inheritance Factor</t>
  </si>
  <si>
    <t>MIF</t>
  </si>
  <si>
    <t>CCC</t>
  </si>
  <si>
    <t>Condition Nesting Depth</t>
  </si>
  <si>
    <t>CND</t>
  </si>
  <si>
    <t>Coupling Between Objects</t>
  </si>
  <si>
    <t>CBO</t>
  </si>
  <si>
    <t>Polymorphism Factor</t>
  </si>
  <si>
    <t>Coupling Dispersion</t>
  </si>
  <si>
    <t>PF</t>
  </si>
  <si>
    <t>CDISP</t>
  </si>
  <si>
    <t>Reusability</t>
  </si>
  <si>
    <t>Understandability</t>
  </si>
  <si>
    <t>Data Abstraction Coupling</t>
  </si>
  <si>
    <t>DAC</t>
  </si>
  <si>
    <t>restserver</t>
  </si>
  <si>
    <t>Coupling Intensity</t>
  </si>
  <si>
    <t>CINT</t>
  </si>
  <si>
    <t>Depth Of Inheritance Tree</t>
  </si>
  <si>
    <t>DIT</t>
  </si>
  <si>
    <t>Foreign Data Providers</t>
  </si>
  <si>
    <t>FDP</t>
  </si>
  <si>
    <t>Métricas ao nível da Classe</t>
  </si>
  <si>
    <t>CHD</t>
  </si>
  <si>
    <t>HD</t>
  </si>
  <si>
    <t>Fonte: colunas H–K da folha base. Classes internas como Exterior.Interior.</t>
  </si>
  <si>
    <t>CHEF</t>
  </si>
  <si>
    <t>HEF</t>
  </si>
  <si>
    <t>CHER</t>
  </si>
  <si>
    <t>HER</t>
  </si>
  <si>
    <t>CHL</t>
  </si>
  <si>
    <t>HL</t>
  </si>
  <si>
    <t>CHVC</t>
  </si>
  <si>
    <t>HVC</t>
  </si>
  <si>
    <t>CHVL</t>
  </si>
  <si>
    <t>Lack Of Cohesion Of Methods</t>
  </si>
  <si>
    <t>Lines of Code</t>
  </si>
  <si>
    <t>HVL</t>
  </si>
  <si>
    <t>Message Passing Coupling</t>
  </si>
  <si>
    <t>Number Of Accessor Methods</t>
  </si>
  <si>
    <t>Number Of Added Methods</t>
  </si>
  <si>
    <t>LCOM</t>
  </si>
  <si>
    <t>Number Of Attributes</t>
  </si>
  <si>
    <t>Number Of Attributes And Methods</t>
  </si>
  <si>
    <t>Number Of Children</t>
  </si>
  <si>
    <t>LOC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</si>
  <si>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</si>
  <si>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</si>
  <si>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</si>
  <si>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</si>
  <si>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</si>
  <si>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</si>
  <si>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CLOC</t>
  </si>
  <si>
    <t>Weight Of A Class</t>
  </si>
  <si>
    <t>Weighted Methods Per Class</t>
  </si>
  <si>
    <t>Locality Of Attribute Accesses</t>
  </si>
  <si>
    <t>LAA</t>
  </si>
  <si>
    <t>CMI</t>
  </si>
  <si>
    <t>Loop Nesting Depth</t>
  </si>
  <si>
    <t>LND</t>
  </si>
  <si>
    <t>MPC</t>
  </si>
  <si>
    <t>NCSS</t>
  </si>
  <si>
    <t>NOAC</t>
  </si>
  <si>
    <t>NOAM</t>
  </si>
  <si>
    <t>NOA</t>
  </si>
  <si>
    <t>SIZE2</t>
  </si>
  <si>
    <t>NOC</t>
  </si>
  <si>
    <t>NOM</t>
  </si>
  <si>
    <t>MMI</t>
  </si>
  <si>
    <t>NOO</t>
  </si>
  <si>
    <t>NOOM</t>
  </si>
  <si>
    <t>NOPA</t>
  </si>
  <si>
    <t>RFC</t>
  </si>
  <si>
    <t>TCC</t>
  </si>
  <si>
    <t>WOC</t>
  </si>
  <si>
    <t>WMC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</si>
  <si>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</si>
  <si>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</si>
  <si>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</si>
  <si>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</si>
  <si>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</si>
  <si>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</si>
  <si>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</si>
  <si>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</si>
  <si>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BoardPanel</t>
  </si>
  <si>
    <t>Number Of Parameters</t>
  </si>
  <si>
    <t>NOPM</t>
  </si>
  <si>
    <t>BoardPanel()</t>
  </si>
  <si>
    <t>BoardState</t>
  </si>
  <si>
    <t>N/A</t>
  </si>
  <si>
    <t>Caravel</t>
  </si>
  <si>
    <t>Carrack</t>
  </si>
  <si>
    <t>CellState</t>
  </si>
  <si>
    <t>∞</t>
  </si>
  <si>
    <t>Compass</t>
  </si>
  <si>
    <t>Fleet</t>
  </si>
  <si>
    <t>Frigate</t>
  </si>
  <si>
    <t>Galleon</t>
  </si>
  <si>
    <t>Game</t>
  </si>
  <si>
    <t>drawCell(Graphics2D, CellState, int, int, int)</t>
  </si>
  <si>
    <t>GamePDFExporter</t>
  </si>
  <si>
    <t>GameWindow</t>
  </si>
  <si>
    <t>GameWindow.CellIcon</t>
  </si>
  <si>
    <t>I18n</t>
  </si>
  <si>
    <t>IFleet</t>
  </si>
  <si>
    <t>IGame</t>
  </si>
  <si>
    <t>drawCoordinates(Graphics2D)</t>
  </si>
  <si>
    <t>IGame.ShotResult</t>
  </si>
  <si>
    <t>IMove</t>
  </si>
  <si>
    <t>IPosition</t>
  </si>
  <si>
    <t>IShip</t>
  </si>
  <si>
    <t>Main</t>
  </si>
  <si>
    <t>Move</t>
  </si>
  <si>
    <t>paintComponent(Graphics)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</si>
  <si>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</si>
  <si>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</si>
  <si>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</si>
  <si>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</si>
  <si>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</si>
  <si>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</si>
  <si>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</si>
  <si>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setCells(CellState[][])</t>
  </si>
  <si>
    <t>Dtos.ErrorResponse</t>
  </si>
  <si>
    <t>Dtos.RegistrationRequest</t>
  </si>
  <si>
    <t>Dtos.RegistrationResponse</t>
  </si>
  <si>
    <t>Dtos.ShotPosition</t>
  </si>
  <si>
    <t>Dtos.ShotRequest</t>
  </si>
  <si>
    <t>BoardState()</t>
  </si>
  <si>
    <t>Dtos.ShotResponse</t>
  </si>
  <si>
    <t>Dtos.ShotResult</t>
  </si>
  <si>
    <t>GameController</t>
  </si>
  <si>
    <t>GameRegistry</t>
  </si>
  <si>
    <t>GameSession</t>
  </si>
  <si>
    <t>emptyBoard()</t>
  </si>
  <si>
    <t>opponentBoard(List&lt;IMove&gt;)</t>
  </si>
  <si>
    <t>ownBoard(IFleet, List&lt;IMove&gt;)</t>
  </si>
  <si>
    <t>set(CellState[][], IPosition, CellState)</t>
  </si>
  <si>
    <t>Caravel(Compass, IPosition)</t>
  </si>
  <si>
    <t>Carrack(Compass, IPosition)</t>
  </si>
  <si>
    <t>CellState(char)</t>
  </si>
  <si>
    <t>getSymbol()</t>
  </si>
  <si>
    <t>valueOf(String)</t>
  </si>
  <si>
    <t>NaN</t>
  </si>
  <si>
    <t>values()</t>
  </si>
  <si>
    <t>Compass(char)</t>
  </si>
  <si>
    <t>charToCompass(char)</t>
  </si>
  <si>
    <t>getDirection()</t>
  </si>
  <si>
    <t>randomBearing()</t>
  </si>
  <si>
    <t>Fonte: colunas L em diante da folha base. Gráfico 1 (ponto 9): CC por método. Gráfico 2 (ponto 10): CC + NOPM + LOC normalizados para [0,1], áreas empilhadas.</t>
  </si>
  <si>
    <t>toString()</t>
  </si>
  <si>
    <t>Normalização min-max para [0,1]:  x' = (x − mín) / (máx − mín)  — ordenado pela soma (decrescente)</t>
  </si>
  <si>
    <t>Etiqueta (Classe.método)</t>
  </si>
  <si>
    <t>CC norm.</t>
  </si>
  <si>
    <t>NOPM norm.</t>
  </si>
  <si>
    <t>LOC norm.</t>
  </si>
  <si>
    <t>Soma</t>
  </si>
  <si>
    <t>processEnemyFire(boolean)</t>
  </si>
  <si>
    <t>Move.processEnemyFire</t>
  </si>
  <si>
    <t>menu()</t>
  </si>
  <si>
    <t>Tasks.menu</t>
  </si>
  <si>
    <t>Fleet()</t>
  </si>
  <si>
    <t>addShip(IShip)</t>
  </si>
  <si>
    <t>computeShots(IGame)</t>
  </si>
  <si>
    <t>AiShotStrategy.computeShots</t>
  </si>
  <si>
    <t>receiveShots(String, ShotRequest)</t>
  </si>
  <si>
    <t>GameController.receiveShots</t>
  </si>
  <si>
    <t>colisionRisk(IShip)</t>
  </si>
  <si>
    <t>BoardState.opponentBoard</t>
  </si>
  <si>
    <t>createRandom()</t>
  </si>
  <si>
    <t>randomEnemyFire()</t>
  </si>
  <si>
    <t>Game.randomEnemyFire</t>
  </si>
  <si>
    <t>getFloatingShips()</t>
  </si>
  <si>
    <t>BoardState.ownBoard</t>
  </si>
  <si>
    <t>getShips()</t>
  </si>
  <si>
    <t>getHitButNotSunkPositions(IGame, Set&lt;IPosition&gt;)</t>
  </si>
  <si>
    <t>AiShotStrategy.getHitButNotSunkPositions</t>
  </si>
  <si>
    <t>getShipsLike(String)</t>
  </si>
  <si>
    <t>sendShots(GameSession, List&lt;IPosition&gt;)</t>
  </si>
  <si>
    <t>CallbackClient.sendShots</t>
  </si>
  <si>
    <t>Caravel.Caravel</t>
  </si>
  <si>
    <t>getSunkShips()</t>
  </si>
  <si>
    <t>Carrack.Carrack</t>
  </si>
  <si>
    <t>printAllShips()</t>
  </si>
  <si>
    <t>Frigate(Compass, IPosition)</t>
  </si>
  <si>
    <t>Frigate.Frigate</t>
  </si>
  <si>
    <t>printFloatingShips()</t>
  </si>
  <si>
    <t>readClassicPosition(Scanner)</t>
  </si>
  <si>
    <t>Tasks.readClassicPosition</t>
  </si>
  <si>
    <t>buildShip(String, Compass, Position)</t>
  </si>
  <si>
    <t>Ship.buildShip</t>
  </si>
  <si>
    <t>printShips(List&lt;IShip&gt;)</t>
  </si>
  <si>
    <t>printBoardShots(List&lt;IMove&gt;, char[][])</t>
  </si>
  <si>
    <t>Game.printBoardShots</t>
  </si>
  <si>
    <t>printShipsByCategory(String)</t>
  </si>
  <si>
    <t>readEnemyFire(Scanner)</t>
  </si>
  <si>
    <t>Game.readEnemyFire</t>
  </si>
  <si>
    <t>printStatus()</t>
  </si>
  <si>
    <t>evaluateShots(List&lt;IPosition&gt;, IGame, GameSession)</t>
  </si>
  <si>
    <t>GameController.evaluateShots</t>
  </si>
  <si>
    <t>fireSingleShot(IPosition, boolean)</t>
  </si>
  <si>
    <t>Game.fireSingleShot</t>
  </si>
  <si>
    <t>shipAt(IPosition)</t>
  </si>
  <si>
    <t>Compass.charToCompass</t>
  </si>
  <si>
    <t>printBoardFrame(char[][])</t>
  </si>
  <si>
    <t>Game.printBoardFrame</t>
  </si>
  <si>
    <t>buildHuntPool(Set&lt;IPosition&gt;, List&lt;IPosition&gt;)</t>
  </si>
  <si>
    <t>AiShotStrategy.buildHuntPool</t>
  </si>
  <si>
    <t>printBoard(IFleet, List&lt;IMove&gt;, boolean, boolean)</t>
  </si>
  <si>
    <t>Galleon(Compass, IPosition)</t>
  </si>
  <si>
    <t>Game.printBoard</t>
  </si>
  <si>
    <t>register(RegistrationRequest)</t>
  </si>
  <si>
    <t>GameController.register</t>
  </si>
  <si>
    <t>fillEast(IPosition)</t>
  </si>
  <si>
    <t>Galleon.Galleon</t>
  </si>
  <si>
    <t>fillNorth(IPosition)</t>
  </si>
  <si>
    <t>show(IGame)</t>
  </si>
  <si>
    <t>GameWindow.show</t>
  </si>
  <si>
    <t>appendMoves(List&lt;String&gt;, String, List&lt;IMove&gt;)</t>
  </si>
  <si>
    <t>GamePDFExporter.appendMoves</t>
  </si>
  <si>
    <t>fillSouth(IPosition)</t>
  </si>
  <si>
    <t>getAdjacentPositions()</t>
  </si>
  <si>
    <t>Ship.getAdjacentPositions</t>
  </si>
  <si>
    <t>describeResult(ShotResult)</t>
  </si>
  <si>
    <t>GamePDFExporter.describeResult</t>
  </si>
  <si>
    <t>fillWest(IPosition)</t>
  </si>
  <si>
    <t>printShips(IFleet, char[][])</t>
  </si>
  <si>
    <t>Game.printShips</t>
  </si>
  <si>
    <t>Game(IFleet)</t>
  </si>
  <si>
    <t>Fleet.createRandom</t>
  </si>
  <si>
    <t>Fleet.addShip</t>
  </si>
  <si>
    <t>fireShots(List&lt;IPosition&gt;)</t>
  </si>
  <si>
    <t>recordAiMove(IGame, List&lt;IPosition&gt;, ShotResponse)</t>
  </si>
  <si>
    <t>CallbackClient.recordAiMove</t>
  </si>
  <si>
    <t>buildFleet(Scanner)</t>
  </si>
  <si>
    <t>Tasks.buildFleet</t>
  </si>
  <si>
    <t>getAlienFleet()</t>
  </si>
  <si>
    <t>equals(Object)</t>
  </si>
  <si>
    <t>Position.equals</t>
  </si>
  <si>
    <t>BoardPanel.paintComponent</t>
  </si>
  <si>
    <t>getAlienMoves()</t>
  </si>
  <si>
    <t>isInside()</t>
  </si>
  <si>
    <t>Position.isInside</t>
  </si>
  <si>
    <t>getHits()</t>
  </si>
  <si>
    <t>isInsideBoard()</t>
  </si>
  <si>
    <t>Ship.isInsideBoard</t>
  </si>
  <si>
    <t>jsonShots(List&lt;IPosition&gt;)</t>
  </si>
  <si>
    <t>Game.jsonShots</t>
  </si>
  <si>
    <t>getInvalidShots()</t>
  </si>
  <si>
    <t>generatePDF(List&lt;IMove&gt;, List&lt;IMove&gt;, Path)</t>
  </si>
  <si>
    <t>GamePDFExporter.generatePDF</t>
  </si>
  <si>
    <t>getMyFleet()</t>
  </si>
  <si>
    <t>Game.fireShots</t>
  </si>
  <si>
    <t>adjacentPositions()</t>
  </si>
  <si>
    <t>Position.adjacentPositions</t>
  </si>
  <si>
    <t>getMyMoves()</t>
  </si>
  <si>
    <t>Fleet.getShipsLike</t>
  </si>
  <si>
    <t>getRemainingShips()</t>
  </si>
  <si>
    <t>shoot(IPosition)</t>
  </si>
  <si>
    <t>Ship.shoot</t>
  </si>
  <si>
    <t>tooCloseTo(IShip)</t>
  </si>
  <si>
    <t>Ship.tooCloseTo</t>
  </si>
  <si>
    <t>getRepeatedShots()</t>
  </si>
  <si>
    <t>Fleet.shipAt</t>
  </si>
  <si>
    <t>occupies(IPosition)</t>
  </si>
  <si>
    <t>Ship.occupies</t>
  </si>
  <si>
    <t>tooCloseTo(IPosition)</t>
  </si>
  <si>
    <t>Fleet.getFloatingShips</t>
  </si>
  <si>
    <t>over()</t>
  </si>
  <si>
    <t>Fleet.getSunkShips</t>
  </si>
  <si>
    <t>printAlienBoard(boolean, boolean)</t>
  </si>
  <si>
    <t>getBottomMostPos()</t>
  </si>
  <si>
    <t>Ship.getBottomMostPos</t>
  </si>
  <si>
    <t>getLeftMostPos()</t>
  </si>
  <si>
    <t>Ship.getLeftMostPos</t>
  </si>
  <si>
    <t>getRightMostPos()</t>
  </si>
  <si>
    <t>Ship.getRightMostPos</t>
  </si>
  <si>
    <t>getTopMostPos()</t>
  </si>
  <si>
    <t>Ship.getTopMostPos</t>
  </si>
  <si>
    <t>printMyBoard(boolean, boolean)</t>
  </si>
  <si>
    <t>stillFloating()</t>
  </si>
  <si>
    <t>Ship.stillFloating</t>
  </si>
  <si>
    <t>Fleet.colisionRisk</t>
  </si>
  <si>
    <t>Galleon.fillSouth</t>
  </si>
  <si>
    <t>repeatedShot(IPosition)</t>
  </si>
  <si>
    <t>Game.repeatedShot</t>
  </si>
  <si>
    <t>recordMyMove(List&lt;IPosition&gt;, List&lt;ShotResult&gt;)</t>
  </si>
  <si>
    <t>get(String, Object[])</t>
  </si>
  <si>
    <t>I18n.get</t>
  </si>
  <si>
    <t>BoardPanel.drawCoordinates</t>
  </si>
  <si>
    <t>GamePDFExporter()</t>
  </si>
  <si>
    <t>setLanguage(String)</t>
  </si>
  <si>
    <t>I18n.setLanguage</t>
  </si>
  <si>
    <t>sink()</t>
  </si>
  <si>
    <t>Ship.sink</t>
  </si>
  <si>
    <t>Galleon.fillEast</t>
  </si>
  <si>
    <t>generatePDF(List&lt;IMove&gt;, List&lt;IMove&gt;)</t>
  </si>
  <si>
    <t>Galleon.fillNorth</t>
  </si>
  <si>
    <t>Galleon.fillWest</t>
  </si>
  <si>
    <t>toPdfText(String)</t>
  </si>
  <si>
    <t>Fleet.printShips</t>
  </si>
  <si>
    <t>GameWindow()</t>
  </si>
  <si>
    <t>close()</t>
  </si>
  <si>
    <t>boardWithTitle(JLabel, BoardPanel)</t>
  </si>
  <si>
    <t>GameWindow.close</t>
  </si>
  <si>
    <t>isAdjacentTo(IPosition)</t>
  </si>
  <si>
    <t>Position.isAdjacentTo</t>
  </si>
  <si>
    <t>Game.recordMyMove</t>
  </si>
  <si>
    <t>readMove(int, Scanner)</t>
  </si>
  <si>
    <t>IMove.readMove</t>
  </si>
  <si>
    <t>legendItem(CellState, String)</t>
  </si>
  <si>
    <t>BoardPanel.BoardPanel</t>
  </si>
  <si>
    <t>title()</t>
  </si>
  <si>
    <t>BoardState.emptyBoard</t>
  </si>
  <si>
    <t>updateTexts()</t>
  </si>
  <si>
    <t>BoardState.set</t>
  </si>
  <si>
    <t>CellIcon(CellState)</t>
  </si>
  <si>
    <t>BoardPanel.drawCell</t>
  </si>
  <si>
    <t>getIconHeight()</t>
  </si>
  <si>
    <t>GameWindow.GameWindow</t>
  </si>
  <si>
    <t>getIconWidth()</t>
  </si>
  <si>
    <t>Ship(String, Compass, IPosition, int)</t>
  </si>
  <si>
    <t>Ship.Ship</t>
  </si>
  <si>
    <t>paintIcon(Component, Graphics, int, int)</t>
  </si>
  <si>
    <t>menuHelp()</t>
  </si>
  <si>
    <t>Tasks.menuHelp</t>
  </si>
  <si>
    <t>state()</t>
  </si>
  <si>
    <t>getBearing()</t>
  </si>
  <si>
    <t>Ship.getBearing</t>
  </si>
  <si>
    <t>I18n()</t>
  </si>
  <si>
    <t>getCategory()</t>
  </si>
  <si>
    <t>Ship.getCategory</t>
  </si>
  <si>
    <t>getPosition()</t>
  </si>
  <si>
    <t>Ship.getPosition</t>
  </si>
  <si>
    <t>getCurrentLanguage()</t>
  </si>
  <si>
    <t>Fleet.printStatus</t>
  </si>
  <si>
    <t>Game.Game</t>
  </si>
  <si>
    <t>GameWindow.updateTexts</t>
  </si>
  <si>
    <t>Position(char, int)</t>
  </si>
  <si>
    <t>Position.Position</t>
  </si>
  <si>
    <t>Position(int, int)</t>
  </si>
  <si>
    <t>Barge.Barge</t>
  </si>
  <si>
    <t>Fleet.printShipsByCategory</t>
  </si>
  <si>
    <t>Position.toString</t>
  </si>
  <si>
    <t>BoardPanel.setCells</t>
  </si>
  <si>
    <t>Compass.randomBearing</t>
  </si>
  <si>
    <t>Compass.toString</t>
  </si>
  <si>
    <t>Fleet.getShips</t>
  </si>
  <si>
    <t>main(String[])</t>
  </si>
  <si>
    <t>Main.main</t>
  </si>
  <si>
    <t>Ship.toString</t>
  </si>
  <si>
    <t>Compass.Compass</t>
  </si>
  <si>
    <t>Compass.getDirection</t>
  </si>
  <si>
    <t>getColumn()</t>
  </si>
  <si>
    <t>Position.getColumn</t>
  </si>
  <si>
    <t>getRow()</t>
  </si>
  <si>
    <t>Position.getRow</t>
  </si>
  <si>
    <t>hashCode()</t>
  </si>
  <si>
    <t>Position.hashCode</t>
  </si>
  <si>
    <t>isHit()</t>
  </si>
  <si>
    <t>Position.isHit</t>
  </si>
  <si>
    <t>isOccupied()</t>
  </si>
  <si>
    <t>Position.isOccupied</t>
  </si>
  <si>
    <t>getPositions()</t>
  </si>
  <si>
    <t>Ship.getPositions</t>
  </si>
  <si>
    <t>getSize()</t>
  </si>
  <si>
    <t>Ship.getSize</t>
  </si>
  <si>
    <t>ShotResult(boolean, boolean, IShip, boolean)</t>
  </si>
  <si>
    <t>GameSession(String, String, String)</t>
  </si>
  <si>
    <t>GameSession.GameSession</t>
  </si>
  <si>
    <t>repeated()</t>
  </si>
  <si>
    <t>Move.toString</t>
  </si>
  <si>
    <t>ship()</t>
  </si>
  <si>
    <t>sunk()</t>
  </si>
  <si>
    <t>getClassicColumn()</t>
  </si>
  <si>
    <t>Position.getClassicColumn</t>
  </si>
  <si>
    <t>valid()</t>
  </si>
  <si>
    <t>getClassicRow()</t>
  </si>
  <si>
    <t>Position.getClassicRow</t>
  </si>
  <si>
    <t>getNumber()</t>
  </si>
  <si>
    <t>readShip(Scanner)</t>
  </si>
  <si>
    <t>Tasks.readShip</t>
  </si>
  <si>
    <t>getShotResults()</t>
  </si>
  <si>
    <t>Fleet.Fleet</t>
  </si>
  <si>
    <t>getShots()</t>
  </si>
  <si>
    <t>Fleet.printAllShips</t>
  </si>
  <si>
    <t>Fleet.printFloatingShips</t>
  </si>
  <si>
    <t>occupy()</t>
  </si>
  <si>
    <t>Position.occupy</t>
  </si>
  <si>
    <t>randomPosition()</t>
  </si>
  <si>
    <t>Position.randomPosition</t>
  </si>
  <si>
    <t>shoot()</t>
  </si>
  <si>
    <t>Position.shoot</t>
  </si>
  <si>
    <t>GameController(GameRegistry, CallbackClient, AiShotStrategy)</t>
  </si>
  <si>
    <t>GameController.GameController</t>
  </si>
  <si>
    <t>createSession(String, String)</t>
  </si>
  <si>
    <t>GameRegistry.createSession</t>
  </si>
  <si>
    <t>CellState.getSymbol</t>
  </si>
  <si>
    <t>Game.getRemainingShips</t>
  </si>
  <si>
    <t>Game.over</t>
  </si>
  <si>
    <t>GameWindow.boardWithTitle</t>
  </si>
  <si>
    <t>CellIcon.paintIcon</t>
  </si>
  <si>
    <t>I18n.getCurrentLanguage</t>
  </si>
  <si>
    <t>Move(int, List&lt;IPosition&gt;, List&lt;ShotResult&gt;)</t>
  </si>
  <si>
    <t>Move.Move</t>
  </si>
  <si>
    <t>readPosition(Scanner)</t>
  </si>
  <si>
    <t>Tasks.readPosition</t>
  </si>
  <si>
    <t>CallbackClient()</t>
  </si>
  <si>
    <t>CallbackClient.CallbackClient</t>
  </si>
  <si>
    <t>Game.getAlienFleet</t>
  </si>
  <si>
    <t>Game.getAlienMoves</t>
  </si>
  <si>
    <t>Game.getHits</t>
  </si>
  <si>
    <t>Game.getInvalidShots</t>
  </si>
  <si>
    <t>Game.getMyFleet</t>
  </si>
  <si>
    <t>Game.getMyMoves</t>
  </si>
  <si>
    <t>Game.getRepeatedShots</t>
  </si>
  <si>
    <t>Game.getSunkShips</t>
  </si>
  <si>
    <t>GamePDFExporter.toPdfText</t>
  </si>
  <si>
    <t>GameWindow.legendItem</t>
  </si>
  <si>
    <t>GameWindow.title</t>
  </si>
  <si>
    <t>printElapsed(StopWatch)</t>
  </si>
  <si>
    <t>Tasks.printElapsed</t>
  </si>
  <si>
    <t>Game.printAlienBoard</t>
  </si>
  <si>
    <t>Game.printMyBoard</t>
  </si>
  <si>
    <t>CellIcon.getIconHeight</t>
  </si>
  <si>
    <t>CellIcon.getIconWidth</t>
  </si>
  <si>
    <t>ShotResult.ShotResult</t>
  </si>
  <si>
    <t>Move.getNumber</t>
  </si>
  <si>
    <t>Move.getShotResults</t>
  </si>
  <si>
    <t>Move.getShots</t>
  </si>
  <si>
    <t>error(HttpStatus, String)</t>
  </si>
  <si>
    <t>GameController.error</t>
  </si>
  <si>
    <t>getSession(String)</t>
  </si>
  <si>
    <t>GameRegistry.getSession</t>
  </si>
  <si>
    <t>removeSession(String)</t>
  </si>
  <si>
    <t>GameRegistry.removeSession</t>
  </si>
  <si>
    <t>markAiWins()</t>
  </si>
  <si>
    <t>GameSession.markAiWins</t>
  </si>
  <si>
    <t>markStudentWins()</t>
  </si>
  <si>
    <t>GameSession.markStudentWins</t>
  </si>
  <si>
    <t>BoardState.BoardState</t>
  </si>
  <si>
    <t>CellState.CellState</t>
  </si>
  <si>
    <t>I18n.I18n</t>
  </si>
  <si>
    <t>BattleshipServer.main</t>
  </si>
  <si>
    <t>GamePDFExporter.GamePDFExporter</t>
  </si>
  <si>
    <t>CellIcon.CellIcon</t>
  </si>
  <si>
    <t>CellIcon.state</t>
  </si>
  <si>
    <t>ShotResult.repeated</t>
  </si>
  <si>
    <t>ShotResult.ship</t>
  </si>
  <si>
    <t>ShotResult.sunk</t>
  </si>
  <si>
    <t>ShotResult.valid</t>
  </si>
  <si>
    <t>ErrorResponse(String)</t>
  </si>
  <si>
    <t>ErrorResponse.ErrorResponse</t>
  </si>
  <si>
    <t>getCallbackUrl()</t>
  </si>
  <si>
    <t>GameSession.getCallbackUrl</t>
  </si>
  <si>
    <t>getGame()</t>
  </si>
  <si>
    <t>GameSession.getGame</t>
  </si>
  <si>
    <t>getGameId()</t>
  </si>
  <si>
    <t>GameSession.getGameId</t>
  </si>
  <si>
    <t>getPlayerName()</t>
  </si>
  <si>
    <t>GameSession.getPlayerName</t>
  </si>
  <si>
    <t>getShotsPerTurn()</t>
  </si>
  <si>
    <t>GameSession.getShotsPerTurn</t>
  </si>
  <si>
    <t>getWinner()</t>
  </si>
  <si>
    <t>GameSession.getWinner</t>
  </si>
  <si>
    <t>isGameOver()</t>
  </si>
  <si>
    <t>GameSession.isGameOver</t>
  </si>
  <si>
    <t>CellState.valueOf</t>
  </si>
  <si>
    <t>CellState.values</t>
  </si>
  <si>
    <t>Compass.valueOf</t>
  </si>
  <si>
    <t>Compass.values</t>
  </si>
  <si>
    <t>IFleet.addShip</t>
  </si>
  <si>
    <t>IFleet.getFloatingShips</t>
  </si>
  <si>
    <t>IFleet.getShips</t>
  </si>
  <si>
    <t>IFleet.getShipsLike</t>
  </si>
  <si>
    <t>IFleet.getSunkShips</t>
  </si>
  <si>
    <t>IFleet.printStatus</t>
  </si>
  <si>
    <t>IFleet.shipAt</t>
  </si>
  <si>
    <t>IGame.fireShots</t>
  </si>
  <si>
    <t>IGame.fireSingleShot</t>
  </si>
  <si>
    <t>IGame.getAlienFleet</t>
  </si>
  <si>
    <t>IGame.getAlienMoves</t>
  </si>
  <si>
    <t>IGame.getHits</t>
  </si>
  <si>
    <t>IGame.getInvalidShots</t>
  </si>
  <si>
    <t>IGame.getMyFleet</t>
  </si>
  <si>
    <t>IGame.getMyMoves</t>
  </si>
  <si>
    <t>IGame.getRemainingShips</t>
  </si>
  <si>
    <t>IGame.getRepeatedShots</t>
  </si>
  <si>
    <t>IGame.getSunkShips</t>
  </si>
  <si>
    <t>IGame.over</t>
  </si>
  <si>
    <t>IGame.printAlienBoard</t>
  </si>
  <si>
    <t>IGame.printMyBoard</t>
  </si>
  <si>
    <t>IGame.randomEnemyFire</t>
  </si>
  <si>
    <t>IGame.readEnemyFire</t>
  </si>
  <si>
    <t>IGame.recordMyMove</t>
  </si>
  <si>
    <t>IMove.getNumber</t>
  </si>
  <si>
    <t>IMove.getShotResults</t>
  </si>
  <si>
    <t>IMove.getShots</t>
  </si>
  <si>
    <t>IMove.processEnemyFire</t>
  </si>
  <si>
    <t>IMove.toString</t>
  </si>
  <si>
    <t>IPosition.adjacentPositions</t>
  </si>
  <si>
    <t>IPosition.equals</t>
  </si>
  <si>
    <t>IPosition.getClassicColumn</t>
  </si>
  <si>
    <t>IPosition.getClassicRow</t>
  </si>
  <si>
    <t>IPosition.getColumn</t>
  </si>
  <si>
    <t>IPosition.getRow</t>
  </si>
  <si>
    <t>IPosition.isAdjacentTo</t>
  </si>
  <si>
    <t>IPosition.isHit</t>
  </si>
  <si>
    <t>IPosition.isInside</t>
  </si>
  <si>
    <t>IPosition.isOccupied</t>
  </si>
  <si>
    <t>IPosition.occupy</t>
  </si>
  <si>
    <t>IPosition.shoot</t>
  </si>
  <si>
    <t>IShip.getAdjacentPositions</t>
  </si>
  <si>
    <t>IShip.getBearing</t>
  </si>
  <si>
    <t>IShip.getBottomMostPos</t>
  </si>
  <si>
    <t>IShip.getCategory</t>
  </si>
  <si>
    <t>IShip.getLeftMostPos</t>
  </si>
  <si>
    <t>IShip.getPosition</t>
  </si>
  <si>
    <t>IShip.getPositions</t>
  </si>
  <si>
    <t>IShip.getRightMostPos</t>
  </si>
  <si>
    <t>IShip.getSize</t>
  </si>
  <si>
    <t>IShip.getTopMostPos</t>
  </si>
  <si>
    <t>IShip.isInsideBoard</t>
  </si>
  <si>
    <t>IShip.occupies</t>
  </si>
  <si>
    <t>IShip.shoot</t>
  </si>
  <si>
    <t>IShip.sink</t>
  </si>
  <si>
    <t>IShip.stillFloating</t>
  </si>
  <si>
    <t>IShip.tooCloseTo</t>
  </si>
  <si>
    <t>Métricas ao nível do Método - ordenado por Complexidade Ciclomática (CC) decrescente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</si>
</sst>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0.000"/>
  </numFmts>
  <fonts count="12" x14ac:knownFonts="1">
    <font>
      <sz val="11"/>
      <color theme="1"/>
      <name val="Calibri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theme="1"/>
      <name val="Arial"/>
    </font>
    <font>
      <b/>
      <sz val="10"/>
      <color rgb="FFFFFFFF"/>
      <name val="Arial"/>
    </font>
    <font>
      <sz val="11"/>
      <name val="Calibri"/>
    </font>
    <font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</font>
    <font>
      <sz val="8"/>
      <color rgb="FF1F3864"/>
      <name val="Arial"/>
    </font>
    <font>
      <b/>
      <sz val="9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7C80"/>
        <bgColor rgb="FFFF7C8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6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6" fillId="6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/>
    </xf>
    <xf numFmtId="0" fontId="9" fillId="7" borderId="5" xfId="0" applyFont="1" applyFill="1" applyBorder="1"/>
    <xf numFmtId="0" fontId="7" fillId="8" borderId="2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/>
    </xf>
    <xf numFmtId="164" fontId="7" fillId="8" borderId="2" xfId="0" applyNumberFormat="1" applyFont="1" applyFill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3" fontId="7" fillId="8" borderId="2" xfId="0" applyNumberFormat="1" applyFont="1" applyFill="1" applyBorder="1" applyAlignment="1">
      <alignment horizontal="right"/>
    </xf>
    <xf numFmtId="1" fontId="7" fillId="0" borderId="2" xfId="0" applyNumberFormat="1" applyFont="1" applyBorder="1" applyAlignment="1">
      <alignment horizontal="right"/>
    </xf>
    <xf numFmtId="2" fontId="7" fillId="0" borderId="2" xfId="0" applyNumberFormat="1" applyFont="1" applyBorder="1" applyAlignment="1">
      <alignment horizontal="right"/>
    </xf>
    <xf numFmtId="4" fontId="7" fillId="0" borderId="2" xfId="0" applyNumberFormat="1" applyFont="1" applyBorder="1" applyAlignment="1">
      <alignment horizontal="right"/>
    </xf>
    <xf numFmtId="2" fontId="7" fillId="8" borderId="2" xfId="0" applyNumberFormat="1" applyFont="1" applyFill="1" applyBorder="1" applyAlignment="1">
      <alignment horizontal="right"/>
    </xf>
    <xf numFmtId="1" fontId="7" fillId="8" borderId="2" xfId="0" applyNumberFormat="1" applyFont="1" applyFill="1" applyBorder="1" applyAlignment="1">
      <alignment horizontal="right"/>
    </xf>
    <xf numFmtId="4" fontId="7" fillId="8" borderId="2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left"/>
    </xf>
    <xf numFmtId="166" fontId="7" fillId="0" borderId="2" xfId="0" applyNumberFormat="1" applyFont="1" applyBorder="1" applyAlignment="1">
      <alignment horizontal="left"/>
    </xf>
    <xf numFmtId="166" fontId="8" fillId="0" borderId="2" xfId="0" applyNumberFormat="1" applyFont="1" applyBorder="1" applyAlignment="1">
      <alignment horizontal="left"/>
    </xf>
    <xf numFmtId="1" fontId="7" fillId="8" borderId="2" xfId="0" applyNumberFormat="1" applyFont="1" applyFill="1" applyBorder="1" applyAlignment="1">
      <alignment horizontal="left"/>
    </xf>
    <xf numFmtId="166" fontId="7" fillId="8" borderId="2" xfId="0" applyNumberFormat="1" applyFont="1" applyFill="1" applyBorder="1" applyAlignment="1">
      <alignment horizontal="left"/>
    </xf>
    <xf numFmtId="166" fontId="8" fillId="8" borderId="2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1" fillId="7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</cellXfs>
  <cellStyles count="1">
    <cellStyle name="Normal" xfId="0" builtinId="0"/>
  </cellStyles>
  <dxfs count="7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7C80"/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Complexidade Ciclomática (CC) por método — ordem decrescente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CC</c:v>
          </c:tx>
          <c:spPr>
            <a:solidFill>
              <a:srgbClr val="2F5597"/>
            </a:solidFill>
            <a:ln cmpd="sng">
              <a:noFill/>
            </a:ln>
          </c:spPr>
          <c:invertIfNegative val="0"/>
          <c:cat>
            <c:strRef>
              <c:f>Method!$D$6:$D$236</c:f>
              <c:strCache>
                <c:ptCount val="231"/>
                <c:pt idx="0">
                  <c:v>Move.processEnemyFire</c:v>
                </c:pt>
                <c:pt idx="1">
                  <c:v>Tasks.menu</c:v>
                </c:pt>
                <c:pt idx="2">
                  <c:v>AiShotStrategy.computeShots</c:v>
                </c:pt>
                <c:pt idx="3">
                  <c:v>GameController.receiveShots</c:v>
                </c:pt>
                <c:pt idx="4">
                  <c:v>BoardState.opponentBoard</c:v>
                </c:pt>
                <c:pt idx="5">
                  <c:v>Game.randomEnemyFire</c:v>
                </c:pt>
                <c:pt idx="6">
                  <c:v>BoardState.ownBoard</c:v>
                </c:pt>
                <c:pt idx="7">
                  <c:v>AiShotStrategy.getHitButNotSunkPositions</c:v>
                </c:pt>
                <c:pt idx="8">
                  <c:v>CallbackClient.sendShots</c:v>
                </c:pt>
                <c:pt idx="9">
                  <c:v>Caravel.Caravel</c:v>
                </c:pt>
                <c:pt idx="10">
                  <c:v>Carrack.Carrack</c:v>
                </c:pt>
                <c:pt idx="11">
                  <c:v>Frigate.Frigate</c:v>
                </c:pt>
                <c:pt idx="12">
                  <c:v>Tasks.readClassicPosition</c:v>
                </c:pt>
                <c:pt idx="13">
                  <c:v>Ship.buildShip</c:v>
                </c:pt>
                <c:pt idx="14">
                  <c:v>Game.printBoardShots</c:v>
                </c:pt>
                <c:pt idx="15">
                  <c:v>Game.readEnemyFire</c:v>
                </c:pt>
                <c:pt idx="16">
                  <c:v>GameController.evaluateShots</c:v>
                </c:pt>
                <c:pt idx="17">
                  <c:v>Game.fireSingleShot</c:v>
                </c:pt>
                <c:pt idx="18">
                  <c:v>Compass.charToCompass</c:v>
                </c:pt>
                <c:pt idx="19">
                  <c:v>Game.printBoardFrame</c:v>
                </c:pt>
                <c:pt idx="20">
                  <c:v>AiShotStrategy.buildHuntPool</c:v>
                </c:pt>
                <c:pt idx="21">
                  <c:v>Game.printBoard</c:v>
                </c:pt>
                <c:pt idx="22">
                  <c:v>GameController.register</c:v>
                </c:pt>
                <c:pt idx="23">
                  <c:v>Galleon.Galleon</c:v>
                </c:pt>
                <c:pt idx="24">
                  <c:v>GameWindow.show</c:v>
                </c:pt>
                <c:pt idx="25">
                  <c:v>GamePDFExporter.appendMoves</c:v>
                </c:pt>
                <c:pt idx="26">
                  <c:v>Ship.getAdjacentPositions</c:v>
                </c:pt>
                <c:pt idx="27">
                  <c:v>GamePDFExporter.describeResult</c:v>
                </c:pt>
                <c:pt idx="28">
                  <c:v>Game.printShips</c:v>
                </c:pt>
                <c:pt idx="29">
                  <c:v>Fleet.createRandom</c:v>
                </c:pt>
                <c:pt idx="30">
                  <c:v>Fleet.addShip</c:v>
                </c:pt>
                <c:pt idx="31">
                  <c:v>CallbackClient.recordAiMove</c:v>
                </c:pt>
                <c:pt idx="32">
                  <c:v>Tasks.buildFleet</c:v>
                </c:pt>
                <c:pt idx="33">
                  <c:v>Position.equals</c:v>
                </c:pt>
                <c:pt idx="34">
                  <c:v>BoardPanel.paintComponent</c:v>
                </c:pt>
                <c:pt idx="35">
                  <c:v>Position.isInside</c:v>
                </c:pt>
                <c:pt idx="36">
                  <c:v>Ship.isInsideBoard</c:v>
                </c:pt>
                <c:pt idx="37">
                  <c:v>Game.jsonShots</c:v>
                </c:pt>
                <c:pt idx="38">
                  <c:v>GamePDFExporter.generatePDF</c:v>
                </c:pt>
                <c:pt idx="39">
                  <c:v>Game.fireShots</c:v>
                </c:pt>
                <c:pt idx="40">
                  <c:v>Position.adjacentPositions</c:v>
                </c:pt>
                <c:pt idx="41">
                  <c:v>Fleet.getShipsLike</c:v>
                </c:pt>
                <c:pt idx="42">
                  <c:v>Ship.shoot</c:v>
                </c:pt>
                <c:pt idx="43">
                  <c:v>Ship.tooCloseTo</c:v>
                </c:pt>
                <c:pt idx="44">
                  <c:v>Fleet.shipAt</c:v>
                </c:pt>
                <c:pt idx="45">
                  <c:v>Ship.occupies</c:v>
                </c:pt>
                <c:pt idx="46">
                  <c:v>Ship.tooCloseTo</c:v>
                </c:pt>
                <c:pt idx="47">
                  <c:v>Fleet.getFloatingShips</c:v>
                </c:pt>
                <c:pt idx="48">
                  <c:v>Fleet.getSunkShips</c:v>
                </c:pt>
                <c:pt idx="49">
                  <c:v>Ship.getBottomMostPos</c:v>
                </c:pt>
                <c:pt idx="50">
                  <c:v>Ship.getLeftMostPos</c:v>
                </c:pt>
                <c:pt idx="51">
                  <c:v>Ship.getRightMostPos</c:v>
                </c:pt>
                <c:pt idx="52">
                  <c:v>Ship.getTopMostPos</c:v>
                </c:pt>
                <c:pt idx="53">
                  <c:v>Ship.stillFloating</c:v>
                </c:pt>
                <c:pt idx="54">
                  <c:v>Fleet.colisionRisk</c:v>
                </c:pt>
                <c:pt idx="55">
                  <c:v>Galleon.fillSouth</c:v>
                </c:pt>
                <c:pt idx="56">
                  <c:v>Game.repeatedShot</c:v>
                </c:pt>
                <c:pt idx="57">
                  <c:v>I18n.get</c:v>
                </c:pt>
                <c:pt idx="58">
                  <c:v>BoardPanel.drawCoordinates</c:v>
                </c:pt>
                <c:pt idx="59">
                  <c:v>I18n.setLanguage</c:v>
                </c:pt>
                <c:pt idx="60">
                  <c:v>Ship.sink</c:v>
                </c:pt>
                <c:pt idx="61">
                  <c:v>Galleon.fillEast</c:v>
                </c:pt>
                <c:pt idx="62">
                  <c:v>Galleon.fillNorth</c:v>
                </c:pt>
                <c:pt idx="63">
                  <c:v>Galleon.fillWest</c:v>
                </c:pt>
                <c:pt idx="64">
                  <c:v>Fleet.printShips</c:v>
                </c:pt>
                <c:pt idx="65">
                  <c:v>GameWindow.close</c:v>
                </c:pt>
                <c:pt idx="66">
                  <c:v>Position.isAdjacentTo</c:v>
                </c:pt>
                <c:pt idx="67">
                  <c:v>Game.recordMyMove</c:v>
                </c:pt>
                <c:pt idx="68">
                  <c:v>IMove.readMove</c:v>
                </c:pt>
                <c:pt idx="69">
                  <c:v>BoardPanel.BoardPanel</c:v>
                </c:pt>
                <c:pt idx="70">
                  <c:v>BoardState.emptyBoard</c:v>
                </c:pt>
                <c:pt idx="71">
                  <c:v>BoardState.set</c:v>
                </c:pt>
                <c:pt idx="72">
                  <c:v>BoardPanel.drawCell</c:v>
                </c:pt>
                <c:pt idx="73">
                  <c:v>GameWindow.GameWindow</c:v>
                </c:pt>
                <c:pt idx="74">
                  <c:v>Ship.Ship</c:v>
                </c:pt>
                <c:pt idx="75">
                  <c:v>Tasks.menuHelp</c:v>
                </c:pt>
                <c:pt idx="76">
                  <c:v>Ship.getBearing</c:v>
                </c:pt>
                <c:pt idx="77">
                  <c:v>Ship.getCategory</c:v>
                </c:pt>
                <c:pt idx="78">
                  <c:v>Ship.getPosition</c:v>
                </c:pt>
                <c:pt idx="79">
                  <c:v>Fleet.printStatus</c:v>
                </c:pt>
                <c:pt idx="80">
                  <c:v>Game.Game</c:v>
                </c:pt>
                <c:pt idx="81">
                  <c:v>GameWindow.updateTexts</c:v>
                </c:pt>
                <c:pt idx="82">
                  <c:v>Position.Position</c:v>
                </c:pt>
                <c:pt idx="83">
                  <c:v>Position.Position</c:v>
                </c:pt>
                <c:pt idx="84">
                  <c:v>Barge.Barge</c:v>
                </c:pt>
                <c:pt idx="85">
                  <c:v>Fleet.printShipsByCategory</c:v>
                </c:pt>
                <c:pt idx="86">
                  <c:v>Position.toString</c:v>
                </c:pt>
                <c:pt idx="87">
                  <c:v>BoardPanel.setCells</c:v>
                </c:pt>
                <c:pt idx="88">
                  <c:v>Compass.randomBearing</c:v>
                </c:pt>
                <c:pt idx="89">
                  <c:v>Compass.toString</c:v>
                </c:pt>
                <c:pt idx="90">
                  <c:v>Fleet.getShips</c:v>
                </c:pt>
                <c:pt idx="91">
                  <c:v>Main.main</c:v>
                </c:pt>
                <c:pt idx="92">
                  <c:v>Ship.toString</c:v>
                </c:pt>
                <c:pt idx="93">
                  <c:v>Compass.Compass</c:v>
                </c:pt>
                <c:pt idx="94">
                  <c:v>Compass.getDirection</c:v>
                </c:pt>
                <c:pt idx="95">
                  <c:v>Position.getColumn</c:v>
                </c:pt>
                <c:pt idx="96">
                  <c:v>Position.getRow</c:v>
                </c:pt>
                <c:pt idx="97">
                  <c:v>Position.hashCode</c:v>
                </c:pt>
                <c:pt idx="98">
                  <c:v>Position.isHit</c:v>
                </c:pt>
                <c:pt idx="99">
                  <c:v>Position.isOccupied</c:v>
                </c:pt>
                <c:pt idx="100">
                  <c:v>Ship.getPositions</c:v>
                </c:pt>
                <c:pt idx="101">
                  <c:v>Ship.getSize</c:v>
                </c:pt>
                <c:pt idx="102">
                  <c:v>GameSession.GameSession</c:v>
                </c:pt>
                <c:pt idx="103">
                  <c:v>Move.toString</c:v>
                </c:pt>
                <c:pt idx="104">
                  <c:v>Position.getClassicColumn</c:v>
                </c:pt>
                <c:pt idx="105">
                  <c:v>Position.getClassicRow</c:v>
                </c:pt>
                <c:pt idx="106">
                  <c:v>Tasks.readShip</c:v>
                </c:pt>
                <c:pt idx="107">
                  <c:v>Fleet.Fleet</c:v>
                </c:pt>
                <c:pt idx="108">
                  <c:v>Fleet.printAllShips</c:v>
                </c:pt>
                <c:pt idx="109">
                  <c:v>Fleet.printFloatingShips</c:v>
                </c:pt>
                <c:pt idx="110">
                  <c:v>Position.occupy</c:v>
                </c:pt>
                <c:pt idx="111">
                  <c:v>Position.randomPosition</c:v>
                </c:pt>
                <c:pt idx="112">
                  <c:v>Position.shoot</c:v>
                </c:pt>
                <c:pt idx="113">
                  <c:v>GameController.GameController</c:v>
                </c:pt>
                <c:pt idx="114">
                  <c:v>GameRegistry.createSession</c:v>
                </c:pt>
                <c:pt idx="115">
                  <c:v>CellState.getSymbol</c:v>
                </c:pt>
                <c:pt idx="116">
                  <c:v>Game.getRemainingShips</c:v>
                </c:pt>
                <c:pt idx="117">
                  <c:v>Game.over</c:v>
                </c:pt>
                <c:pt idx="118">
                  <c:v>GameWindow.boardWithTitle</c:v>
                </c:pt>
                <c:pt idx="119">
                  <c:v>CellIcon.paintIcon</c:v>
                </c:pt>
                <c:pt idx="120">
                  <c:v>I18n.getCurrentLanguage</c:v>
                </c:pt>
                <c:pt idx="121">
                  <c:v>Move.Move</c:v>
                </c:pt>
                <c:pt idx="122">
                  <c:v>Tasks.readPosition</c:v>
                </c:pt>
                <c:pt idx="123">
                  <c:v>CallbackClient.CallbackClient</c:v>
                </c:pt>
                <c:pt idx="124">
                  <c:v>Game.getAlienFleet</c:v>
                </c:pt>
                <c:pt idx="125">
                  <c:v>Game.getAlienMoves</c:v>
                </c:pt>
                <c:pt idx="126">
                  <c:v>Game.getHits</c:v>
                </c:pt>
                <c:pt idx="127">
                  <c:v>Game.getInvalidShots</c:v>
                </c:pt>
                <c:pt idx="128">
                  <c:v>Game.getMyFleet</c:v>
                </c:pt>
                <c:pt idx="129">
                  <c:v>Game.getMyMoves</c:v>
                </c:pt>
                <c:pt idx="130">
                  <c:v>Game.getRepeatedShots</c:v>
                </c:pt>
                <c:pt idx="131">
                  <c:v>Game.getSunkShips</c:v>
                </c:pt>
                <c:pt idx="132">
                  <c:v>GamePDFExporter.toPdfText</c:v>
                </c:pt>
                <c:pt idx="133">
                  <c:v>GameWindow.legendItem</c:v>
                </c:pt>
                <c:pt idx="134">
                  <c:v>GameWindow.title</c:v>
                </c:pt>
                <c:pt idx="135">
                  <c:v>Tasks.printElapsed</c:v>
                </c:pt>
                <c:pt idx="136">
                  <c:v>Game.printAlienBoard</c:v>
                </c:pt>
                <c:pt idx="137">
                  <c:v>Game.printMyBoard</c:v>
                </c:pt>
                <c:pt idx="138">
                  <c:v>CellIcon.getIconHeight</c:v>
                </c:pt>
                <c:pt idx="139">
                  <c:v>CellIcon.getIconWidth</c:v>
                </c:pt>
                <c:pt idx="140">
                  <c:v>ShotResult.ShotResult</c:v>
                </c:pt>
                <c:pt idx="141">
                  <c:v>Move.getNumber</c:v>
                </c:pt>
                <c:pt idx="142">
                  <c:v>Move.getShotResults</c:v>
                </c:pt>
                <c:pt idx="143">
                  <c:v>Move.getShots</c:v>
                </c:pt>
                <c:pt idx="144">
                  <c:v>GameController.error</c:v>
                </c:pt>
                <c:pt idx="145">
                  <c:v>GameRegistry.getSession</c:v>
                </c:pt>
                <c:pt idx="146">
                  <c:v>GameRegistry.removeSession</c:v>
                </c:pt>
                <c:pt idx="147">
                  <c:v>GameSession.markAiWins</c:v>
                </c:pt>
                <c:pt idx="148">
                  <c:v>GameSession.markStudentWins</c:v>
                </c:pt>
                <c:pt idx="149">
                  <c:v>BoardState.BoardState</c:v>
                </c:pt>
                <c:pt idx="150">
                  <c:v>CellState.CellState</c:v>
                </c:pt>
                <c:pt idx="151">
                  <c:v>GamePDFExporter.generatePDF</c:v>
                </c:pt>
                <c:pt idx="152">
                  <c:v>I18n.I18n</c:v>
                </c:pt>
                <c:pt idx="153">
                  <c:v>BattleshipServer.main</c:v>
                </c:pt>
                <c:pt idx="154">
                  <c:v>GamePDFExporter.GamePDFExporter</c:v>
                </c:pt>
                <c:pt idx="155">
                  <c:v>CellIcon.CellIcon</c:v>
                </c:pt>
                <c:pt idx="156">
                  <c:v>CellIcon.state</c:v>
                </c:pt>
                <c:pt idx="157">
                  <c:v>ShotResult.repeated</c:v>
                </c:pt>
                <c:pt idx="158">
                  <c:v>ShotResult.ship</c:v>
                </c:pt>
                <c:pt idx="159">
                  <c:v>ShotResult.sunk</c:v>
                </c:pt>
                <c:pt idx="160">
                  <c:v>ShotResult.valid</c:v>
                </c:pt>
                <c:pt idx="161">
                  <c:v>ErrorResponse.ErrorResponse</c:v>
                </c:pt>
                <c:pt idx="162">
                  <c:v>GameSession.getCallbackUrl</c:v>
                </c:pt>
                <c:pt idx="163">
                  <c:v>GameSession.getGame</c:v>
                </c:pt>
                <c:pt idx="164">
                  <c:v>GameSession.getGameId</c:v>
                </c:pt>
                <c:pt idx="165">
                  <c:v>GameSession.getPlayerName</c:v>
                </c:pt>
                <c:pt idx="166">
                  <c:v>GameSession.getShotsPerTurn</c:v>
                </c:pt>
                <c:pt idx="167">
                  <c:v>GameSession.getWinner</c:v>
                </c:pt>
                <c:pt idx="168">
                  <c:v>GameSession.isGameOver</c:v>
                </c:pt>
                <c:pt idx="169">
                  <c:v>CellState.valueOf</c:v>
                </c:pt>
                <c:pt idx="170">
                  <c:v>CellState.values</c:v>
                </c:pt>
                <c:pt idx="171">
                  <c:v>Compass.valueOf</c:v>
                </c:pt>
                <c:pt idx="172">
                  <c:v>Compass.values</c:v>
                </c:pt>
                <c:pt idx="173">
                  <c:v>IFleet.addShip</c:v>
                </c:pt>
                <c:pt idx="174">
                  <c:v>IFleet.getFloatingShips</c:v>
                </c:pt>
                <c:pt idx="175">
                  <c:v>IFleet.getShips</c:v>
                </c:pt>
                <c:pt idx="176">
                  <c:v>IFleet.getShipsLike</c:v>
                </c:pt>
                <c:pt idx="177">
                  <c:v>IFleet.getSunkShips</c:v>
                </c:pt>
                <c:pt idx="178">
                  <c:v>IFleet.printStatus</c:v>
                </c:pt>
                <c:pt idx="179">
                  <c:v>IFleet.shipAt</c:v>
                </c:pt>
                <c:pt idx="180">
                  <c:v>IGame.fireShots</c:v>
                </c:pt>
                <c:pt idx="181">
                  <c:v>IGame.fireSingleShot</c:v>
                </c:pt>
                <c:pt idx="182">
                  <c:v>IGame.getAlienFleet</c:v>
                </c:pt>
                <c:pt idx="183">
                  <c:v>IGame.getAlienMoves</c:v>
                </c:pt>
                <c:pt idx="184">
                  <c:v>IGame.getHits</c:v>
                </c:pt>
                <c:pt idx="185">
                  <c:v>IGame.getInvalidShots</c:v>
                </c:pt>
                <c:pt idx="186">
                  <c:v>IGame.getMyFleet</c:v>
                </c:pt>
                <c:pt idx="187">
                  <c:v>IGame.getMyMoves</c:v>
                </c:pt>
                <c:pt idx="188">
                  <c:v>IGame.getRemainingShips</c:v>
                </c:pt>
                <c:pt idx="189">
                  <c:v>IGame.getRepeatedShots</c:v>
                </c:pt>
                <c:pt idx="190">
                  <c:v>IGame.getSunkShips</c:v>
                </c:pt>
                <c:pt idx="191">
                  <c:v>IGame.over</c:v>
                </c:pt>
                <c:pt idx="192">
                  <c:v>IGame.printAlienBoard</c:v>
                </c:pt>
                <c:pt idx="193">
                  <c:v>IGame.printMyBoard</c:v>
                </c:pt>
                <c:pt idx="194">
                  <c:v>IGame.randomEnemyFire</c:v>
                </c:pt>
                <c:pt idx="195">
                  <c:v>IGame.readEnemyFire</c:v>
                </c:pt>
                <c:pt idx="196">
                  <c:v>IGame.recordMyMove</c:v>
                </c:pt>
                <c:pt idx="197">
                  <c:v>IMove.getNumber</c:v>
                </c:pt>
                <c:pt idx="198">
                  <c:v>IMove.getShotResults</c:v>
                </c:pt>
                <c:pt idx="199">
                  <c:v>IMove.getShots</c:v>
                </c:pt>
                <c:pt idx="200">
                  <c:v>IMove.processEnemyFire</c:v>
                </c:pt>
                <c:pt idx="201">
                  <c:v>IMove.toString</c:v>
                </c:pt>
                <c:pt idx="202">
                  <c:v>IPosition.adjacentPositions</c:v>
                </c:pt>
                <c:pt idx="203">
                  <c:v>IPosition.equals</c:v>
                </c:pt>
                <c:pt idx="204">
                  <c:v>IPosition.getClassicColumn</c:v>
                </c:pt>
                <c:pt idx="205">
                  <c:v>IPosition.getClassicRow</c:v>
                </c:pt>
                <c:pt idx="206">
                  <c:v>IPosition.getColumn</c:v>
                </c:pt>
                <c:pt idx="207">
                  <c:v>IPosition.getRow</c:v>
                </c:pt>
                <c:pt idx="208">
                  <c:v>IPosition.isAdjacentTo</c:v>
                </c:pt>
                <c:pt idx="209">
                  <c:v>IPosition.isHit</c:v>
                </c:pt>
                <c:pt idx="210">
                  <c:v>IPosition.isInside</c:v>
                </c:pt>
                <c:pt idx="211">
                  <c:v>IPosition.isOccupied</c:v>
                </c:pt>
                <c:pt idx="212">
                  <c:v>IPosition.occupy</c:v>
                </c:pt>
                <c:pt idx="213">
                  <c:v>IPosition.shoot</c:v>
                </c:pt>
                <c:pt idx="214">
                  <c:v>IShip.getAdjacentPositions</c:v>
                </c:pt>
                <c:pt idx="215">
                  <c:v>IShip.getBearing</c:v>
                </c:pt>
                <c:pt idx="216">
                  <c:v>IShip.getBottomMostPos</c:v>
                </c:pt>
                <c:pt idx="217">
                  <c:v>IShip.getCategory</c:v>
                </c:pt>
                <c:pt idx="218">
                  <c:v>IShip.getLeftMostPos</c:v>
                </c:pt>
                <c:pt idx="219">
                  <c:v>IShip.getPosition</c:v>
                </c:pt>
                <c:pt idx="220">
                  <c:v>IShip.getPositions</c:v>
                </c:pt>
                <c:pt idx="221">
                  <c:v>IShip.getRightMostPos</c:v>
                </c:pt>
                <c:pt idx="222">
                  <c:v>IShip.getSize</c:v>
                </c:pt>
                <c:pt idx="223">
                  <c:v>IShip.getTopMostPos</c:v>
                </c:pt>
                <c:pt idx="224">
                  <c:v>IShip.isInsideBoard</c:v>
                </c:pt>
                <c:pt idx="225">
                  <c:v>IShip.occupies</c:v>
                </c:pt>
                <c:pt idx="226">
                  <c:v>IShip.shoot</c:v>
                </c:pt>
                <c:pt idx="227">
                  <c:v>IShip.sink</c:v>
                </c:pt>
                <c:pt idx="228">
                  <c:v>IShip.stillFloating</c:v>
                </c:pt>
                <c:pt idx="229">
                  <c:v>IShip.tooCloseTo</c:v>
                </c:pt>
                <c:pt idx="230">
                  <c:v>IShip.tooCloseTo</c:v>
                </c:pt>
              </c:strCache>
            </c:strRef>
          </c:cat>
          <c:val>
            <c:numRef>
              <c:f>Method!$E$6:$E$236</c:f>
              <c:numCache>
                <c:formatCode>0</c:formatCode>
                <c:ptCount val="231"/>
                <c:pt idx="0">
                  <c:v>37</c:v>
                </c:pt>
                <c:pt idx="1">
                  <c:v>29</c:v>
                </c:pt>
                <c:pt idx="2">
                  <c:v>19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A-436C-B9EF-778E5046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5762804"/>
        <c:axId val="700467167"/>
      </c:barChart>
      <c:catAx>
        <c:axId val="985762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Métodos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/>
          <a:lstStyle/>
          <a:p>
            <a:pPr lvl="0">
              <a:defRPr sz="5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00467167"/>
        <c:crosses val="autoZero"/>
        <c:auto val="1"/>
        <c:lblAlgn val="ctr"/>
        <c:lblOffset val="100"/>
        <c:noMultiLvlLbl val="1"/>
      </c:catAx>
      <c:valAx>
        <c:axId val="700467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CC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8576280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CC + NOPM + LOC normalizados [0,1] — áreas empilhadas (ordem decrescente da soma)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CC norm.</c:v>
          </c:tx>
          <c:spPr>
            <a:solidFill>
              <a:srgbClr val="F9F9F9">
                <a:alpha val="30000"/>
              </a:srgbClr>
            </a:solidFill>
            <a:ln cmpd="sng">
              <a:noFill/>
            </a:ln>
          </c:spPr>
          <c:cat>
            <c:strRef>
              <c:f>Method!$Z$6:$Z$236</c:f>
              <c:strCache>
                <c:ptCount val="231"/>
                <c:pt idx="0">
                  <c:v>Move.processEnemyFire</c:v>
                </c:pt>
                <c:pt idx="1">
                  <c:v>Tasks.menu</c:v>
                </c:pt>
                <c:pt idx="2">
                  <c:v>BoardPanel.drawCell</c:v>
                </c:pt>
                <c:pt idx="3">
                  <c:v>GameController.receiveShots</c:v>
                </c:pt>
                <c:pt idx="4">
                  <c:v>Game.printBoard</c:v>
                </c:pt>
                <c:pt idx="5">
                  <c:v>AiShotStrategy.computeShots</c:v>
                </c:pt>
                <c:pt idx="6">
                  <c:v>CallbackClient.sendShots</c:v>
                </c:pt>
                <c:pt idx="7">
                  <c:v>GameController.evaluateShots</c:v>
                </c:pt>
                <c:pt idx="8">
                  <c:v>Ship.buildShip</c:v>
                </c:pt>
                <c:pt idx="9">
                  <c:v>Ship.Ship</c:v>
                </c:pt>
                <c:pt idx="10">
                  <c:v>GamePDFExporter.generatePDF</c:v>
                </c:pt>
                <c:pt idx="11">
                  <c:v>BoardState.ownBoard</c:v>
                </c:pt>
                <c:pt idx="12">
                  <c:v>GamePDFExporter.appendMoves</c:v>
                </c:pt>
                <c:pt idx="13">
                  <c:v>CellIcon.paintIcon</c:v>
                </c:pt>
                <c:pt idx="14">
                  <c:v>CallbackClient.recordAiMove</c:v>
                </c:pt>
                <c:pt idx="15">
                  <c:v>AiShotStrategy.getHitButNotSunkPositions</c:v>
                </c:pt>
                <c:pt idx="16">
                  <c:v>ShotResult.ShotResult</c:v>
                </c:pt>
                <c:pt idx="17">
                  <c:v>Caravel.Caravel</c:v>
                </c:pt>
                <c:pt idx="18">
                  <c:v>Carrack.Carrack</c:v>
                </c:pt>
                <c:pt idx="19">
                  <c:v>Frigate.Frigate</c:v>
                </c:pt>
                <c:pt idx="20">
                  <c:v>Game.fireSingleShot</c:v>
                </c:pt>
                <c:pt idx="21">
                  <c:v>BoardState.opponentBoard</c:v>
                </c:pt>
                <c:pt idx="22">
                  <c:v>Galleon.Galleon</c:v>
                </c:pt>
                <c:pt idx="23">
                  <c:v>AiShotStrategy.buildHuntPool</c:v>
                </c:pt>
                <c:pt idx="24">
                  <c:v>GameSession.GameSession</c:v>
                </c:pt>
                <c:pt idx="25">
                  <c:v>Game.printBoardShots</c:v>
                </c:pt>
                <c:pt idx="26">
                  <c:v>Game.readEnemyFire</c:v>
                </c:pt>
                <c:pt idx="27">
                  <c:v>BoardState.set</c:v>
                </c:pt>
                <c:pt idx="28">
                  <c:v>GameController.GameController</c:v>
                </c:pt>
                <c:pt idx="29">
                  <c:v>Move.Move</c:v>
                </c:pt>
                <c:pt idx="30">
                  <c:v>Game.randomEnemyFire</c:v>
                </c:pt>
                <c:pt idx="31">
                  <c:v>Game.printShips</c:v>
                </c:pt>
                <c:pt idx="32">
                  <c:v>Tasks.readClassicPosition</c:v>
                </c:pt>
                <c:pt idx="33">
                  <c:v>Compass.charToCompass</c:v>
                </c:pt>
                <c:pt idx="34">
                  <c:v>I18n.get</c:v>
                </c:pt>
                <c:pt idx="35">
                  <c:v>Game.jsonShots</c:v>
                </c:pt>
                <c:pt idx="36">
                  <c:v>GameController.register</c:v>
                </c:pt>
                <c:pt idx="37">
                  <c:v>Game.printBoardFrame</c:v>
                </c:pt>
                <c:pt idx="38">
                  <c:v>Game.recordMyMove</c:v>
                </c:pt>
                <c:pt idx="39">
                  <c:v>IMove.readMove</c:v>
                </c:pt>
                <c:pt idx="40">
                  <c:v>Position.Position</c:v>
                </c:pt>
                <c:pt idx="41">
                  <c:v>Position.Position</c:v>
                </c:pt>
                <c:pt idx="42">
                  <c:v>Game.fireShots</c:v>
                </c:pt>
                <c:pt idx="43">
                  <c:v>Barge.Barge</c:v>
                </c:pt>
                <c:pt idx="44">
                  <c:v>GameWindow.show</c:v>
                </c:pt>
                <c:pt idx="45">
                  <c:v>Fleet.addShip</c:v>
                </c:pt>
                <c:pt idx="46">
                  <c:v>GameRegistry.createSession</c:v>
                </c:pt>
                <c:pt idx="47">
                  <c:v>GameWindow.boardWithTitle</c:v>
                </c:pt>
                <c:pt idx="48">
                  <c:v>GameWindow.legendItem</c:v>
                </c:pt>
                <c:pt idx="49">
                  <c:v>Game.printAlienBoard</c:v>
                </c:pt>
                <c:pt idx="50">
                  <c:v>Game.printMyBoard</c:v>
                </c:pt>
                <c:pt idx="51">
                  <c:v>GameController.error</c:v>
                </c:pt>
                <c:pt idx="52">
                  <c:v>Tasks.buildFleet</c:v>
                </c:pt>
                <c:pt idx="53">
                  <c:v>GamePDFExporter.generatePDF</c:v>
                </c:pt>
                <c:pt idx="54">
                  <c:v>Position.equals</c:v>
                </c:pt>
                <c:pt idx="55">
                  <c:v>GamePDFExporter.describeResult</c:v>
                </c:pt>
                <c:pt idx="56">
                  <c:v>Fleet.getShipsLike</c:v>
                </c:pt>
                <c:pt idx="57">
                  <c:v>Ship.shoot</c:v>
                </c:pt>
                <c:pt idx="58">
                  <c:v>Ship.tooCloseTo</c:v>
                </c:pt>
                <c:pt idx="59">
                  <c:v>BoardPanel.paintComponent</c:v>
                </c:pt>
                <c:pt idx="60">
                  <c:v>Fleet.shipAt</c:v>
                </c:pt>
                <c:pt idx="61">
                  <c:v>Ship.occupies</c:v>
                </c:pt>
                <c:pt idx="62">
                  <c:v>Ship.tooCloseTo</c:v>
                </c:pt>
                <c:pt idx="63">
                  <c:v>IGame.fireSingleShot</c:v>
                </c:pt>
                <c:pt idx="64">
                  <c:v>IGame.printAlienBoard</c:v>
                </c:pt>
                <c:pt idx="65">
                  <c:v>IGame.printMyBoard</c:v>
                </c:pt>
                <c:pt idx="66">
                  <c:v>IGame.recordMyMove</c:v>
                </c:pt>
                <c:pt idx="67">
                  <c:v>Fleet.colisionRisk</c:v>
                </c:pt>
                <c:pt idx="68">
                  <c:v>Galleon.fillSouth</c:v>
                </c:pt>
                <c:pt idx="69">
                  <c:v>BoardPanel.drawCoordinates</c:v>
                </c:pt>
                <c:pt idx="70">
                  <c:v>I18n.setLanguage</c:v>
                </c:pt>
                <c:pt idx="71">
                  <c:v>Galleon.fillEast</c:v>
                </c:pt>
                <c:pt idx="72">
                  <c:v>Galleon.fillNorth</c:v>
                </c:pt>
                <c:pt idx="73">
                  <c:v>Galleon.fillWest</c:v>
                </c:pt>
                <c:pt idx="74">
                  <c:v>Game.repeatedShot</c:v>
                </c:pt>
                <c:pt idx="75">
                  <c:v>Fleet.printShips</c:v>
                </c:pt>
                <c:pt idx="76">
                  <c:v>Position.isAdjacentTo</c:v>
                </c:pt>
                <c:pt idx="77">
                  <c:v>Game.Game</c:v>
                </c:pt>
                <c:pt idx="78">
                  <c:v>Fleet.createRandom</c:v>
                </c:pt>
                <c:pt idx="79">
                  <c:v>Fleet.printShipsByCategory</c:v>
                </c:pt>
                <c:pt idx="80">
                  <c:v>Position.adjacentPositions</c:v>
                </c:pt>
                <c:pt idx="81">
                  <c:v>BoardPanel.setCells</c:v>
                </c:pt>
                <c:pt idx="82">
                  <c:v>Main.main</c:v>
                </c:pt>
                <c:pt idx="83">
                  <c:v>Compass.Compass</c:v>
                </c:pt>
                <c:pt idx="84">
                  <c:v>Tasks.readShip</c:v>
                </c:pt>
                <c:pt idx="85">
                  <c:v>Ship.getAdjacentPositions</c:v>
                </c:pt>
                <c:pt idx="86">
                  <c:v>Tasks.readPosition</c:v>
                </c:pt>
                <c:pt idx="87">
                  <c:v>GamePDFExporter.toPdfText</c:v>
                </c:pt>
                <c:pt idx="88">
                  <c:v>Tasks.printElapsed</c:v>
                </c:pt>
                <c:pt idx="89">
                  <c:v>GameRegistry.getSession</c:v>
                </c:pt>
                <c:pt idx="90">
                  <c:v>GameRegistry.removeSession</c:v>
                </c:pt>
                <c:pt idx="91">
                  <c:v>CellState.CellState</c:v>
                </c:pt>
                <c:pt idx="92">
                  <c:v>BattleshipServer.main</c:v>
                </c:pt>
                <c:pt idx="93">
                  <c:v>CellIcon.CellIcon</c:v>
                </c:pt>
                <c:pt idx="94">
                  <c:v>ErrorResponse.ErrorResponse</c:v>
                </c:pt>
                <c:pt idx="95">
                  <c:v>Fleet.getFloatingShips</c:v>
                </c:pt>
                <c:pt idx="96">
                  <c:v>Fleet.getSunkShips</c:v>
                </c:pt>
                <c:pt idx="97">
                  <c:v>Ship.getBottomMostPos</c:v>
                </c:pt>
                <c:pt idx="98">
                  <c:v>Ship.getLeftMostPos</c:v>
                </c:pt>
                <c:pt idx="99">
                  <c:v>Ship.getRightMostPos</c:v>
                </c:pt>
                <c:pt idx="100">
                  <c:v>Ship.getTopMostPos</c:v>
                </c:pt>
                <c:pt idx="101">
                  <c:v>CellState.valueOf</c:v>
                </c:pt>
                <c:pt idx="102">
                  <c:v>Compass.valueOf</c:v>
                </c:pt>
                <c:pt idx="103">
                  <c:v>IFleet.addShip</c:v>
                </c:pt>
                <c:pt idx="104">
                  <c:v>IFleet.getShipsLike</c:v>
                </c:pt>
                <c:pt idx="105">
                  <c:v>IFleet.shipAt</c:v>
                </c:pt>
                <c:pt idx="106">
                  <c:v>IGame.fireShots</c:v>
                </c:pt>
                <c:pt idx="107">
                  <c:v>IGame.readEnemyFire</c:v>
                </c:pt>
                <c:pt idx="108">
                  <c:v>IMove.processEnemyFire</c:v>
                </c:pt>
                <c:pt idx="109">
                  <c:v>IPosition.equals</c:v>
                </c:pt>
                <c:pt idx="110">
                  <c:v>IPosition.isAdjacentTo</c:v>
                </c:pt>
                <c:pt idx="111">
                  <c:v>IShip.occupies</c:v>
                </c:pt>
                <c:pt idx="112">
                  <c:v>IShip.shoot</c:v>
                </c:pt>
                <c:pt idx="113">
                  <c:v>IShip.tooCloseTo</c:v>
                </c:pt>
                <c:pt idx="114">
                  <c:v>IShip.tooCloseTo</c:v>
                </c:pt>
                <c:pt idx="115">
                  <c:v>Ship.stillFloating</c:v>
                </c:pt>
                <c:pt idx="116">
                  <c:v>Position.isInside</c:v>
                </c:pt>
                <c:pt idx="117">
                  <c:v>GameWindow.GameWindow</c:v>
                </c:pt>
                <c:pt idx="118">
                  <c:v>Tasks.menuHelp</c:v>
                </c:pt>
                <c:pt idx="119">
                  <c:v>Ship.isInsideBoard</c:v>
                </c:pt>
                <c:pt idx="120">
                  <c:v>Ship.sink</c:v>
                </c:pt>
                <c:pt idx="121">
                  <c:v>Ship.getBearing</c:v>
                </c:pt>
                <c:pt idx="122">
                  <c:v>Ship.getCategory</c:v>
                </c:pt>
                <c:pt idx="123">
                  <c:v>Ship.getPosition</c:v>
                </c:pt>
                <c:pt idx="124">
                  <c:v>GameWindow.close</c:v>
                </c:pt>
                <c:pt idx="125">
                  <c:v>Fleet.printStatus</c:v>
                </c:pt>
                <c:pt idx="126">
                  <c:v>GameWindow.updateTexts</c:v>
                </c:pt>
                <c:pt idx="127">
                  <c:v>BoardPanel.BoardPanel</c:v>
                </c:pt>
                <c:pt idx="128">
                  <c:v>Position.toString</c:v>
                </c:pt>
                <c:pt idx="129">
                  <c:v>Compass.randomBearing</c:v>
                </c:pt>
                <c:pt idx="130">
                  <c:v>Compass.toString</c:v>
                </c:pt>
                <c:pt idx="131">
                  <c:v>Fleet.getShips</c:v>
                </c:pt>
                <c:pt idx="132">
                  <c:v>Ship.toString</c:v>
                </c:pt>
                <c:pt idx="133">
                  <c:v>BoardState.emptyBoard</c:v>
                </c:pt>
                <c:pt idx="134">
                  <c:v>Compass.getDirection</c:v>
                </c:pt>
                <c:pt idx="135">
                  <c:v>Position.getColumn</c:v>
                </c:pt>
                <c:pt idx="136">
                  <c:v>Position.getRow</c:v>
                </c:pt>
                <c:pt idx="137">
                  <c:v>Position.hashCode</c:v>
                </c:pt>
                <c:pt idx="138">
                  <c:v>Position.isHit</c:v>
                </c:pt>
                <c:pt idx="139">
                  <c:v>Position.isOccupied</c:v>
                </c:pt>
                <c:pt idx="140">
                  <c:v>Ship.getPositions</c:v>
                </c:pt>
                <c:pt idx="141">
                  <c:v>Ship.getSize</c:v>
                </c:pt>
                <c:pt idx="142">
                  <c:v>Move.toString</c:v>
                </c:pt>
                <c:pt idx="143">
                  <c:v>Position.getClassicColumn</c:v>
                </c:pt>
                <c:pt idx="144">
                  <c:v>Position.getClassicRow</c:v>
                </c:pt>
                <c:pt idx="145">
                  <c:v>Fleet.Fleet</c:v>
                </c:pt>
                <c:pt idx="146">
                  <c:v>Fleet.printAllShips</c:v>
                </c:pt>
                <c:pt idx="147">
                  <c:v>Fleet.printFloatingShips</c:v>
                </c:pt>
                <c:pt idx="148">
                  <c:v>Position.occupy</c:v>
                </c:pt>
                <c:pt idx="149">
                  <c:v>Position.randomPosition</c:v>
                </c:pt>
                <c:pt idx="150">
                  <c:v>Position.shoot</c:v>
                </c:pt>
                <c:pt idx="151">
                  <c:v>CellState.getSymbol</c:v>
                </c:pt>
                <c:pt idx="152">
                  <c:v>Game.getRemainingShips</c:v>
                </c:pt>
                <c:pt idx="153">
                  <c:v>Game.over</c:v>
                </c:pt>
                <c:pt idx="154">
                  <c:v>I18n.getCurrentLanguage</c:v>
                </c:pt>
                <c:pt idx="155">
                  <c:v>CallbackClient.CallbackClient</c:v>
                </c:pt>
                <c:pt idx="156">
                  <c:v>Game.getAlienFleet</c:v>
                </c:pt>
                <c:pt idx="157">
                  <c:v>Game.getAlienMoves</c:v>
                </c:pt>
                <c:pt idx="158">
                  <c:v>Game.getHits</c:v>
                </c:pt>
                <c:pt idx="159">
                  <c:v>Game.getInvalidShots</c:v>
                </c:pt>
                <c:pt idx="160">
                  <c:v>Game.getMyFleet</c:v>
                </c:pt>
                <c:pt idx="161">
                  <c:v>Game.getMyMoves</c:v>
                </c:pt>
                <c:pt idx="162">
                  <c:v>Game.getRepeatedShots</c:v>
                </c:pt>
                <c:pt idx="163">
                  <c:v>Game.getSunkShips</c:v>
                </c:pt>
                <c:pt idx="164">
                  <c:v>GameWindow.title</c:v>
                </c:pt>
                <c:pt idx="165">
                  <c:v>CellIcon.getIconHeight</c:v>
                </c:pt>
                <c:pt idx="166">
                  <c:v>CellIcon.getIconWidth</c:v>
                </c:pt>
                <c:pt idx="167">
                  <c:v>Move.getNumber</c:v>
                </c:pt>
                <c:pt idx="168">
                  <c:v>Move.getShotResults</c:v>
                </c:pt>
                <c:pt idx="169">
                  <c:v>Move.getShots</c:v>
                </c:pt>
                <c:pt idx="170">
                  <c:v>GameSession.markAiWins</c:v>
                </c:pt>
                <c:pt idx="171">
                  <c:v>GameSession.markStudentWins</c:v>
                </c:pt>
                <c:pt idx="172">
                  <c:v>BoardState.BoardState</c:v>
                </c:pt>
                <c:pt idx="173">
                  <c:v>I18n.I18n</c:v>
                </c:pt>
                <c:pt idx="174">
                  <c:v>GamePDFExporter.GamePDFExporter</c:v>
                </c:pt>
                <c:pt idx="175">
                  <c:v>CellIcon.state</c:v>
                </c:pt>
                <c:pt idx="176">
                  <c:v>ShotResult.repeated</c:v>
                </c:pt>
                <c:pt idx="177">
                  <c:v>ShotResult.ship</c:v>
                </c:pt>
                <c:pt idx="178">
                  <c:v>ShotResult.sunk</c:v>
                </c:pt>
                <c:pt idx="179">
                  <c:v>ShotResult.valid</c:v>
                </c:pt>
                <c:pt idx="180">
                  <c:v>GameSession.getCallbackUrl</c:v>
                </c:pt>
                <c:pt idx="181">
                  <c:v>GameSession.getGame</c:v>
                </c:pt>
                <c:pt idx="182">
                  <c:v>GameSession.getGameId</c:v>
                </c:pt>
                <c:pt idx="183">
                  <c:v>GameSession.getPlayerName</c:v>
                </c:pt>
                <c:pt idx="184">
                  <c:v>GameSession.getShotsPerTurn</c:v>
                </c:pt>
                <c:pt idx="185">
                  <c:v>GameSession.getWinner</c:v>
                </c:pt>
                <c:pt idx="186">
                  <c:v>GameSession.isGameOver</c:v>
                </c:pt>
                <c:pt idx="187">
                  <c:v>CellState.values</c:v>
                </c:pt>
                <c:pt idx="188">
                  <c:v>Compass.values</c:v>
                </c:pt>
                <c:pt idx="189">
                  <c:v>IFleet.getFloatingShips</c:v>
                </c:pt>
                <c:pt idx="190">
                  <c:v>IFleet.getShips</c:v>
                </c:pt>
                <c:pt idx="191">
                  <c:v>IFleet.getSunkShips</c:v>
                </c:pt>
                <c:pt idx="192">
                  <c:v>IFleet.printStatus</c:v>
                </c:pt>
                <c:pt idx="193">
                  <c:v>IGame.getAlienFleet</c:v>
                </c:pt>
                <c:pt idx="194">
                  <c:v>IGame.getAlienMoves</c:v>
                </c:pt>
                <c:pt idx="195">
                  <c:v>IGame.getHits</c:v>
                </c:pt>
                <c:pt idx="196">
                  <c:v>IGame.getInvalidShots</c:v>
                </c:pt>
                <c:pt idx="197">
                  <c:v>IGame.getMyFleet</c:v>
                </c:pt>
                <c:pt idx="198">
                  <c:v>IGame.getMyMoves</c:v>
                </c:pt>
                <c:pt idx="199">
                  <c:v>IGame.getRemainingShips</c:v>
                </c:pt>
                <c:pt idx="200">
                  <c:v>IGame.getRepeatedShots</c:v>
                </c:pt>
                <c:pt idx="201">
                  <c:v>IGame.getSunkShips</c:v>
                </c:pt>
                <c:pt idx="202">
                  <c:v>IGame.over</c:v>
                </c:pt>
                <c:pt idx="203">
                  <c:v>IGame.randomEnemyFire</c:v>
                </c:pt>
                <c:pt idx="204">
                  <c:v>IMove.getNumber</c:v>
                </c:pt>
                <c:pt idx="205">
                  <c:v>IMove.getShotResults</c:v>
                </c:pt>
                <c:pt idx="206">
                  <c:v>IMove.getShots</c:v>
                </c:pt>
                <c:pt idx="207">
                  <c:v>IMove.toString</c:v>
                </c:pt>
                <c:pt idx="208">
                  <c:v>IPosition.adjacentPositions</c:v>
                </c:pt>
                <c:pt idx="209">
                  <c:v>IPosition.getClassicColumn</c:v>
                </c:pt>
                <c:pt idx="210">
                  <c:v>IPosition.getClassicRow</c:v>
                </c:pt>
                <c:pt idx="211">
                  <c:v>IPosition.getColumn</c:v>
                </c:pt>
                <c:pt idx="212">
                  <c:v>IPosition.getRow</c:v>
                </c:pt>
                <c:pt idx="213">
                  <c:v>IPosition.isHit</c:v>
                </c:pt>
                <c:pt idx="214">
                  <c:v>IPosition.isInside</c:v>
                </c:pt>
                <c:pt idx="215">
                  <c:v>IPosition.isOccupied</c:v>
                </c:pt>
                <c:pt idx="216">
                  <c:v>IPosition.occupy</c:v>
                </c:pt>
                <c:pt idx="217">
                  <c:v>IPosition.shoot</c:v>
                </c:pt>
                <c:pt idx="218">
                  <c:v>IShip.getAdjacentPositions</c:v>
                </c:pt>
                <c:pt idx="219">
                  <c:v>IShip.getBearing</c:v>
                </c:pt>
                <c:pt idx="220">
                  <c:v>IShip.getBottomMostPos</c:v>
                </c:pt>
                <c:pt idx="221">
                  <c:v>IShip.getCategory</c:v>
                </c:pt>
                <c:pt idx="222">
                  <c:v>IShip.getLeftMostPos</c:v>
                </c:pt>
                <c:pt idx="223">
                  <c:v>IShip.getPosition</c:v>
                </c:pt>
                <c:pt idx="224">
                  <c:v>IShip.getPositions</c:v>
                </c:pt>
                <c:pt idx="225">
                  <c:v>IShip.getRightMostPos</c:v>
                </c:pt>
                <c:pt idx="226">
                  <c:v>IShip.getSize</c:v>
                </c:pt>
                <c:pt idx="227">
                  <c:v>IShip.getTopMostPos</c:v>
                </c:pt>
                <c:pt idx="228">
                  <c:v>IShip.isInsideBoard</c:v>
                </c:pt>
                <c:pt idx="229">
                  <c:v>IShip.sink</c:v>
                </c:pt>
                <c:pt idx="230">
                  <c:v>IShip.stillFloating</c:v>
                </c:pt>
              </c:strCache>
            </c:strRef>
          </c:cat>
          <c:val>
            <c:numRef>
              <c:f>Method!$AD$6:$AD$236</c:f>
              <c:numCache>
                <c:formatCode>0.000</c:formatCode>
                <c:ptCount val="231"/>
                <c:pt idx="0">
                  <c:v>1</c:v>
                </c:pt>
                <c:pt idx="1">
                  <c:v>0.77777777777777779</c:v>
                </c:pt>
                <c:pt idx="2">
                  <c:v>0</c:v>
                </c:pt>
                <c:pt idx="3">
                  <c:v>0.30555555555555558</c:v>
                </c:pt>
                <c:pt idx="4">
                  <c:v>0.1111111111111111</c:v>
                </c:pt>
                <c:pt idx="5">
                  <c:v>0.5</c:v>
                </c:pt>
                <c:pt idx="6">
                  <c:v>0.22222222222222221</c:v>
                </c:pt>
                <c:pt idx="7">
                  <c:v>0.1388888888888889</c:v>
                </c:pt>
                <c:pt idx="8">
                  <c:v>0.16666666666666666</c:v>
                </c:pt>
                <c:pt idx="9">
                  <c:v>0</c:v>
                </c:pt>
                <c:pt idx="10">
                  <c:v>5.5555555555555552E-2</c:v>
                </c:pt>
                <c:pt idx="11">
                  <c:v>0.25</c:v>
                </c:pt>
                <c:pt idx="12">
                  <c:v>0.1111111111111111</c:v>
                </c:pt>
                <c:pt idx="13">
                  <c:v>0</c:v>
                </c:pt>
                <c:pt idx="14">
                  <c:v>8.3333333333333329E-2</c:v>
                </c:pt>
                <c:pt idx="15">
                  <c:v>0.25</c:v>
                </c:pt>
                <c:pt idx="16">
                  <c:v>0</c:v>
                </c:pt>
                <c:pt idx="17">
                  <c:v>0.22222222222222221</c:v>
                </c:pt>
                <c:pt idx="18">
                  <c:v>0.22222222222222221</c:v>
                </c:pt>
                <c:pt idx="19">
                  <c:v>0.22222222222222221</c:v>
                </c:pt>
                <c:pt idx="20">
                  <c:v>0.1388888888888889</c:v>
                </c:pt>
                <c:pt idx="21">
                  <c:v>0.27777777777777779</c:v>
                </c:pt>
                <c:pt idx="22">
                  <c:v>0.1111111111111111</c:v>
                </c:pt>
                <c:pt idx="23">
                  <c:v>0.1388888888888889</c:v>
                </c:pt>
                <c:pt idx="24">
                  <c:v>0</c:v>
                </c:pt>
                <c:pt idx="25">
                  <c:v>0.16666666666666666</c:v>
                </c:pt>
                <c:pt idx="26">
                  <c:v>0.1388888888888889</c:v>
                </c:pt>
                <c:pt idx="27">
                  <c:v>2.7777777777777776E-2</c:v>
                </c:pt>
                <c:pt idx="28">
                  <c:v>0</c:v>
                </c:pt>
                <c:pt idx="29">
                  <c:v>0</c:v>
                </c:pt>
                <c:pt idx="30">
                  <c:v>0.25</c:v>
                </c:pt>
                <c:pt idx="31">
                  <c:v>0.1111111111111111</c:v>
                </c:pt>
                <c:pt idx="32">
                  <c:v>0.19444444444444445</c:v>
                </c:pt>
                <c:pt idx="33">
                  <c:v>0.1388888888888889</c:v>
                </c:pt>
                <c:pt idx="34">
                  <c:v>2.7777777777777776E-2</c:v>
                </c:pt>
                <c:pt idx="35">
                  <c:v>5.5555555555555552E-2</c:v>
                </c:pt>
                <c:pt idx="36">
                  <c:v>0.1111111111111111</c:v>
                </c:pt>
                <c:pt idx="37">
                  <c:v>0.1388888888888889</c:v>
                </c:pt>
                <c:pt idx="38">
                  <c:v>2.7777777777777776E-2</c:v>
                </c:pt>
                <c:pt idx="39">
                  <c:v>2.7777777777777776E-2</c:v>
                </c:pt>
                <c:pt idx="40">
                  <c:v>0</c:v>
                </c:pt>
                <c:pt idx="41">
                  <c:v>0</c:v>
                </c:pt>
                <c:pt idx="42">
                  <c:v>5.5555555555555552E-2</c:v>
                </c:pt>
                <c:pt idx="43">
                  <c:v>0</c:v>
                </c:pt>
                <c:pt idx="44">
                  <c:v>0.1111111111111111</c:v>
                </c:pt>
                <c:pt idx="45">
                  <c:v>8.3333333333333329E-2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8.3333333333333329E-2</c:v>
                </c:pt>
                <c:pt idx="53">
                  <c:v>0</c:v>
                </c:pt>
                <c:pt idx="54">
                  <c:v>8.3333333333333329E-2</c:v>
                </c:pt>
                <c:pt idx="55">
                  <c:v>0.1111111111111111</c:v>
                </c:pt>
                <c:pt idx="56">
                  <c:v>5.5555555555555552E-2</c:v>
                </c:pt>
                <c:pt idx="57">
                  <c:v>5.5555555555555552E-2</c:v>
                </c:pt>
                <c:pt idx="58">
                  <c:v>5.5555555555555552E-2</c:v>
                </c:pt>
                <c:pt idx="59">
                  <c:v>8.3333333333333329E-2</c:v>
                </c:pt>
                <c:pt idx="60">
                  <c:v>5.5555555555555552E-2</c:v>
                </c:pt>
                <c:pt idx="61">
                  <c:v>5.5555555555555552E-2</c:v>
                </c:pt>
                <c:pt idx="62">
                  <c:v>5.5555555555555552E-2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5.5555555555555552E-2</c:v>
                </c:pt>
                <c:pt idx="68">
                  <c:v>5.5555555555555552E-2</c:v>
                </c:pt>
                <c:pt idx="69">
                  <c:v>2.7777777777777776E-2</c:v>
                </c:pt>
                <c:pt idx="70">
                  <c:v>2.7777777777777776E-2</c:v>
                </c:pt>
                <c:pt idx="71">
                  <c:v>2.7777777777777776E-2</c:v>
                </c:pt>
                <c:pt idx="72">
                  <c:v>2.7777777777777776E-2</c:v>
                </c:pt>
                <c:pt idx="73">
                  <c:v>2.7777777777777776E-2</c:v>
                </c:pt>
                <c:pt idx="74">
                  <c:v>5.5555555555555552E-2</c:v>
                </c:pt>
                <c:pt idx="75">
                  <c:v>2.7777777777777776E-2</c:v>
                </c:pt>
                <c:pt idx="76">
                  <c:v>2.7777777777777776E-2</c:v>
                </c:pt>
                <c:pt idx="77">
                  <c:v>0</c:v>
                </c:pt>
                <c:pt idx="78">
                  <c:v>8.3333333333333329E-2</c:v>
                </c:pt>
                <c:pt idx="79">
                  <c:v>0</c:v>
                </c:pt>
                <c:pt idx="80">
                  <c:v>5.5555555555555552E-2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0.1111111111111111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5.5555555555555552E-2</c:v>
                </c:pt>
                <c:pt idx="98">
                  <c:v>5.5555555555555552E-2</c:v>
                </c:pt>
                <c:pt idx="99">
                  <c:v>5.5555555555555552E-2</c:v>
                </c:pt>
                <c:pt idx="100">
                  <c:v>5.5555555555555552E-2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5.5555555555555552E-2</c:v>
                </c:pt>
                <c:pt idx="116">
                  <c:v>8.3333333333333329E-2</c:v>
                </c:pt>
                <c:pt idx="117">
                  <c:v>0</c:v>
                </c:pt>
                <c:pt idx="118">
                  <c:v>0</c:v>
                </c:pt>
                <c:pt idx="119">
                  <c:v>8.3333333333333329E-2</c:v>
                </c:pt>
                <c:pt idx="120">
                  <c:v>2.7777777777777776E-2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2.7777777777777776E-2</c:v>
                </c:pt>
                <c:pt idx="125">
                  <c:v>0</c:v>
                </c:pt>
                <c:pt idx="126">
                  <c:v>0</c:v>
                </c:pt>
                <c:pt idx="127">
                  <c:v>2.7777777777777776E-2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2.7777777777777776E-2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3-4DC2-AE30-F35026878BFA}"/>
            </c:ext>
          </c:extLst>
        </c:ser>
        <c:ser>
          <c:idx val="1"/>
          <c:order val="1"/>
          <c:tx>
            <c:v>NOPM norm.</c:v>
          </c:tx>
          <c:spPr>
            <a:solidFill>
              <a:srgbClr val="F9F9F9">
                <a:alpha val="30000"/>
              </a:srgbClr>
            </a:solidFill>
            <a:ln cmpd="sng">
              <a:noFill/>
            </a:ln>
          </c:spPr>
          <c:cat>
            <c:strRef>
              <c:f>Method!$Z$6:$Z$236</c:f>
              <c:strCache>
                <c:ptCount val="231"/>
                <c:pt idx="0">
                  <c:v>Move.processEnemyFire</c:v>
                </c:pt>
                <c:pt idx="1">
                  <c:v>Tasks.menu</c:v>
                </c:pt>
                <c:pt idx="2">
                  <c:v>BoardPanel.drawCell</c:v>
                </c:pt>
                <c:pt idx="3">
                  <c:v>GameController.receiveShots</c:v>
                </c:pt>
                <c:pt idx="4">
                  <c:v>Game.printBoard</c:v>
                </c:pt>
                <c:pt idx="5">
                  <c:v>AiShotStrategy.computeShots</c:v>
                </c:pt>
                <c:pt idx="6">
                  <c:v>CallbackClient.sendShots</c:v>
                </c:pt>
                <c:pt idx="7">
                  <c:v>GameController.evaluateShots</c:v>
                </c:pt>
                <c:pt idx="8">
                  <c:v>Ship.buildShip</c:v>
                </c:pt>
                <c:pt idx="9">
                  <c:v>Ship.Ship</c:v>
                </c:pt>
                <c:pt idx="10">
                  <c:v>GamePDFExporter.generatePDF</c:v>
                </c:pt>
                <c:pt idx="11">
                  <c:v>BoardState.ownBoard</c:v>
                </c:pt>
                <c:pt idx="12">
                  <c:v>GamePDFExporter.appendMoves</c:v>
                </c:pt>
                <c:pt idx="13">
                  <c:v>CellIcon.paintIcon</c:v>
                </c:pt>
                <c:pt idx="14">
                  <c:v>CallbackClient.recordAiMove</c:v>
                </c:pt>
                <c:pt idx="15">
                  <c:v>AiShotStrategy.getHitButNotSunkPositions</c:v>
                </c:pt>
                <c:pt idx="16">
                  <c:v>ShotResult.ShotResult</c:v>
                </c:pt>
                <c:pt idx="17">
                  <c:v>Caravel.Caravel</c:v>
                </c:pt>
                <c:pt idx="18">
                  <c:v>Carrack.Carrack</c:v>
                </c:pt>
                <c:pt idx="19">
                  <c:v>Frigate.Frigate</c:v>
                </c:pt>
                <c:pt idx="20">
                  <c:v>Game.fireSingleShot</c:v>
                </c:pt>
                <c:pt idx="21">
                  <c:v>BoardState.opponentBoard</c:v>
                </c:pt>
                <c:pt idx="22">
                  <c:v>Galleon.Galleon</c:v>
                </c:pt>
                <c:pt idx="23">
                  <c:v>AiShotStrategy.buildHuntPool</c:v>
                </c:pt>
                <c:pt idx="24">
                  <c:v>GameSession.GameSession</c:v>
                </c:pt>
                <c:pt idx="25">
                  <c:v>Game.printBoardShots</c:v>
                </c:pt>
                <c:pt idx="26">
                  <c:v>Game.readEnemyFire</c:v>
                </c:pt>
                <c:pt idx="27">
                  <c:v>BoardState.set</c:v>
                </c:pt>
                <c:pt idx="28">
                  <c:v>GameController.GameController</c:v>
                </c:pt>
                <c:pt idx="29">
                  <c:v>Move.Move</c:v>
                </c:pt>
                <c:pt idx="30">
                  <c:v>Game.randomEnemyFire</c:v>
                </c:pt>
                <c:pt idx="31">
                  <c:v>Game.printShips</c:v>
                </c:pt>
                <c:pt idx="32">
                  <c:v>Tasks.readClassicPosition</c:v>
                </c:pt>
                <c:pt idx="33">
                  <c:v>Compass.charToCompass</c:v>
                </c:pt>
                <c:pt idx="34">
                  <c:v>I18n.get</c:v>
                </c:pt>
                <c:pt idx="35">
                  <c:v>Game.jsonShots</c:v>
                </c:pt>
                <c:pt idx="36">
                  <c:v>GameController.register</c:v>
                </c:pt>
                <c:pt idx="37">
                  <c:v>Game.printBoardFrame</c:v>
                </c:pt>
                <c:pt idx="38">
                  <c:v>Game.recordMyMove</c:v>
                </c:pt>
                <c:pt idx="39">
                  <c:v>IMove.readMove</c:v>
                </c:pt>
                <c:pt idx="40">
                  <c:v>Position.Position</c:v>
                </c:pt>
                <c:pt idx="41">
                  <c:v>Position.Position</c:v>
                </c:pt>
                <c:pt idx="42">
                  <c:v>Game.fireShots</c:v>
                </c:pt>
                <c:pt idx="43">
                  <c:v>Barge.Barge</c:v>
                </c:pt>
                <c:pt idx="44">
                  <c:v>GameWindow.show</c:v>
                </c:pt>
                <c:pt idx="45">
                  <c:v>Fleet.addShip</c:v>
                </c:pt>
                <c:pt idx="46">
                  <c:v>GameRegistry.createSession</c:v>
                </c:pt>
                <c:pt idx="47">
                  <c:v>GameWindow.boardWithTitle</c:v>
                </c:pt>
                <c:pt idx="48">
                  <c:v>GameWindow.legendItem</c:v>
                </c:pt>
                <c:pt idx="49">
                  <c:v>Game.printAlienBoard</c:v>
                </c:pt>
                <c:pt idx="50">
                  <c:v>Game.printMyBoard</c:v>
                </c:pt>
                <c:pt idx="51">
                  <c:v>GameController.error</c:v>
                </c:pt>
                <c:pt idx="52">
                  <c:v>Tasks.buildFleet</c:v>
                </c:pt>
                <c:pt idx="53">
                  <c:v>GamePDFExporter.generatePDF</c:v>
                </c:pt>
                <c:pt idx="54">
                  <c:v>Position.equals</c:v>
                </c:pt>
                <c:pt idx="55">
                  <c:v>GamePDFExporter.describeResult</c:v>
                </c:pt>
                <c:pt idx="56">
                  <c:v>Fleet.getShipsLike</c:v>
                </c:pt>
                <c:pt idx="57">
                  <c:v>Ship.shoot</c:v>
                </c:pt>
                <c:pt idx="58">
                  <c:v>Ship.tooCloseTo</c:v>
                </c:pt>
                <c:pt idx="59">
                  <c:v>BoardPanel.paintComponent</c:v>
                </c:pt>
                <c:pt idx="60">
                  <c:v>Fleet.shipAt</c:v>
                </c:pt>
                <c:pt idx="61">
                  <c:v>Ship.occupies</c:v>
                </c:pt>
                <c:pt idx="62">
                  <c:v>Ship.tooCloseTo</c:v>
                </c:pt>
                <c:pt idx="63">
                  <c:v>IGame.fireSingleShot</c:v>
                </c:pt>
                <c:pt idx="64">
                  <c:v>IGame.printAlienBoard</c:v>
                </c:pt>
                <c:pt idx="65">
                  <c:v>IGame.printMyBoard</c:v>
                </c:pt>
                <c:pt idx="66">
                  <c:v>IGame.recordMyMove</c:v>
                </c:pt>
                <c:pt idx="67">
                  <c:v>Fleet.colisionRisk</c:v>
                </c:pt>
                <c:pt idx="68">
                  <c:v>Galleon.fillSouth</c:v>
                </c:pt>
                <c:pt idx="69">
                  <c:v>BoardPanel.drawCoordinates</c:v>
                </c:pt>
                <c:pt idx="70">
                  <c:v>I18n.setLanguage</c:v>
                </c:pt>
                <c:pt idx="71">
                  <c:v>Galleon.fillEast</c:v>
                </c:pt>
                <c:pt idx="72">
                  <c:v>Galleon.fillNorth</c:v>
                </c:pt>
                <c:pt idx="73">
                  <c:v>Galleon.fillWest</c:v>
                </c:pt>
                <c:pt idx="74">
                  <c:v>Game.repeatedShot</c:v>
                </c:pt>
                <c:pt idx="75">
                  <c:v>Fleet.printShips</c:v>
                </c:pt>
                <c:pt idx="76">
                  <c:v>Position.isAdjacentTo</c:v>
                </c:pt>
                <c:pt idx="77">
                  <c:v>Game.Game</c:v>
                </c:pt>
                <c:pt idx="78">
                  <c:v>Fleet.createRandom</c:v>
                </c:pt>
                <c:pt idx="79">
                  <c:v>Fleet.printShipsByCategory</c:v>
                </c:pt>
                <c:pt idx="80">
                  <c:v>Position.adjacentPositions</c:v>
                </c:pt>
                <c:pt idx="81">
                  <c:v>BoardPanel.setCells</c:v>
                </c:pt>
                <c:pt idx="82">
                  <c:v>Main.main</c:v>
                </c:pt>
                <c:pt idx="83">
                  <c:v>Compass.Compass</c:v>
                </c:pt>
                <c:pt idx="84">
                  <c:v>Tasks.readShip</c:v>
                </c:pt>
                <c:pt idx="85">
                  <c:v>Ship.getAdjacentPositions</c:v>
                </c:pt>
                <c:pt idx="86">
                  <c:v>Tasks.readPosition</c:v>
                </c:pt>
                <c:pt idx="87">
                  <c:v>GamePDFExporter.toPdfText</c:v>
                </c:pt>
                <c:pt idx="88">
                  <c:v>Tasks.printElapsed</c:v>
                </c:pt>
                <c:pt idx="89">
                  <c:v>GameRegistry.getSession</c:v>
                </c:pt>
                <c:pt idx="90">
                  <c:v>GameRegistry.removeSession</c:v>
                </c:pt>
                <c:pt idx="91">
                  <c:v>CellState.CellState</c:v>
                </c:pt>
                <c:pt idx="92">
                  <c:v>BattleshipServer.main</c:v>
                </c:pt>
                <c:pt idx="93">
                  <c:v>CellIcon.CellIcon</c:v>
                </c:pt>
                <c:pt idx="94">
                  <c:v>ErrorResponse.ErrorResponse</c:v>
                </c:pt>
                <c:pt idx="95">
                  <c:v>Fleet.getFloatingShips</c:v>
                </c:pt>
                <c:pt idx="96">
                  <c:v>Fleet.getSunkShips</c:v>
                </c:pt>
                <c:pt idx="97">
                  <c:v>Ship.getBottomMostPos</c:v>
                </c:pt>
                <c:pt idx="98">
                  <c:v>Ship.getLeftMostPos</c:v>
                </c:pt>
                <c:pt idx="99">
                  <c:v>Ship.getRightMostPos</c:v>
                </c:pt>
                <c:pt idx="100">
                  <c:v>Ship.getTopMostPos</c:v>
                </c:pt>
                <c:pt idx="101">
                  <c:v>CellState.valueOf</c:v>
                </c:pt>
                <c:pt idx="102">
                  <c:v>Compass.valueOf</c:v>
                </c:pt>
                <c:pt idx="103">
                  <c:v>IFleet.addShip</c:v>
                </c:pt>
                <c:pt idx="104">
                  <c:v>IFleet.getShipsLike</c:v>
                </c:pt>
                <c:pt idx="105">
                  <c:v>IFleet.shipAt</c:v>
                </c:pt>
                <c:pt idx="106">
                  <c:v>IGame.fireShots</c:v>
                </c:pt>
                <c:pt idx="107">
                  <c:v>IGame.readEnemyFire</c:v>
                </c:pt>
                <c:pt idx="108">
                  <c:v>IMove.processEnemyFire</c:v>
                </c:pt>
                <c:pt idx="109">
                  <c:v>IPosition.equals</c:v>
                </c:pt>
                <c:pt idx="110">
                  <c:v>IPosition.isAdjacentTo</c:v>
                </c:pt>
                <c:pt idx="111">
                  <c:v>IShip.occupies</c:v>
                </c:pt>
                <c:pt idx="112">
                  <c:v>IShip.shoot</c:v>
                </c:pt>
                <c:pt idx="113">
                  <c:v>IShip.tooCloseTo</c:v>
                </c:pt>
                <c:pt idx="114">
                  <c:v>IShip.tooCloseTo</c:v>
                </c:pt>
                <c:pt idx="115">
                  <c:v>Ship.stillFloating</c:v>
                </c:pt>
                <c:pt idx="116">
                  <c:v>Position.isInside</c:v>
                </c:pt>
                <c:pt idx="117">
                  <c:v>GameWindow.GameWindow</c:v>
                </c:pt>
                <c:pt idx="118">
                  <c:v>Tasks.menuHelp</c:v>
                </c:pt>
                <c:pt idx="119">
                  <c:v>Ship.isInsideBoard</c:v>
                </c:pt>
                <c:pt idx="120">
                  <c:v>Ship.sink</c:v>
                </c:pt>
                <c:pt idx="121">
                  <c:v>Ship.getBearing</c:v>
                </c:pt>
                <c:pt idx="122">
                  <c:v>Ship.getCategory</c:v>
                </c:pt>
                <c:pt idx="123">
                  <c:v>Ship.getPosition</c:v>
                </c:pt>
                <c:pt idx="124">
                  <c:v>GameWindow.close</c:v>
                </c:pt>
                <c:pt idx="125">
                  <c:v>Fleet.printStatus</c:v>
                </c:pt>
                <c:pt idx="126">
                  <c:v>GameWindow.updateTexts</c:v>
                </c:pt>
                <c:pt idx="127">
                  <c:v>BoardPanel.BoardPanel</c:v>
                </c:pt>
                <c:pt idx="128">
                  <c:v>Position.toString</c:v>
                </c:pt>
                <c:pt idx="129">
                  <c:v>Compass.randomBearing</c:v>
                </c:pt>
                <c:pt idx="130">
                  <c:v>Compass.toString</c:v>
                </c:pt>
                <c:pt idx="131">
                  <c:v>Fleet.getShips</c:v>
                </c:pt>
                <c:pt idx="132">
                  <c:v>Ship.toString</c:v>
                </c:pt>
                <c:pt idx="133">
                  <c:v>BoardState.emptyBoard</c:v>
                </c:pt>
                <c:pt idx="134">
                  <c:v>Compass.getDirection</c:v>
                </c:pt>
                <c:pt idx="135">
                  <c:v>Position.getColumn</c:v>
                </c:pt>
                <c:pt idx="136">
                  <c:v>Position.getRow</c:v>
                </c:pt>
                <c:pt idx="137">
                  <c:v>Position.hashCode</c:v>
                </c:pt>
                <c:pt idx="138">
                  <c:v>Position.isHit</c:v>
                </c:pt>
                <c:pt idx="139">
                  <c:v>Position.isOccupied</c:v>
                </c:pt>
                <c:pt idx="140">
                  <c:v>Ship.getPositions</c:v>
                </c:pt>
                <c:pt idx="141">
                  <c:v>Ship.getSize</c:v>
                </c:pt>
                <c:pt idx="142">
                  <c:v>Move.toString</c:v>
                </c:pt>
                <c:pt idx="143">
                  <c:v>Position.getClassicColumn</c:v>
                </c:pt>
                <c:pt idx="144">
                  <c:v>Position.getClassicRow</c:v>
                </c:pt>
                <c:pt idx="145">
                  <c:v>Fleet.Fleet</c:v>
                </c:pt>
                <c:pt idx="146">
                  <c:v>Fleet.printAllShips</c:v>
                </c:pt>
                <c:pt idx="147">
                  <c:v>Fleet.printFloatingShips</c:v>
                </c:pt>
                <c:pt idx="148">
                  <c:v>Position.occupy</c:v>
                </c:pt>
                <c:pt idx="149">
                  <c:v>Position.randomPosition</c:v>
                </c:pt>
                <c:pt idx="150">
                  <c:v>Position.shoot</c:v>
                </c:pt>
                <c:pt idx="151">
                  <c:v>CellState.getSymbol</c:v>
                </c:pt>
                <c:pt idx="152">
                  <c:v>Game.getRemainingShips</c:v>
                </c:pt>
                <c:pt idx="153">
                  <c:v>Game.over</c:v>
                </c:pt>
                <c:pt idx="154">
                  <c:v>I18n.getCurrentLanguage</c:v>
                </c:pt>
                <c:pt idx="155">
                  <c:v>CallbackClient.CallbackClient</c:v>
                </c:pt>
                <c:pt idx="156">
                  <c:v>Game.getAlienFleet</c:v>
                </c:pt>
                <c:pt idx="157">
                  <c:v>Game.getAlienMoves</c:v>
                </c:pt>
                <c:pt idx="158">
                  <c:v>Game.getHits</c:v>
                </c:pt>
                <c:pt idx="159">
                  <c:v>Game.getInvalidShots</c:v>
                </c:pt>
                <c:pt idx="160">
                  <c:v>Game.getMyFleet</c:v>
                </c:pt>
                <c:pt idx="161">
                  <c:v>Game.getMyMoves</c:v>
                </c:pt>
                <c:pt idx="162">
                  <c:v>Game.getRepeatedShots</c:v>
                </c:pt>
                <c:pt idx="163">
                  <c:v>Game.getSunkShips</c:v>
                </c:pt>
                <c:pt idx="164">
                  <c:v>GameWindow.title</c:v>
                </c:pt>
                <c:pt idx="165">
                  <c:v>CellIcon.getIconHeight</c:v>
                </c:pt>
                <c:pt idx="166">
                  <c:v>CellIcon.getIconWidth</c:v>
                </c:pt>
                <c:pt idx="167">
                  <c:v>Move.getNumber</c:v>
                </c:pt>
                <c:pt idx="168">
                  <c:v>Move.getShotResults</c:v>
                </c:pt>
                <c:pt idx="169">
                  <c:v>Move.getShots</c:v>
                </c:pt>
                <c:pt idx="170">
                  <c:v>GameSession.markAiWins</c:v>
                </c:pt>
                <c:pt idx="171">
                  <c:v>GameSession.markStudentWins</c:v>
                </c:pt>
                <c:pt idx="172">
                  <c:v>BoardState.BoardState</c:v>
                </c:pt>
                <c:pt idx="173">
                  <c:v>I18n.I18n</c:v>
                </c:pt>
                <c:pt idx="174">
                  <c:v>GamePDFExporter.GamePDFExporter</c:v>
                </c:pt>
                <c:pt idx="175">
                  <c:v>CellIcon.state</c:v>
                </c:pt>
                <c:pt idx="176">
                  <c:v>ShotResult.repeated</c:v>
                </c:pt>
                <c:pt idx="177">
                  <c:v>ShotResult.ship</c:v>
                </c:pt>
                <c:pt idx="178">
                  <c:v>ShotResult.sunk</c:v>
                </c:pt>
                <c:pt idx="179">
                  <c:v>ShotResult.valid</c:v>
                </c:pt>
                <c:pt idx="180">
                  <c:v>GameSession.getCallbackUrl</c:v>
                </c:pt>
                <c:pt idx="181">
                  <c:v>GameSession.getGame</c:v>
                </c:pt>
                <c:pt idx="182">
                  <c:v>GameSession.getGameId</c:v>
                </c:pt>
                <c:pt idx="183">
                  <c:v>GameSession.getPlayerName</c:v>
                </c:pt>
                <c:pt idx="184">
                  <c:v>GameSession.getShotsPerTurn</c:v>
                </c:pt>
                <c:pt idx="185">
                  <c:v>GameSession.getWinner</c:v>
                </c:pt>
                <c:pt idx="186">
                  <c:v>GameSession.isGameOver</c:v>
                </c:pt>
                <c:pt idx="187">
                  <c:v>CellState.values</c:v>
                </c:pt>
                <c:pt idx="188">
                  <c:v>Compass.values</c:v>
                </c:pt>
                <c:pt idx="189">
                  <c:v>IFleet.getFloatingShips</c:v>
                </c:pt>
                <c:pt idx="190">
                  <c:v>IFleet.getShips</c:v>
                </c:pt>
                <c:pt idx="191">
                  <c:v>IFleet.getSunkShips</c:v>
                </c:pt>
                <c:pt idx="192">
                  <c:v>IFleet.printStatus</c:v>
                </c:pt>
                <c:pt idx="193">
                  <c:v>IGame.getAlienFleet</c:v>
                </c:pt>
                <c:pt idx="194">
                  <c:v>IGame.getAlienMoves</c:v>
                </c:pt>
                <c:pt idx="195">
                  <c:v>IGame.getHits</c:v>
                </c:pt>
                <c:pt idx="196">
                  <c:v>IGame.getInvalidShots</c:v>
                </c:pt>
                <c:pt idx="197">
                  <c:v>IGame.getMyFleet</c:v>
                </c:pt>
                <c:pt idx="198">
                  <c:v>IGame.getMyMoves</c:v>
                </c:pt>
                <c:pt idx="199">
                  <c:v>IGame.getRemainingShips</c:v>
                </c:pt>
                <c:pt idx="200">
                  <c:v>IGame.getRepeatedShots</c:v>
                </c:pt>
                <c:pt idx="201">
                  <c:v>IGame.getSunkShips</c:v>
                </c:pt>
                <c:pt idx="202">
                  <c:v>IGame.over</c:v>
                </c:pt>
                <c:pt idx="203">
                  <c:v>IGame.randomEnemyFire</c:v>
                </c:pt>
                <c:pt idx="204">
                  <c:v>IMove.getNumber</c:v>
                </c:pt>
                <c:pt idx="205">
                  <c:v>IMove.getShotResults</c:v>
                </c:pt>
                <c:pt idx="206">
                  <c:v>IMove.getShots</c:v>
                </c:pt>
                <c:pt idx="207">
                  <c:v>IMove.toString</c:v>
                </c:pt>
                <c:pt idx="208">
                  <c:v>IPosition.adjacentPositions</c:v>
                </c:pt>
                <c:pt idx="209">
                  <c:v>IPosition.getClassicColumn</c:v>
                </c:pt>
                <c:pt idx="210">
                  <c:v>IPosition.getClassicRow</c:v>
                </c:pt>
                <c:pt idx="211">
                  <c:v>IPosition.getColumn</c:v>
                </c:pt>
                <c:pt idx="212">
                  <c:v>IPosition.getRow</c:v>
                </c:pt>
                <c:pt idx="213">
                  <c:v>IPosition.isHit</c:v>
                </c:pt>
                <c:pt idx="214">
                  <c:v>IPosition.isInside</c:v>
                </c:pt>
                <c:pt idx="215">
                  <c:v>IPosition.isOccupied</c:v>
                </c:pt>
                <c:pt idx="216">
                  <c:v>IPosition.occupy</c:v>
                </c:pt>
                <c:pt idx="217">
                  <c:v>IPosition.shoot</c:v>
                </c:pt>
                <c:pt idx="218">
                  <c:v>IShip.getAdjacentPositions</c:v>
                </c:pt>
                <c:pt idx="219">
                  <c:v>IShip.getBearing</c:v>
                </c:pt>
                <c:pt idx="220">
                  <c:v>IShip.getBottomMostPos</c:v>
                </c:pt>
                <c:pt idx="221">
                  <c:v>IShip.getCategory</c:v>
                </c:pt>
                <c:pt idx="222">
                  <c:v>IShip.getLeftMostPos</c:v>
                </c:pt>
                <c:pt idx="223">
                  <c:v>IShip.getPosition</c:v>
                </c:pt>
                <c:pt idx="224">
                  <c:v>IShip.getPositions</c:v>
                </c:pt>
                <c:pt idx="225">
                  <c:v>IShip.getRightMostPos</c:v>
                </c:pt>
                <c:pt idx="226">
                  <c:v>IShip.getSize</c:v>
                </c:pt>
                <c:pt idx="227">
                  <c:v>IShip.getTopMostPos</c:v>
                </c:pt>
                <c:pt idx="228">
                  <c:v>IShip.isInsideBoard</c:v>
                </c:pt>
                <c:pt idx="229">
                  <c:v>IShip.sink</c:v>
                </c:pt>
                <c:pt idx="230">
                  <c:v>IShip.stillFloating</c:v>
                </c:pt>
              </c:strCache>
            </c:strRef>
          </c:cat>
          <c:val>
            <c:numRef>
              <c:f>Method!$AE$6:$AE$236</c:f>
              <c:numCache>
                <c:formatCode>0.000</c:formatCode>
                <c:ptCount val="231"/>
                <c:pt idx="0">
                  <c:v>0.2</c:v>
                </c:pt>
                <c:pt idx="1">
                  <c:v>0</c:v>
                </c:pt>
                <c:pt idx="2">
                  <c:v>1</c:v>
                </c:pt>
                <c:pt idx="3">
                  <c:v>0.4</c:v>
                </c:pt>
                <c:pt idx="4">
                  <c:v>0.8</c:v>
                </c:pt>
                <c:pt idx="5">
                  <c:v>0.2</c:v>
                </c:pt>
                <c:pt idx="6">
                  <c:v>0.4</c:v>
                </c:pt>
                <c:pt idx="7">
                  <c:v>0.6</c:v>
                </c:pt>
                <c:pt idx="8">
                  <c:v>0.6</c:v>
                </c:pt>
                <c:pt idx="9">
                  <c:v>0.8</c:v>
                </c:pt>
                <c:pt idx="10">
                  <c:v>0.6</c:v>
                </c:pt>
                <c:pt idx="11">
                  <c:v>0.4</c:v>
                </c:pt>
                <c:pt idx="12">
                  <c:v>0.6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0.8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0.2</c:v>
                </c:pt>
                <c:pt idx="22">
                  <c:v>0.4</c:v>
                </c:pt>
                <c:pt idx="23">
                  <c:v>0.4</c:v>
                </c:pt>
                <c:pt idx="24">
                  <c:v>0.6</c:v>
                </c:pt>
                <c:pt idx="25">
                  <c:v>0.4</c:v>
                </c:pt>
                <c:pt idx="26">
                  <c:v>0.2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</c:v>
                </c:pt>
                <c:pt idx="31">
                  <c:v>0.4</c:v>
                </c:pt>
                <c:pt idx="32">
                  <c:v>0.2</c:v>
                </c:pt>
                <c:pt idx="33">
                  <c:v>0.2</c:v>
                </c:pt>
                <c:pt idx="34">
                  <c:v>0.4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0.2</c:v>
                </c:pt>
                <c:pt idx="43">
                  <c:v>0.4</c:v>
                </c:pt>
                <c:pt idx="44">
                  <c:v>0.2</c:v>
                </c:pt>
                <c:pt idx="45">
                  <c:v>0.2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0.2</c:v>
                </c:pt>
                <c:pt idx="53">
                  <c:v>0.4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</c:v>
                </c:pt>
                <c:pt idx="79">
                  <c:v>0.2</c:v>
                </c:pt>
                <c:pt idx="80">
                  <c:v>0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3-4DC2-AE30-F35026878BFA}"/>
            </c:ext>
          </c:extLst>
        </c:ser>
        <c:ser>
          <c:idx val="2"/>
          <c:order val="2"/>
          <c:tx>
            <c:v>LOC norm.</c:v>
          </c:tx>
          <c:spPr>
            <a:solidFill>
              <a:srgbClr val="F9F9F9">
                <a:alpha val="30000"/>
              </a:srgbClr>
            </a:solidFill>
            <a:ln cmpd="sng">
              <a:noFill/>
            </a:ln>
          </c:spPr>
          <c:cat>
            <c:strRef>
              <c:f>Method!$Z$6:$Z$236</c:f>
              <c:strCache>
                <c:ptCount val="231"/>
                <c:pt idx="0">
                  <c:v>Move.processEnemyFire</c:v>
                </c:pt>
                <c:pt idx="1">
                  <c:v>Tasks.menu</c:v>
                </c:pt>
                <c:pt idx="2">
                  <c:v>BoardPanel.drawCell</c:v>
                </c:pt>
                <c:pt idx="3">
                  <c:v>GameController.receiveShots</c:v>
                </c:pt>
                <c:pt idx="4">
                  <c:v>Game.printBoard</c:v>
                </c:pt>
                <c:pt idx="5">
                  <c:v>AiShotStrategy.computeShots</c:v>
                </c:pt>
                <c:pt idx="6">
                  <c:v>CallbackClient.sendShots</c:v>
                </c:pt>
                <c:pt idx="7">
                  <c:v>GameController.evaluateShots</c:v>
                </c:pt>
                <c:pt idx="8">
                  <c:v>Ship.buildShip</c:v>
                </c:pt>
                <c:pt idx="9">
                  <c:v>Ship.Ship</c:v>
                </c:pt>
                <c:pt idx="10">
                  <c:v>GamePDFExporter.generatePDF</c:v>
                </c:pt>
                <c:pt idx="11">
                  <c:v>BoardState.ownBoard</c:v>
                </c:pt>
                <c:pt idx="12">
                  <c:v>GamePDFExporter.appendMoves</c:v>
                </c:pt>
                <c:pt idx="13">
                  <c:v>CellIcon.paintIcon</c:v>
                </c:pt>
                <c:pt idx="14">
                  <c:v>CallbackClient.recordAiMove</c:v>
                </c:pt>
                <c:pt idx="15">
                  <c:v>AiShotStrategy.getHitButNotSunkPositions</c:v>
                </c:pt>
                <c:pt idx="16">
                  <c:v>ShotResult.ShotResult</c:v>
                </c:pt>
                <c:pt idx="17">
                  <c:v>Caravel.Caravel</c:v>
                </c:pt>
                <c:pt idx="18">
                  <c:v>Carrack.Carrack</c:v>
                </c:pt>
                <c:pt idx="19">
                  <c:v>Frigate.Frigate</c:v>
                </c:pt>
                <c:pt idx="20">
                  <c:v>Game.fireSingleShot</c:v>
                </c:pt>
                <c:pt idx="21">
                  <c:v>BoardState.opponentBoard</c:v>
                </c:pt>
                <c:pt idx="22">
                  <c:v>Galleon.Galleon</c:v>
                </c:pt>
                <c:pt idx="23">
                  <c:v>AiShotStrategy.buildHuntPool</c:v>
                </c:pt>
                <c:pt idx="24">
                  <c:v>GameSession.GameSession</c:v>
                </c:pt>
                <c:pt idx="25">
                  <c:v>Game.printBoardShots</c:v>
                </c:pt>
                <c:pt idx="26">
                  <c:v>Game.readEnemyFire</c:v>
                </c:pt>
                <c:pt idx="27">
                  <c:v>BoardState.set</c:v>
                </c:pt>
                <c:pt idx="28">
                  <c:v>GameController.GameController</c:v>
                </c:pt>
                <c:pt idx="29">
                  <c:v>Move.Move</c:v>
                </c:pt>
                <c:pt idx="30">
                  <c:v>Game.randomEnemyFire</c:v>
                </c:pt>
                <c:pt idx="31">
                  <c:v>Game.printShips</c:v>
                </c:pt>
                <c:pt idx="32">
                  <c:v>Tasks.readClassicPosition</c:v>
                </c:pt>
                <c:pt idx="33">
                  <c:v>Compass.charToCompass</c:v>
                </c:pt>
                <c:pt idx="34">
                  <c:v>I18n.get</c:v>
                </c:pt>
                <c:pt idx="35">
                  <c:v>Game.jsonShots</c:v>
                </c:pt>
                <c:pt idx="36">
                  <c:v>GameController.register</c:v>
                </c:pt>
                <c:pt idx="37">
                  <c:v>Game.printBoardFrame</c:v>
                </c:pt>
                <c:pt idx="38">
                  <c:v>Game.recordMyMove</c:v>
                </c:pt>
                <c:pt idx="39">
                  <c:v>IMove.readMove</c:v>
                </c:pt>
                <c:pt idx="40">
                  <c:v>Position.Position</c:v>
                </c:pt>
                <c:pt idx="41">
                  <c:v>Position.Position</c:v>
                </c:pt>
                <c:pt idx="42">
                  <c:v>Game.fireShots</c:v>
                </c:pt>
                <c:pt idx="43">
                  <c:v>Barge.Barge</c:v>
                </c:pt>
                <c:pt idx="44">
                  <c:v>GameWindow.show</c:v>
                </c:pt>
                <c:pt idx="45">
                  <c:v>Fleet.addShip</c:v>
                </c:pt>
                <c:pt idx="46">
                  <c:v>GameRegistry.createSession</c:v>
                </c:pt>
                <c:pt idx="47">
                  <c:v>GameWindow.boardWithTitle</c:v>
                </c:pt>
                <c:pt idx="48">
                  <c:v>GameWindow.legendItem</c:v>
                </c:pt>
                <c:pt idx="49">
                  <c:v>Game.printAlienBoard</c:v>
                </c:pt>
                <c:pt idx="50">
                  <c:v>Game.printMyBoard</c:v>
                </c:pt>
                <c:pt idx="51">
                  <c:v>GameController.error</c:v>
                </c:pt>
                <c:pt idx="52">
                  <c:v>Tasks.buildFleet</c:v>
                </c:pt>
                <c:pt idx="53">
                  <c:v>GamePDFExporter.generatePDF</c:v>
                </c:pt>
                <c:pt idx="54">
                  <c:v>Position.equals</c:v>
                </c:pt>
                <c:pt idx="55">
                  <c:v>GamePDFExporter.describeResult</c:v>
                </c:pt>
                <c:pt idx="56">
                  <c:v>Fleet.getShipsLike</c:v>
                </c:pt>
                <c:pt idx="57">
                  <c:v>Ship.shoot</c:v>
                </c:pt>
                <c:pt idx="58">
                  <c:v>Ship.tooCloseTo</c:v>
                </c:pt>
                <c:pt idx="59">
                  <c:v>BoardPanel.paintComponent</c:v>
                </c:pt>
                <c:pt idx="60">
                  <c:v>Fleet.shipAt</c:v>
                </c:pt>
                <c:pt idx="61">
                  <c:v>Ship.occupies</c:v>
                </c:pt>
                <c:pt idx="62">
                  <c:v>Ship.tooCloseTo</c:v>
                </c:pt>
                <c:pt idx="63">
                  <c:v>IGame.fireSingleShot</c:v>
                </c:pt>
                <c:pt idx="64">
                  <c:v>IGame.printAlienBoard</c:v>
                </c:pt>
                <c:pt idx="65">
                  <c:v>IGame.printMyBoard</c:v>
                </c:pt>
                <c:pt idx="66">
                  <c:v>IGame.recordMyMove</c:v>
                </c:pt>
                <c:pt idx="67">
                  <c:v>Fleet.colisionRisk</c:v>
                </c:pt>
                <c:pt idx="68">
                  <c:v>Galleon.fillSouth</c:v>
                </c:pt>
                <c:pt idx="69">
                  <c:v>BoardPanel.drawCoordinates</c:v>
                </c:pt>
                <c:pt idx="70">
                  <c:v>I18n.setLanguage</c:v>
                </c:pt>
                <c:pt idx="71">
                  <c:v>Galleon.fillEast</c:v>
                </c:pt>
                <c:pt idx="72">
                  <c:v>Galleon.fillNorth</c:v>
                </c:pt>
                <c:pt idx="73">
                  <c:v>Galleon.fillWest</c:v>
                </c:pt>
                <c:pt idx="74">
                  <c:v>Game.repeatedShot</c:v>
                </c:pt>
                <c:pt idx="75">
                  <c:v>Fleet.printShips</c:v>
                </c:pt>
                <c:pt idx="76">
                  <c:v>Position.isAdjacentTo</c:v>
                </c:pt>
                <c:pt idx="77">
                  <c:v>Game.Game</c:v>
                </c:pt>
                <c:pt idx="78">
                  <c:v>Fleet.createRandom</c:v>
                </c:pt>
                <c:pt idx="79">
                  <c:v>Fleet.printShipsByCategory</c:v>
                </c:pt>
                <c:pt idx="80">
                  <c:v>Position.adjacentPositions</c:v>
                </c:pt>
                <c:pt idx="81">
                  <c:v>BoardPanel.setCells</c:v>
                </c:pt>
                <c:pt idx="82">
                  <c:v>Main.main</c:v>
                </c:pt>
                <c:pt idx="83">
                  <c:v>Compass.Compass</c:v>
                </c:pt>
                <c:pt idx="84">
                  <c:v>Tasks.readShip</c:v>
                </c:pt>
                <c:pt idx="85">
                  <c:v>Ship.getAdjacentPositions</c:v>
                </c:pt>
                <c:pt idx="86">
                  <c:v>Tasks.readPosition</c:v>
                </c:pt>
                <c:pt idx="87">
                  <c:v>GamePDFExporter.toPdfText</c:v>
                </c:pt>
                <c:pt idx="88">
                  <c:v>Tasks.printElapsed</c:v>
                </c:pt>
                <c:pt idx="89">
                  <c:v>GameRegistry.getSession</c:v>
                </c:pt>
                <c:pt idx="90">
                  <c:v>GameRegistry.removeSession</c:v>
                </c:pt>
                <c:pt idx="91">
                  <c:v>CellState.CellState</c:v>
                </c:pt>
                <c:pt idx="92">
                  <c:v>BattleshipServer.main</c:v>
                </c:pt>
                <c:pt idx="93">
                  <c:v>CellIcon.CellIcon</c:v>
                </c:pt>
                <c:pt idx="94">
                  <c:v>ErrorResponse.ErrorResponse</c:v>
                </c:pt>
                <c:pt idx="95">
                  <c:v>Fleet.getFloatingShips</c:v>
                </c:pt>
                <c:pt idx="96">
                  <c:v>Fleet.getSunkShips</c:v>
                </c:pt>
                <c:pt idx="97">
                  <c:v>Ship.getBottomMostPos</c:v>
                </c:pt>
                <c:pt idx="98">
                  <c:v>Ship.getLeftMostPos</c:v>
                </c:pt>
                <c:pt idx="99">
                  <c:v>Ship.getRightMostPos</c:v>
                </c:pt>
                <c:pt idx="100">
                  <c:v>Ship.getTopMostPos</c:v>
                </c:pt>
                <c:pt idx="101">
                  <c:v>CellState.valueOf</c:v>
                </c:pt>
                <c:pt idx="102">
                  <c:v>Compass.valueOf</c:v>
                </c:pt>
                <c:pt idx="103">
                  <c:v>IFleet.addShip</c:v>
                </c:pt>
                <c:pt idx="104">
                  <c:v>IFleet.getShipsLike</c:v>
                </c:pt>
                <c:pt idx="105">
                  <c:v>IFleet.shipAt</c:v>
                </c:pt>
                <c:pt idx="106">
                  <c:v>IGame.fireShots</c:v>
                </c:pt>
                <c:pt idx="107">
                  <c:v>IGame.readEnemyFire</c:v>
                </c:pt>
                <c:pt idx="108">
                  <c:v>IMove.processEnemyFire</c:v>
                </c:pt>
                <c:pt idx="109">
                  <c:v>IPosition.equals</c:v>
                </c:pt>
                <c:pt idx="110">
                  <c:v>IPosition.isAdjacentTo</c:v>
                </c:pt>
                <c:pt idx="111">
                  <c:v>IShip.occupies</c:v>
                </c:pt>
                <c:pt idx="112">
                  <c:v>IShip.shoot</c:v>
                </c:pt>
                <c:pt idx="113">
                  <c:v>IShip.tooCloseTo</c:v>
                </c:pt>
                <c:pt idx="114">
                  <c:v>IShip.tooCloseTo</c:v>
                </c:pt>
                <c:pt idx="115">
                  <c:v>Ship.stillFloating</c:v>
                </c:pt>
                <c:pt idx="116">
                  <c:v>Position.isInside</c:v>
                </c:pt>
                <c:pt idx="117">
                  <c:v>GameWindow.GameWindow</c:v>
                </c:pt>
                <c:pt idx="118">
                  <c:v>Tasks.menuHelp</c:v>
                </c:pt>
                <c:pt idx="119">
                  <c:v>Ship.isInsideBoard</c:v>
                </c:pt>
                <c:pt idx="120">
                  <c:v>Ship.sink</c:v>
                </c:pt>
                <c:pt idx="121">
                  <c:v>Ship.getBearing</c:v>
                </c:pt>
                <c:pt idx="122">
                  <c:v>Ship.getCategory</c:v>
                </c:pt>
                <c:pt idx="123">
                  <c:v>Ship.getPosition</c:v>
                </c:pt>
                <c:pt idx="124">
                  <c:v>GameWindow.close</c:v>
                </c:pt>
                <c:pt idx="125">
                  <c:v>Fleet.printStatus</c:v>
                </c:pt>
                <c:pt idx="126">
                  <c:v>GameWindow.updateTexts</c:v>
                </c:pt>
                <c:pt idx="127">
                  <c:v>BoardPanel.BoardPanel</c:v>
                </c:pt>
                <c:pt idx="128">
                  <c:v>Position.toString</c:v>
                </c:pt>
                <c:pt idx="129">
                  <c:v>Compass.randomBearing</c:v>
                </c:pt>
                <c:pt idx="130">
                  <c:v>Compass.toString</c:v>
                </c:pt>
                <c:pt idx="131">
                  <c:v>Fleet.getShips</c:v>
                </c:pt>
                <c:pt idx="132">
                  <c:v>Ship.toString</c:v>
                </c:pt>
                <c:pt idx="133">
                  <c:v>BoardState.emptyBoard</c:v>
                </c:pt>
                <c:pt idx="134">
                  <c:v>Compass.getDirection</c:v>
                </c:pt>
                <c:pt idx="135">
                  <c:v>Position.getColumn</c:v>
                </c:pt>
                <c:pt idx="136">
                  <c:v>Position.getRow</c:v>
                </c:pt>
                <c:pt idx="137">
                  <c:v>Position.hashCode</c:v>
                </c:pt>
                <c:pt idx="138">
                  <c:v>Position.isHit</c:v>
                </c:pt>
                <c:pt idx="139">
                  <c:v>Position.isOccupied</c:v>
                </c:pt>
                <c:pt idx="140">
                  <c:v>Ship.getPositions</c:v>
                </c:pt>
                <c:pt idx="141">
                  <c:v>Ship.getSize</c:v>
                </c:pt>
                <c:pt idx="142">
                  <c:v>Move.toString</c:v>
                </c:pt>
                <c:pt idx="143">
                  <c:v>Position.getClassicColumn</c:v>
                </c:pt>
                <c:pt idx="144">
                  <c:v>Position.getClassicRow</c:v>
                </c:pt>
                <c:pt idx="145">
                  <c:v>Fleet.Fleet</c:v>
                </c:pt>
                <c:pt idx="146">
                  <c:v>Fleet.printAllShips</c:v>
                </c:pt>
                <c:pt idx="147">
                  <c:v>Fleet.printFloatingShips</c:v>
                </c:pt>
                <c:pt idx="148">
                  <c:v>Position.occupy</c:v>
                </c:pt>
                <c:pt idx="149">
                  <c:v>Position.randomPosition</c:v>
                </c:pt>
                <c:pt idx="150">
                  <c:v>Position.shoot</c:v>
                </c:pt>
                <c:pt idx="151">
                  <c:v>CellState.getSymbol</c:v>
                </c:pt>
                <c:pt idx="152">
                  <c:v>Game.getRemainingShips</c:v>
                </c:pt>
                <c:pt idx="153">
                  <c:v>Game.over</c:v>
                </c:pt>
                <c:pt idx="154">
                  <c:v>I18n.getCurrentLanguage</c:v>
                </c:pt>
                <c:pt idx="155">
                  <c:v>CallbackClient.CallbackClient</c:v>
                </c:pt>
                <c:pt idx="156">
                  <c:v>Game.getAlienFleet</c:v>
                </c:pt>
                <c:pt idx="157">
                  <c:v>Game.getAlienMoves</c:v>
                </c:pt>
                <c:pt idx="158">
                  <c:v>Game.getHits</c:v>
                </c:pt>
                <c:pt idx="159">
                  <c:v>Game.getInvalidShots</c:v>
                </c:pt>
                <c:pt idx="160">
                  <c:v>Game.getMyFleet</c:v>
                </c:pt>
                <c:pt idx="161">
                  <c:v>Game.getMyMoves</c:v>
                </c:pt>
                <c:pt idx="162">
                  <c:v>Game.getRepeatedShots</c:v>
                </c:pt>
                <c:pt idx="163">
                  <c:v>Game.getSunkShips</c:v>
                </c:pt>
                <c:pt idx="164">
                  <c:v>GameWindow.title</c:v>
                </c:pt>
                <c:pt idx="165">
                  <c:v>CellIcon.getIconHeight</c:v>
                </c:pt>
                <c:pt idx="166">
                  <c:v>CellIcon.getIconWidth</c:v>
                </c:pt>
                <c:pt idx="167">
                  <c:v>Move.getNumber</c:v>
                </c:pt>
                <c:pt idx="168">
                  <c:v>Move.getShotResults</c:v>
                </c:pt>
                <c:pt idx="169">
                  <c:v>Move.getShots</c:v>
                </c:pt>
                <c:pt idx="170">
                  <c:v>GameSession.markAiWins</c:v>
                </c:pt>
                <c:pt idx="171">
                  <c:v>GameSession.markStudentWins</c:v>
                </c:pt>
                <c:pt idx="172">
                  <c:v>BoardState.BoardState</c:v>
                </c:pt>
                <c:pt idx="173">
                  <c:v>I18n.I18n</c:v>
                </c:pt>
                <c:pt idx="174">
                  <c:v>GamePDFExporter.GamePDFExporter</c:v>
                </c:pt>
                <c:pt idx="175">
                  <c:v>CellIcon.state</c:v>
                </c:pt>
                <c:pt idx="176">
                  <c:v>ShotResult.repeated</c:v>
                </c:pt>
                <c:pt idx="177">
                  <c:v>ShotResult.ship</c:v>
                </c:pt>
                <c:pt idx="178">
                  <c:v>ShotResult.sunk</c:v>
                </c:pt>
                <c:pt idx="179">
                  <c:v>ShotResult.valid</c:v>
                </c:pt>
                <c:pt idx="180">
                  <c:v>GameSession.getCallbackUrl</c:v>
                </c:pt>
                <c:pt idx="181">
                  <c:v>GameSession.getGame</c:v>
                </c:pt>
                <c:pt idx="182">
                  <c:v>GameSession.getGameId</c:v>
                </c:pt>
                <c:pt idx="183">
                  <c:v>GameSession.getPlayerName</c:v>
                </c:pt>
                <c:pt idx="184">
                  <c:v>GameSession.getShotsPerTurn</c:v>
                </c:pt>
                <c:pt idx="185">
                  <c:v>GameSession.getWinner</c:v>
                </c:pt>
                <c:pt idx="186">
                  <c:v>GameSession.isGameOver</c:v>
                </c:pt>
                <c:pt idx="187">
                  <c:v>CellState.values</c:v>
                </c:pt>
                <c:pt idx="188">
                  <c:v>Compass.values</c:v>
                </c:pt>
                <c:pt idx="189">
                  <c:v>IFleet.getFloatingShips</c:v>
                </c:pt>
                <c:pt idx="190">
                  <c:v>IFleet.getShips</c:v>
                </c:pt>
                <c:pt idx="191">
                  <c:v>IFleet.getSunkShips</c:v>
                </c:pt>
                <c:pt idx="192">
                  <c:v>IFleet.printStatus</c:v>
                </c:pt>
                <c:pt idx="193">
                  <c:v>IGame.getAlienFleet</c:v>
                </c:pt>
                <c:pt idx="194">
                  <c:v>IGame.getAlienMoves</c:v>
                </c:pt>
                <c:pt idx="195">
                  <c:v>IGame.getHits</c:v>
                </c:pt>
                <c:pt idx="196">
                  <c:v>IGame.getInvalidShots</c:v>
                </c:pt>
                <c:pt idx="197">
                  <c:v>IGame.getMyFleet</c:v>
                </c:pt>
                <c:pt idx="198">
                  <c:v>IGame.getMyMoves</c:v>
                </c:pt>
                <c:pt idx="199">
                  <c:v>IGame.getRemainingShips</c:v>
                </c:pt>
                <c:pt idx="200">
                  <c:v>IGame.getRepeatedShots</c:v>
                </c:pt>
                <c:pt idx="201">
                  <c:v>IGame.getSunkShips</c:v>
                </c:pt>
                <c:pt idx="202">
                  <c:v>IGame.over</c:v>
                </c:pt>
                <c:pt idx="203">
                  <c:v>IGame.randomEnemyFire</c:v>
                </c:pt>
                <c:pt idx="204">
                  <c:v>IMove.getNumber</c:v>
                </c:pt>
                <c:pt idx="205">
                  <c:v>IMove.getShotResults</c:v>
                </c:pt>
                <c:pt idx="206">
                  <c:v>IMove.getShots</c:v>
                </c:pt>
                <c:pt idx="207">
                  <c:v>IMove.toString</c:v>
                </c:pt>
                <c:pt idx="208">
                  <c:v>IPosition.adjacentPositions</c:v>
                </c:pt>
                <c:pt idx="209">
                  <c:v>IPosition.getClassicColumn</c:v>
                </c:pt>
                <c:pt idx="210">
                  <c:v>IPosition.getClassicRow</c:v>
                </c:pt>
                <c:pt idx="211">
                  <c:v>IPosition.getColumn</c:v>
                </c:pt>
                <c:pt idx="212">
                  <c:v>IPosition.getRow</c:v>
                </c:pt>
                <c:pt idx="213">
                  <c:v>IPosition.isHit</c:v>
                </c:pt>
                <c:pt idx="214">
                  <c:v>IPosition.isInside</c:v>
                </c:pt>
                <c:pt idx="215">
                  <c:v>IPosition.isOccupied</c:v>
                </c:pt>
                <c:pt idx="216">
                  <c:v>IPosition.occupy</c:v>
                </c:pt>
                <c:pt idx="217">
                  <c:v>IPosition.shoot</c:v>
                </c:pt>
                <c:pt idx="218">
                  <c:v>IShip.getAdjacentPositions</c:v>
                </c:pt>
                <c:pt idx="219">
                  <c:v>IShip.getBearing</c:v>
                </c:pt>
                <c:pt idx="220">
                  <c:v>IShip.getBottomMostPos</c:v>
                </c:pt>
                <c:pt idx="221">
                  <c:v>IShip.getCategory</c:v>
                </c:pt>
                <c:pt idx="222">
                  <c:v>IShip.getLeftMostPos</c:v>
                </c:pt>
                <c:pt idx="223">
                  <c:v>IShip.getPosition</c:v>
                </c:pt>
                <c:pt idx="224">
                  <c:v>IShip.getPositions</c:v>
                </c:pt>
                <c:pt idx="225">
                  <c:v>IShip.getRightMostPos</c:v>
                </c:pt>
                <c:pt idx="226">
                  <c:v>IShip.getSize</c:v>
                </c:pt>
                <c:pt idx="227">
                  <c:v>IShip.getTopMostPos</c:v>
                </c:pt>
                <c:pt idx="228">
                  <c:v>IShip.isInsideBoard</c:v>
                </c:pt>
                <c:pt idx="229">
                  <c:v>IShip.sink</c:v>
                </c:pt>
                <c:pt idx="230">
                  <c:v>IShip.stillFloating</c:v>
                </c:pt>
              </c:strCache>
            </c:strRef>
          </c:cat>
          <c:val>
            <c:numRef>
              <c:f>Method!$AF$6:$AF$236</c:f>
              <c:numCache>
                <c:formatCode>0.000</c:formatCode>
                <c:ptCount val="231"/>
                <c:pt idx="0">
                  <c:v>1</c:v>
                </c:pt>
                <c:pt idx="1">
                  <c:v>0.9</c:v>
                </c:pt>
                <c:pt idx="2">
                  <c:v>0.35384615384615387</c:v>
                </c:pt>
                <c:pt idx="3">
                  <c:v>0.46153846153846156</c:v>
                </c:pt>
                <c:pt idx="4">
                  <c:v>0.24615384615384617</c:v>
                </c:pt>
                <c:pt idx="5">
                  <c:v>0.42307692307692307</c:v>
                </c:pt>
                <c:pt idx="6">
                  <c:v>0.47692307692307695</c:v>
                </c:pt>
                <c:pt idx="7">
                  <c:v>0.31538461538461537</c:v>
                </c:pt>
                <c:pt idx="8">
                  <c:v>0.27692307692307694</c:v>
                </c:pt>
                <c:pt idx="9">
                  <c:v>0.14615384615384616</c:v>
                </c:pt>
                <c:pt idx="10">
                  <c:v>0.24615384615384617</c:v>
                </c:pt>
                <c:pt idx="11">
                  <c:v>0.22307692307692309</c:v>
                </c:pt>
                <c:pt idx="12">
                  <c:v>0.14615384615384616</c:v>
                </c:pt>
                <c:pt idx="13">
                  <c:v>4.6153846153846156E-2</c:v>
                </c:pt>
                <c:pt idx="14">
                  <c:v>0.15384615384615385</c:v>
                </c:pt>
                <c:pt idx="15">
                  <c:v>0.18461538461538463</c:v>
                </c:pt>
                <c:pt idx="16">
                  <c:v>3.0769230769230771E-2</c:v>
                </c:pt>
                <c:pt idx="17">
                  <c:v>0.2076923076923077</c:v>
                </c:pt>
                <c:pt idx="18">
                  <c:v>0.2076923076923077</c:v>
                </c:pt>
                <c:pt idx="19">
                  <c:v>0.2076923076923077</c:v>
                </c:pt>
                <c:pt idx="20">
                  <c:v>0.25384615384615383</c:v>
                </c:pt>
                <c:pt idx="21">
                  <c:v>0.22307692307692309</c:v>
                </c:pt>
                <c:pt idx="22">
                  <c:v>0.17692307692307693</c:v>
                </c:pt>
                <c:pt idx="23">
                  <c:v>0.14615384615384616</c:v>
                </c:pt>
                <c:pt idx="24">
                  <c:v>6.9230769230769235E-2</c:v>
                </c:pt>
                <c:pt idx="25">
                  <c:v>0.1</c:v>
                </c:pt>
                <c:pt idx="26">
                  <c:v>0.32307692307692309</c:v>
                </c:pt>
                <c:pt idx="27">
                  <c:v>3.0769230769230771E-2</c:v>
                </c:pt>
                <c:pt idx="28">
                  <c:v>5.3846153846153849E-2</c:v>
                </c:pt>
                <c:pt idx="29">
                  <c:v>4.6153846153846156E-2</c:v>
                </c:pt>
                <c:pt idx="30">
                  <c:v>0.35384615384615387</c:v>
                </c:pt>
                <c:pt idx="31">
                  <c:v>6.9230769230769235E-2</c:v>
                </c:pt>
                <c:pt idx="32">
                  <c:v>0.17692307692307693</c:v>
                </c:pt>
                <c:pt idx="33">
                  <c:v>0.2153846153846154</c:v>
                </c:pt>
                <c:pt idx="34">
                  <c:v>0.12307692307692308</c:v>
                </c:pt>
                <c:pt idx="35">
                  <c:v>0.29230769230769232</c:v>
                </c:pt>
                <c:pt idx="36">
                  <c:v>0.22307692307692309</c:v>
                </c:pt>
                <c:pt idx="37">
                  <c:v>0.19230769230769232</c:v>
                </c:pt>
                <c:pt idx="38">
                  <c:v>7.6923076923076927E-2</c:v>
                </c:pt>
                <c:pt idx="39">
                  <c:v>7.6923076923076927E-2</c:v>
                </c:pt>
                <c:pt idx="40">
                  <c:v>0.1</c:v>
                </c:pt>
                <c:pt idx="41">
                  <c:v>0.1</c:v>
                </c:pt>
                <c:pt idx="42">
                  <c:v>0.23076923076923078</c:v>
                </c:pt>
                <c:pt idx="43">
                  <c:v>8.461538461538462E-2</c:v>
                </c:pt>
                <c:pt idx="44">
                  <c:v>0.16153846153846155</c:v>
                </c:pt>
                <c:pt idx="45">
                  <c:v>0.17692307692307693</c:v>
                </c:pt>
                <c:pt idx="46">
                  <c:v>5.3846153846153849E-2</c:v>
                </c:pt>
                <c:pt idx="47">
                  <c:v>4.6153846153846156E-2</c:v>
                </c:pt>
                <c:pt idx="48">
                  <c:v>3.8461538461538464E-2</c:v>
                </c:pt>
                <c:pt idx="49">
                  <c:v>3.0769230769230771E-2</c:v>
                </c:pt>
                <c:pt idx="50">
                  <c:v>3.0769230769230771E-2</c:v>
                </c:pt>
                <c:pt idx="51">
                  <c:v>3.0769230769230771E-2</c:v>
                </c:pt>
                <c:pt idx="52">
                  <c:v>0.14615384615384616</c:v>
                </c:pt>
                <c:pt idx="53">
                  <c:v>2.3076923076923078E-2</c:v>
                </c:pt>
                <c:pt idx="54">
                  <c:v>0.13846153846153847</c:v>
                </c:pt>
                <c:pt idx="55">
                  <c:v>0.1076923076923077</c:v>
                </c:pt>
                <c:pt idx="56">
                  <c:v>0.16153846153846155</c:v>
                </c:pt>
                <c:pt idx="57">
                  <c:v>0.16153846153846155</c:v>
                </c:pt>
                <c:pt idx="58">
                  <c:v>0.16153846153846155</c:v>
                </c:pt>
                <c:pt idx="59">
                  <c:v>0.13076923076923078</c:v>
                </c:pt>
                <c:pt idx="60">
                  <c:v>0.15384615384615385</c:v>
                </c:pt>
                <c:pt idx="61">
                  <c:v>0.15384615384615385</c:v>
                </c:pt>
                <c:pt idx="62">
                  <c:v>0.15384615384615385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0.12307692307692308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9.2307692307692313E-2</c:v>
                </c:pt>
                <c:pt idx="72">
                  <c:v>9.2307692307692313E-2</c:v>
                </c:pt>
                <c:pt idx="73">
                  <c:v>9.2307692307692313E-2</c:v>
                </c:pt>
                <c:pt idx="74">
                  <c:v>6.1538461538461542E-2</c:v>
                </c:pt>
                <c:pt idx="75">
                  <c:v>8.461538461538462E-2</c:v>
                </c:pt>
                <c:pt idx="76">
                  <c:v>8.461538461538462E-2</c:v>
                </c:pt>
                <c:pt idx="77">
                  <c:v>0.1</c:v>
                </c:pt>
                <c:pt idx="78">
                  <c:v>0.2076923076923077</c:v>
                </c:pt>
                <c:pt idx="79">
                  <c:v>8.461538461538462E-2</c:v>
                </c:pt>
                <c:pt idx="80">
                  <c:v>0.22307692307692309</c:v>
                </c:pt>
                <c:pt idx="81">
                  <c:v>7.6923076923076927E-2</c:v>
                </c:pt>
                <c:pt idx="82">
                  <c:v>7.6923076923076927E-2</c:v>
                </c:pt>
                <c:pt idx="83">
                  <c:v>6.9230769230769235E-2</c:v>
                </c:pt>
                <c:pt idx="84">
                  <c:v>6.1538461538461542E-2</c:v>
                </c:pt>
                <c:pt idx="85">
                  <c:v>0.14615384615384616</c:v>
                </c:pt>
                <c:pt idx="86">
                  <c:v>4.6153846153846156E-2</c:v>
                </c:pt>
                <c:pt idx="87">
                  <c:v>3.8461538461538464E-2</c:v>
                </c:pt>
                <c:pt idx="88">
                  <c:v>3.8461538461538464E-2</c:v>
                </c:pt>
                <c:pt idx="89">
                  <c:v>3.0769230769230771E-2</c:v>
                </c:pt>
                <c:pt idx="90">
                  <c:v>3.0769230769230771E-2</c:v>
                </c:pt>
                <c:pt idx="91">
                  <c:v>2.3076923076923078E-2</c:v>
                </c:pt>
                <c:pt idx="92">
                  <c:v>2.3076923076923078E-2</c:v>
                </c:pt>
                <c:pt idx="93">
                  <c:v>7.6923076923076927E-3</c:v>
                </c:pt>
                <c:pt idx="94">
                  <c:v>7.6923076923076927E-3</c:v>
                </c:pt>
                <c:pt idx="95">
                  <c:v>0.14615384615384616</c:v>
                </c:pt>
                <c:pt idx="96">
                  <c:v>0.14615384615384616</c:v>
                </c:pt>
                <c:pt idx="97">
                  <c:v>0.14615384615384616</c:v>
                </c:pt>
                <c:pt idx="98">
                  <c:v>0.14615384615384616</c:v>
                </c:pt>
                <c:pt idx="99">
                  <c:v>0.14615384615384616</c:v>
                </c:pt>
                <c:pt idx="100">
                  <c:v>0.14615384615384616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0.13846153846153847</c:v>
                </c:pt>
                <c:pt idx="116">
                  <c:v>7.6923076923076927E-2</c:v>
                </c:pt>
                <c:pt idx="117">
                  <c:v>0.15384615384615385</c:v>
                </c:pt>
                <c:pt idx="118">
                  <c:v>0.14615384615384616</c:v>
                </c:pt>
                <c:pt idx="119">
                  <c:v>4.6153846153846156E-2</c:v>
                </c:pt>
                <c:pt idx="120">
                  <c:v>0.1</c:v>
                </c:pt>
                <c:pt idx="121">
                  <c:v>0.11538461538461539</c:v>
                </c:pt>
                <c:pt idx="122">
                  <c:v>0.11538461538461539</c:v>
                </c:pt>
                <c:pt idx="123">
                  <c:v>0.11538461538461539</c:v>
                </c:pt>
                <c:pt idx="124">
                  <c:v>8.461538461538462E-2</c:v>
                </c:pt>
                <c:pt idx="125">
                  <c:v>0.1076923076923077</c:v>
                </c:pt>
                <c:pt idx="126">
                  <c:v>0.1</c:v>
                </c:pt>
                <c:pt idx="127">
                  <c:v>6.1538461538461542E-2</c:v>
                </c:pt>
                <c:pt idx="128">
                  <c:v>8.461538461538462E-2</c:v>
                </c:pt>
                <c:pt idx="129">
                  <c:v>7.6923076923076927E-2</c:v>
                </c:pt>
                <c:pt idx="130">
                  <c:v>7.6923076923076927E-2</c:v>
                </c:pt>
                <c:pt idx="131">
                  <c:v>7.6923076923076927E-2</c:v>
                </c:pt>
                <c:pt idx="132">
                  <c:v>7.6923076923076927E-2</c:v>
                </c:pt>
                <c:pt idx="133">
                  <c:v>4.6153846153846156E-2</c:v>
                </c:pt>
                <c:pt idx="134">
                  <c:v>6.9230769230769235E-2</c:v>
                </c:pt>
                <c:pt idx="135">
                  <c:v>6.9230769230769235E-2</c:v>
                </c:pt>
                <c:pt idx="136">
                  <c:v>6.9230769230769235E-2</c:v>
                </c:pt>
                <c:pt idx="137">
                  <c:v>6.9230769230769235E-2</c:v>
                </c:pt>
                <c:pt idx="138">
                  <c:v>6.9230769230769235E-2</c:v>
                </c:pt>
                <c:pt idx="139">
                  <c:v>6.9230769230769235E-2</c:v>
                </c:pt>
                <c:pt idx="140">
                  <c:v>6.9230769230769235E-2</c:v>
                </c:pt>
                <c:pt idx="141">
                  <c:v>6.9230769230769235E-2</c:v>
                </c:pt>
                <c:pt idx="142">
                  <c:v>6.1538461538461542E-2</c:v>
                </c:pt>
                <c:pt idx="143">
                  <c:v>6.1538461538461542E-2</c:v>
                </c:pt>
                <c:pt idx="144">
                  <c:v>6.1538461538461542E-2</c:v>
                </c:pt>
                <c:pt idx="145">
                  <c:v>5.3846153846153849E-2</c:v>
                </c:pt>
                <c:pt idx="146">
                  <c:v>5.3846153846153849E-2</c:v>
                </c:pt>
                <c:pt idx="147">
                  <c:v>5.3846153846153849E-2</c:v>
                </c:pt>
                <c:pt idx="148">
                  <c:v>5.3846153846153849E-2</c:v>
                </c:pt>
                <c:pt idx="149">
                  <c:v>5.3846153846153849E-2</c:v>
                </c:pt>
                <c:pt idx="150">
                  <c:v>5.3846153846153849E-2</c:v>
                </c:pt>
                <c:pt idx="151">
                  <c:v>4.6153846153846156E-2</c:v>
                </c:pt>
                <c:pt idx="152">
                  <c:v>4.6153846153846156E-2</c:v>
                </c:pt>
                <c:pt idx="153">
                  <c:v>4.6153846153846156E-2</c:v>
                </c:pt>
                <c:pt idx="154">
                  <c:v>4.6153846153846156E-2</c:v>
                </c:pt>
                <c:pt idx="155">
                  <c:v>4.6153846153846156E-2</c:v>
                </c:pt>
                <c:pt idx="156">
                  <c:v>3.8461538461538464E-2</c:v>
                </c:pt>
                <c:pt idx="157">
                  <c:v>3.8461538461538464E-2</c:v>
                </c:pt>
                <c:pt idx="158">
                  <c:v>3.8461538461538464E-2</c:v>
                </c:pt>
                <c:pt idx="159">
                  <c:v>3.8461538461538464E-2</c:v>
                </c:pt>
                <c:pt idx="160">
                  <c:v>3.8461538461538464E-2</c:v>
                </c:pt>
                <c:pt idx="161">
                  <c:v>3.8461538461538464E-2</c:v>
                </c:pt>
                <c:pt idx="162">
                  <c:v>3.8461538461538464E-2</c:v>
                </c:pt>
                <c:pt idx="163">
                  <c:v>3.8461538461538464E-2</c:v>
                </c:pt>
                <c:pt idx="164">
                  <c:v>3.8461538461538464E-2</c:v>
                </c:pt>
                <c:pt idx="165">
                  <c:v>3.0769230769230771E-2</c:v>
                </c:pt>
                <c:pt idx="166">
                  <c:v>3.0769230769230771E-2</c:v>
                </c:pt>
                <c:pt idx="167">
                  <c:v>3.0769230769230771E-2</c:v>
                </c:pt>
                <c:pt idx="168">
                  <c:v>3.0769230769230771E-2</c:v>
                </c:pt>
                <c:pt idx="169">
                  <c:v>3.0769230769230771E-2</c:v>
                </c:pt>
                <c:pt idx="170">
                  <c:v>3.0769230769230771E-2</c:v>
                </c:pt>
                <c:pt idx="171">
                  <c:v>3.0769230769230771E-2</c:v>
                </c:pt>
                <c:pt idx="172">
                  <c:v>2.3076923076923078E-2</c:v>
                </c:pt>
                <c:pt idx="173">
                  <c:v>2.3076923076923078E-2</c:v>
                </c:pt>
                <c:pt idx="174">
                  <c:v>7.6923076923076927E-3</c:v>
                </c:pt>
                <c:pt idx="175">
                  <c:v>7.6923076923076927E-3</c:v>
                </c:pt>
                <c:pt idx="176">
                  <c:v>7.6923076923076927E-3</c:v>
                </c:pt>
                <c:pt idx="177">
                  <c:v>7.6923076923076927E-3</c:v>
                </c:pt>
                <c:pt idx="178">
                  <c:v>7.6923076923076927E-3</c:v>
                </c:pt>
                <c:pt idx="179">
                  <c:v>7.6923076923076927E-3</c:v>
                </c:pt>
                <c:pt idx="180">
                  <c:v>7.6923076923076927E-3</c:v>
                </c:pt>
                <c:pt idx="181">
                  <c:v>7.6923076923076927E-3</c:v>
                </c:pt>
                <c:pt idx="182">
                  <c:v>7.6923076923076927E-3</c:v>
                </c:pt>
                <c:pt idx="183">
                  <c:v>7.6923076923076927E-3</c:v>
                </c:pt>
                <c:pt idx="184">
                  <c:v>7.6923076923076927E-3</c:v>
                </c:pt>
                <c:pt idx="185">
                  <c:v>7.6923076923076927E-3</c:v>
                </c:pt>
                <c:pt idx="186">
                  <c:v>7.6923076923076927E-3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3-4DC2-AE30-F35026878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1549"/>
        <c:axId val="425238100"/>
      </c:areaChart>
      <c:catAx>
        <c:axId val="18261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Métodos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/>
          <a:lstStyle/>
          <a:p>
            <a:pPr lvl="0">
              <a:defRPr sz="5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25238100"/>
        <c:crosses val="autoZero"/>
        <c:auto val="1"/>
        <c:lblAlgn val="ctr"/>
        <c:lblOffset val="100"/>
        <c:noMultiLvlLbl val="1"/>
      </c:catAx>
      <c:valAx>
        <c:axId val="425238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Soma normalizada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8261549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0</xdr:colOff>
      <xdr:row>3</xdr:row>
      <xdr:rowOff>0</xdr:rowOff>
    </xdr:from>
    <xdr:ext cx="11620500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34</xdr:col>
      <xdr:colOff>0</xdr:colOff>
      <xdr:row>30</xdr:row>
      <xdr:rowOff>76200</xdr:rowOff>
    </xdr:from>
    <xdr:ext cx="11620500" cy="49053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2"/>
  <sheetViews>
    <sheetView showGridLines="0" workbookViewId="0">
      <pane ySplit="2" topLeftCell="A18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34" customWidth="1"/>
    <col min="2" max="2" width="10" customWidth="1"/>
    <col min="3" max="4" width="12" customWidth="1"/>
    <col min="5" max="5" width="34" customWidth="1"/>
    <col min="6" max="6" width="10" customWidth="1"/>
    <col min="7" max="7" width="12" customWidth="1"/>
    <col min="8" max="8" width="22" customWidth="1"/>
    <col min="9" max="9" width="34" customWidth="1"/>
    <col min="10" max="10" width="10" customWidth="1"/>
    <col min="11" max="11" width="12" customWidth="1"/>
    <col min="12" max="12" width="22" customWidth="1"/>
    <col min="13" max="14" width="34" customWidth="1"/>
    <col min="15" max="15" width="10" customWidth="1"/>
    <col min="16" max="16" width="12" customWidth="1"/>
  </cols>
  <sheetData>
    <row r="1" spans="1:16" ht="15" customHeight="1" x14ac:dyDescent="0.3">
      <c r="A1" s="33" t="s">
        <v>2</v>
      </c>
      <c r="B1" s="34"/>
      <c r="C1" s="35"/>
      <c r="D1" s="33" t="s">
        <v>11</v>
      </c>
      <c r="E1" s="34"/>
      <c r="F1" s="34"/>
      <c r="G1" s="35"/>
      <c r="H1" s="33" t="s">
        <v>15</v>
      </c>
      <c r="I1" s="34"/>
      <c r="J1" s="34"/>
      <c r="K1" s="35"/>
      <c r="L1" s="33" t="s">
        <v>17</v>
      </c>
      <c r="M1" s="34"/>
      <c r="N1" s="34"/>
      <c r="O1" s="34"/>
      <c r="P1" s="35"/>
    </row>
    <row r="2" spans="1:16" ht="14.4" x14ac:dyDescent="0.3">
      <c r="A2" s="4" t="s">
        <v>6</v>
      </c>
      <c r="B2" s="4" t="s">
        <v>8</v>
      </c>
      <c r="C2" s="4" t="s">
        <v>9</v>
      </c>
      <c r="D2" s="4" t="s">
        <v>36</v>
      </c>
      <c r="E2" s="4" t="s">
        <v>6</v>
      </c>
      <c r="F2" s="4" t="s">
        <v>8</v>
      </c>
      <c r="G2" s="4" t="s">
        <v>9</v>
      </c>
      <c r="H2" s="4" t="s">
        <v>42</v>
      </c>
      <c r="I2" s="4" t="s">
        <v>6</v>
      </c>
      <c r="J2" s="4" t="s">
        <v>8</v>
      </c>
      <c r="K2" s="4" t="s">
        <v>9</v>
      </c>
      <c r="L2" s="4" t="s">
        <v>42</v>
      </c>
      <c r="M2" s="4" t="s">
        <v>45</v>
      </c>
      <c r="N2" s="4" t="s">
        <v>6</v>
      </c>
      <c r="O2" s="4" t="s">
        <v>8</v>
      </c>
      <c r="P2" s="4" t="s">
        <v>9</v>
      </c>
    </row>
    <row r="3" spans="1:16" ht="14.4" x14ac:dyDescent="0.3">
      <c r="A3" s="6" t="s">
        <v>10</v>
      </c>
      <c r="B3" s="6" t="s">
        <v>13</v>
      </c>
      <c r="C3" s="17">
        <v>0.7238</v>
      </c>
      <c r="D3" s="6" t="s">
        <v>50</v>
      </c>
      <c r="E3" s="6" t="s">
        <v>18</v>
      </c>
      <c r="F3" s="6" t="s">
        <v>52</v>
      </c>
      <c r="G3" s="17">
        <v>0.23080000000000001</v>
      </c>
      <c r="H3" s="6" t="s">
        <v>55</v>
      </c>
      <c r="I3" s="6" t="s">
        <v>58</v>
      </c>
      <c r="J3" s="6" t="s">
        <v>60</v>
      </c>
      <c r="K3" s="19">
        <v>0</v>
      </c>
      <c r="L3" s="6" t="s">
        <v>55</v>
      </c>
      <c r="M3" s="6" t="s">
        <v>70</v>
      </c>
      <c r="N3" s="6" t="s">
        <v>72</v>
      </c>
      <c r="O3" s="6" t="s">
        <v>75</v>
      </c>
      <c r="P3" s="19">
        <v>0</v>
      </c>
    </row>
    <row r="4" spans="1:16" ht="14.4" x14ac:dyDescent="0.3">
      <c r="A4" s="6" t="s">
        <v>16</v>
      </c>
      <c r="B4" s="6" t="s">
        <v>19</v>
      </c>
      <c r="C4" s="17">
        <v>0.441</v>
      </c>
      <c r="D4" s="6" t="s">
        <v>50</v>
      </c>
      <c r="E4" s="6" t="s">
        <v>20</v>
      </c>
      <c r="F4" s="6" t="s">
        <v>53</v>
      </c>
      <c r="G4" s="19">
        <v>4</v>
      </c>
      <c r="H4" s="6" t="s">
        <v>55</v>
      </c>
      <c r="I4" s="6" t="s">
        <v>72</v>
      </c>
      <c r="J4" s="6" t="s">
        <v>82</v>
      </c>
      <c r="K4" s="19">
        <v>0</v>
      </c>
      <c r="L4" s="6" t="s">
        <v>55</v>
      </c>
      <c r="M4" s="6" t="s">
        <v>70</v>
      </c>
      <c r="N4" s="6" t="s">
        <v>83</v>
      </c>
      <c r="O4" s="6" t="s">
        <v>84</v>
      </c>
      <c r="P4" s="19">
        <v>0</v>
      </c>
    </row>
    <row r="5" spans="1:16" ht="14.4" x14ac:dyDescent="0.3">
      <c r="A5" s="6" t="s">
        <v>33</v>
      </c>
      <c r="B5" s="6" t="s">
        <v>35</v>
      </c>
      <c r="C5" s="17">
        <v>0.16669999999999999</v>
      </c>
      <c r="D5" s="6" t="s">
        <v>50</v>
      </c>
      <c r="E5" s="6" t="s">
        <v>21</v>
      </c>
      <c r="F5" s="6" t="s">
        <v>54</v>
      </c>
      <c r="G5" s="19">
        <v>0</v>
      </c>
      <c r="H5" s="6" t="s">
        <v>55</v>
      </c>
      <c r="I5" s="6" t="s">
        <v>85</v>
      </c>
      <c r="J5" s="6" t="s">
        <v>86</v>
      </c>
      <c r="K5" s="19">
        <v>4</v>
      </c>
      <c r="L5" s="6" t="s">
        <v>55</v>
      </c>
      <c r="M5" s="6" t="s">
        <v>70</v>
      </c>
      <c r="N5" s="6" t="s">
        <v>88</v>
      </c>
      <c r="O5" s="6" t="s">
        <v>90</v>
      </c>
      <c r="P5" s="17">
        <v>0.6</v>
      </c>
    </row>
    <row r="6" spans="1:16" ht="14.4" x14ac:dyDescent="0.3">
      <c r="A6" s="6" t="s">
        <v>38</v>
      </c>
      <c r="B6" s="6" t="s">
        <v>38</v>
      </c>
      <c r="C6" s="17">
        <v>2.7307000000000001</v>
      </c>
      <c r="D6" s="6" t="s">
        <v>50</v>
      </c>
      <c r="E6" s="6" t="s">
        <v>22</v>
      </c>
      <c r="F6" s="6" t="s">
        <v>56</v>
      </c>
      <c r="G6" s="17">
        <v>969.30420000000004</v>
      </c>
      <c r="H6" s="6" t="s">
        <v>55</v>
      </c>
      <c r="I6" s="6" t="s">
        <v>93</v>
      </c>
      <c r="J6" s="6" t="s">
        <v>94</v>
      </c>
      <c r="K6" s="19">
        <v>0</v>
      </c>
      <c r="L6" s="6" t="s">
        <v>55</v>
      </c>
      <c r="M6" s="6" t="s">
        <v>70</v>
      </c>
      <c r="N6" s="6" t="s">
        <v>96</v>
      </c>
      <c r="O6" s="6" t="s">
        <v>97</v>
      </c>
      <c r="P6" s="19">
        <v>5</v>
      </c>
    </row>
    <row r="7" spans="1:16" ht="14.4" x14ac:dyDescent="0.3">
      <c r="A7" s="6" t="s">
        <v>41</v>
      </c>
      <c r="B7" s="6" t="s">
        <v>41</v>
      </c>
      <c r="C7" s="17">
        <v>2.7385999999999999</v>
      </c>
      <c r="D7" s="6" t="s">
        <v>50</v>
      </c>
      <c r="E7" s="6" t="s">
        <v>23</v>
      </c>
      <c r="F7" s="6" t="s">
        <v>57</v>
      </c>
      <c r="G7" s="17">
        <v>2521861.5849000001</v>
      </c>
      <c r="H7" s="6" t="s">
        <v>55</v>
      </c>
      <c r="I7" s="6" t="s">
        <v>98</v>
      </c>
      <c r="J7" s="6" t="s">
        <v>99</v>
      </c>
      <c r="K7" s="19">
        <v>2</v>
      </c>
      <c r="L7" s="6" t="s">
        <v>55</v>
      </c>
      <c r="M7" s="6" t="s">
        <v>70</v>
      </c>
      <c r="N7" s="6" t="s">
        <v>100</v>
      </c>
      <c r="O7" s="6" t="s">
        <v>101</v>
      </c>
      <c r="P7" s="19">
        <v>0</v>
      </c>
    </row>
    <row r="8" spans="1:16" ht="14.4" x14ac:dyDescent="0.3">
      <c r="A8" s="6" t="s">
        <v>43</v>
      </c>
      <c r="B8" s="6" t="s">
        <v>43</v>
      </c>
      <c r="C8" s="17">
        <v>5.8266999999999998</v>
      </c>
      <c r="D8" s="6" t="s">
        <v>50</v>
      </c>
      <c r="E8" s="6" t="s">
        <v>24</v>
      </c>
      <c r="F8" s="6" t="s">
        <v>59</v>
      </c>
      <c r="G8" s="17">
        <v>13.1744</v>
      </c>
      <c r="H8" s="6" t="s">
        <v>55</v>
      </c>
      <c r="I8" s="6" t="s">
        <v>22</v>
      </c>
      <c r="J8" s="6" t="s">
        <v>103</v>
      </c>
      <c r="K8" s="17">
        <v>7.5</v>
      </c>
      <c r="L8" s="6" t="s">
        <v>55</v>
      </c>
      <c r="M8" s="6" t="s">
        <v>70</v>
      </c>
      <c r="N8" s="6" t="s">
        <v>22</v>
      </c>
      <c r="O8" s="6" t="s">
        <v>104</v>
      </c>
      <c r="P8" s="19">
        <v>6</v>
      </c>
    </row>
    <row r="9" spans="1:16" ht="14.4" x14ac:dyDescent="0.3">
      <c r="A9" s="6" t="s">
        <v>44</v>
      </c>
      <c r="B9" s="6" t="s">
        <v>44</v>
      </c>
      <c r="C9" s="17">
        <v>3.2770000000000001</v>
      </c>
      <c r="D9" s="6" t="s">
        <v>50</v>
      </c>
      <c r="E9" s="6" t="s">
        <v>25</v>
      </c>
      <c r="F9" s="6" t="s">
        <v>61</v>
      </c>
      <c r="G9" s="19">
        <v>4315</v>
      </c>
      <c r="H9" s="6" t="s">
        <v>55</v>
      </c>
      <c r="I9" s="6" t="s">
        <v>23</v>
      </c>
      <c r="J9" s="6" t="s">
        <v>106</v>
      </c>
      <c r="K9" s="17">
        <v>485.43779999999998</v>
      </c>
      <c r="L9" s="6" t="s">
        <v>55</v>
      </c>
      <c r="M9" s="6" t="s">
        <v>70</v>
      </c>
      <c r="N9" s="6" t="s">
        <v>23</v>
      </c>
      <c r="O9" s="6" t="s">
        <v>107</v>
      </c>
      <c r="P9" s="17">
        <v>301.13690000000003</v>
      </c>
    </row>
    <row r="10" spans="1:16" ht="14.4" x14ac:dyDescent="0.3">
      <c r="A10" s="6" t="s">
        <v>22</v>
      </c>
      <c r="B10" s="6" t="s">
        <v>46</v>
      </c>
      <c r="C10" s="17">
        <v>1196.7929999999999</v>
      </c>
      <c r="D10" s="6" t="s">
        <v>50</v>
      </c>
      <c r="E10" s="6" t="s">
        <v>26</v>
      </c>
      <c r="F10" s="6" t="s">
        <v>62</v>
      </c>
      <c r="G10" s="19">
        <v>1327</v>
      </c>
      <c r="H10" s="6" t="s">
        <v>55</v>
      </c>
      <c r="I10" s="6" t="s">
        <v>24</v>
      </c>
      <c r="J10" s="6" t="s">
        <v>108</v>
      </c>
      <c r="K10" s="17">
        <v>2.06E-2</v>
      </c>
      <c r="L10" s="6" t="s">
        <v>55</v>
      </c>
      <c r="M10" s="6" t="s">
        <v>70</v>
      </c>
      <c r="N10" s="6" t="s">
        <v>24</v>
      </c>
      <c r="O10" s="6" t="s">
        <v>109</v>
      </c>
      <c r="P10" s="17">
        <v>1.4999999999999999E-2</v>
      </c>
    </row>
    <row r="11" spans="1:16" ht="14.4" x14ac:dyDescent="0.3">
      <c r="A11" s="6" t="s">
        <v>23</v>
      </c>
      <c r="B11" s="6" t="s">
        <v>47</v>
      </c>
      <c r="C11" s="17">
        <v>2862195.0251000002</v>
      </c>
      <c r="D11" s="6" t="s">
        <v>50</v>
      </c>
      <c r="E11" s="6" t="s">
        <v>27</v>
      </c>
      <c r="F11" s="6" t="s">
        <v>64</v>
      </c>
      <c r="G11" s="17">
        <v>28958.3717</v>
      </c>
      <c r="H11" s="6" t="s">
        <v>55</v>
      </c>
      <c r="I11" s="6" t="s">
        <v>25</v>
      </c>
      <c r="J11" s="6" t="s">
        <v>110</v>
      </c>
      <c r="K11" s="19">
        <v>17</v>
      </c>
      <c r="L11" s="6" t="s">
        <v>55</v>
      </c>
      <c r="M11" s="6" t="s">
        <v>70</v>
      </c>
      <c r="N11" s="6" t="s">
        <v>25</v>
      </c>
      <c r="O11" s="6" t="s">
        <v>111</v>
      </c>
      <c r="P11" s="19">
        <v>14</v>
      </c>
    </row>
    <row r="12" spans="1:16" ht="14.4" x14ac:dyDescent="0.3">
      <c r="A12" s="6" t="s">
        <v>24</v>
      </c>
      <c r="B12" s="6" t="s">
        <v>48</v>
      </c>
      <c r="C12" s="17">
        <v>15.613200000000001</v>
      </c>
      <c r="D12" s="6" t="s">
        <v>50</v>
      </c>
      <c r="E12" s="6" t="s">
        <v>28</v>
      </c>
      <c r="F12" s="6" t="s">
        <v>65</v>
      </c>
      <c r="G12" s="19">
        <v>0</v>
      </c>
      <c r="H12" s="6" t="s">
        <v>55</v>
      </c>
      <c r="I12" s="6" t="s">
        <v>26</v>
      </c>
      <c r="J12" s="6" t="s">
        <v>112</v>
      </c>
      <c r="K12" s="19">
        <v>14</v>
      </c>
      <c r="L12" s="6" t="s">
        <v>55</v>
      </c>
      <c r="M12" s="6" t="s">
        <v>70</v>
      </c>
      <c r="N12" s="6" t="s">
        <v>26</v>
      </c>
      <c r="O12" s="6" t="s">
        <v>113</v>
      </c>
      <c r="P12" s="19">
        <v>12</v>
      </c>
    </row>
    <row r="13" spans="1:16" ht="14.4" x14ac:dyDescent="0.3">
      <c r="A13" s="6" t="s">
        <v>25</v>
      </c>
      <c r="B13" s="6" t="s">
        <v>49</v>
      </c>
      <c r="C13" s="19">
        <v>5236</v>
      </c>
      <c r="D13" s="6" t="s">
        <v>50</v>
      </c>
      <c r="E13" s="6" t="s">
        <v>29</v>
      </c>
      <c r="F13" s="6" t="s">
        <v>66</v>
      </c>
      <c r="G13" s="19">
        <v>2070</v>
      </c>
      <c r="H13" s="6" t="s">
        <v>55</v>
      </c>
      <c r="I13" s="6" t="s">
        <v>27</v>
      </c>
      <c r="J13" s="6" t="s">
        <v>114</v>
      </c>
      <c r="K13" s="17">
        <v>64.724999999999994</v>
      </c>
      <c r="L13" s="6" t="s">
        <v>55</v>
      </c>
      <c r="M13" s="6" t="s">
        <v>70</v>
      </c>
      <c r="N13" s="6" t="s">
        <v>27</v>
      </c>
      <c r="O13" s="6" t="s">
        <v>117</v>
      </c>
      <c r="P13" s="17">
        <v>50.189500000000002</v>
      </c>
    </row>
    <row r="14" spans="1:16" ht="14.4" x14ac:dyDescent="0.3">
      <c r="A14" s="6" t="s">
        <v>26</v>
      </c>
      <c r="B14" s="6" t="s">
        <v>51</v>
      </c>
      <c r="C14" s="19">
        <v>1696</v>
      </c>
      <c r="D14" s="6" t="s">
        <v>50</v>
      </c>
      <c r="E14" s="6" t="s">
        <v>30</v>
      </c>
      <c r="F14" s="6" t="s">
        <v>67</v>
      </c>
      <c r="G14" s="19">
        <v>0</v>
      </c>
      <c r="H14" s="6" t="s">
        <v>55</v>
      </c>
      <c r="I14" s="6" t="s">
        <v>115</v>
      </c>
      <c r="J14" s="6" t="s">
        <v>121</v>
      </c>
      <c r="K14" s="19">
        <v>0</v>
      </c>
      <c r="L14" s="6" t="s">
        <v>55</v>
      </c>
      <c r="M14" s="6" t="s">
        <v>70</v>
      </c>
      <c r="N14" s="6" t="s">
        <v>29</v>
      </c>
      <c r="O14" s="6" t="s">
        <v>125</v>
      </c>
      <c r="P14" s="19">
        <v>11</v>
      </c>
    </row>
    <row r="15" spans="1:16" ht="14.4" x14ac:dyDescent="0.3">
      <c r="A15" s="6" t="s">
        <v>27</v>
      </c>
      <c r="B15" s="6" t="s">
        <v>63</v>
      </c>
      <c r="C15" s="17">
        <v>34666.675799999997</v>
      </c>
      <c r="D15" s="6" t="s">
        <v>50</v>
      </c>
      <c r="E15" s="6" t="s">
        <v>31</v>
      </c>
      <c r="F15" s="6" t="s">
        <v>68</v>
      </c>
      <c r="G15" s="19">
        <v>1110</v>
      </c>
      <c r="H15" s="6" t="s">
        <v>55</v>
      </c>
      <c r="I15" s="6" t="s">
        <v>116</v>
      </c>
      <c r="J15" s="6" t="s">
        <v>132</v>
      </c>
      <c r="K15" s="19">
        <v>11</v>
      </c>
      <c r="L15" s="6" t="s">
        <v>55</v>
      </c>
      <c r="M15" s="6" t="s">
        <v>70</v>
      </c>
      <c r="N15" s="6" t="s">
        <v>135</v>
      </c>
      <c r="O15" s="6" t="s">
        <v>136</v>
      </c>
      <c r="P15" s="19">
        <v>0</v>
      </c>
    </row>
    <row r="16" spans="1:16" ht="14.4" x14ac:dyDescent="0.3">
      <c r="A16" s="6" t="s">
        <v>29</v>
      </c>
      <c r="B16" s="6" t="s">
        <v>66</v>
      </c>
      <c r="C16" s="19">
        <v>2464</v>
      </c>
      <c r="D16" s="6" t="s">
        <v>50</v>
      </c>
      <c r="E16" s="6" t="s">
        <v>32</v>
      </c>
      <c r="F16" s="6" t="s">
        <v>69</v>
      </c>
      <c r="G16" s="17">
        <v>0.76919999999999999</v>
      </c>
      <c r="H16" s="6" t="s">
        <v>55</v>
      </c>
      <c r="I16" s="6" t="s">
        <v>30</v>
      </c>
      <c r="J16" s="6" t="s">
        <v>137</v>
      </c>
      <c r="K16" s="17">
        <v>64.636200000000002</v>
      </c>
      <c r="L16" s="6" t="s">
        <v>55</v>
      </c>
      <c r="M16" s="6" t="s">
        <v>70</v>
      </c>
      <c r="N16" s="6" t="s">
        <v>138</v>
      </c>
      <c r="O16" s="6" t="s">
        <v>139</v>
      </c>
      <c r="P16" s="19">
        <v>0</v>
      </c>
    </row>
    <row r="17" spans="1:16" ht="14.4" x14ac:dyDescent="0.3">
      <c r="A17" s="6" t="s">
        <v>30</v>
      </c>
      <c r="B17" s="6" t="s">
        <v>74</v>
      </c>
      <c r="C17" s="19">
        <v>0</v>
      </c>
      <c r="D17" s="6" t="s">
        <v>50</v>
      </c>
      <c r="E17" s="6" t="s">
        <v>34</v>
      </c>
      <c r="F17" s="6" t="s">
        <v>71</v>
      </c>
      <c r="G17" s="19">
        <v>1</v>
      </c>
      <c r="H17" s="6" t="s">
        <v>55</v>
      </c>
      <c r="I17" s="6" t="s">
        <v>118</v>
      </c>
      <c r="J17" s="6" t="s">
        <v>140</v>
      </c>
      <c r="K17" s="19">
        <v>5</v>
      </c>
      <c r="L17" s="6" t="s">
        <v>55</v>
      </c>
      <c r="M17" s="6" t="s">
        <v>70</v>
      </c>
      <c r="N17" s="6" t="s">
        <v>30</v>
      </c>
      <c r="O17" s="6" t="s">
        <v>148</v>
      </c>
      <c r="P17" s="17">
        <v>65.386899999999997</v>
      </c>
    </row>
    <row r="18" spans="1:16" ht="14.4" x14ac:dyDescent="0.3">
      <c r="A18" s="6" t="s">
        <v>78</v>
      </c>
      <c r="B18" s="6" t="s">
        <v>79</v>
      </c>
      <c r="C18" s="17">
        <v>0.16109999999999999</v>
      </c>
      <c r="D18" s="6" t="s">
        <v>50</v>
      </c>
      <c r="E18" s="6" t="s">
        <v>37</v>
      </c>
      <c r="F18" s="6" t="s">
        <v>73</v>
      </c>
      <c r="G18" s="19">
        <v>16</v>
      </c>
      <c r="H18" s="6" t="s">
        <v>55</v>
      </c>
      <c r="I18" s="6" t="s">
        <v>31</v>
      </c>
      <c r="J18" s="6" t="s">
        <v>141</v>
      </c>
      <c r="K18" s="19">
        <v>2</v>
      </c>
      <c r="L18" s="6" t="s">
        <v>55</v>
      </c>
      <c r="M18" s="6" t="s">
        <v>70</v>
      </c>
      <c r="N18" s="6" t="s">
        <v>156</v>
      </c>
      <c r="O18" s="6" t="s">
        <v>157</v>
      </c>
      <c r="P18" s="19">
        <v>0</v>
      </c>
    </row>
    <row r="19" spans="1:16" ht="14.4" x14ac:dyDescent="0.3">
      <c r="A19" s="6" t="s">
        <v>80</v>
      </c>
      <c r="B19" s="6" t="s">
        <v>81</v>
      </c>
      <c r="C19" s="17">
        <v>0.30420000000000003</v>
      </c>
      <c r="D19" s="6" t="s">
        <v>50</v>
      </c>
      <c r="E19" s="6" t="s">
        <v>39</v>
      </c>
      <c r="F19" s="6" t="s">
        <v>76</v>
      </c>
      <c r="G19" s="19">
        <v>5</v>
      </c>
      <c r="H19" s="6" t="s">
        <v>55</v>
      </c>
      <c r="I19" s="6" t="s">
        <v>119</v>
      </c>
      <c r="J19" s="6" t="s">
        <v>142</v>
      </c>
      <c r="K19" s="19">
        <v>0</v>
      </c>
      <c r="L19" s="6" t="s">
        <v>55</v>
      </c>
      <c r="M19" s="6" t="s">
        <v>70</v>
      </c>
      <c r="N19" s="6" t="s">
        <v>158</v>
      </c>
      <c r="O19" s="6" t="s">
        <v>159</v>
      </c>
      <c r="P19" s="19">
        <v>1</v>
      </c>
    </row>
    <row r="20" spans="1:16" ht="14.4" x14ac:dyDescent="0.3">
      <c r="A20" s="6" t="s">
        <v>31</v>
      </c>
      <c r="B20" s="6" t="s">
        <v>68</v>
      </c>
      <c r="C20" s="19">
        <v>1352</v>
      </c>
      <c r="D20" s="6" t="s">
        <v>50</v>
      </c>
      <c r="E20" s="6" t="s">
        <v>40</v>
      </c>
      <c r="F20" s="6" t="s">
        <v>77</v>
      </c>
      <c r="G20" s="19">
        <v>0</v>
      </c>
      <c r="H20" s="6" t="s">
        <v>55</v>
      </c>
      <c r="I20" s="6" t="s">
        <v>120</v>
      </c>
      <c r="J20" s="6" t="s">
        <v>143</v>
      </c>
      <c r="K20" s="19">
        <v>0</v>
      </c>
      <c r="L20" s="6" t="s">
        <v>55</v>
      </c>
      <c r="M20" s="6" t="s">
        <v>70</v>
      </c>
      <c r="N20" s="6" t="s">
        <v>160</v>
      </c>
      <c r="O20" s="6" t="s">
        <v>161</v>
      </c>
      <c r="P20" s="19">
        <v>2</v>
      </c>
    </row>
    <row r="21" spans="1:16" ht="15.75" customHeight="1" x14ac:dyDescent="0.3">
      <c r="A21" s="6" t="s">
        <v>34</v>
      </c>
      <c r="B21" s="6" t="s">
        <v>71</v>
      </c>
      <c r="C21" s="19">
        <v>1</v>
      </c>
      <c r="D21" s="6" t="s">
        <v>95</v>
      </c>
      <c r="E21" s="6" t="s">
        <v>18</v>
      </c>
      <c r="F21" s="6" t="s">
        <v>52</v>
      </c>
      <c r="G21" s="19">
        <v>0</v>
      </c>
      <c r="H21" s="6" t="s">
        <v>55</v>
      </c>
      <c r="I21" s="6" t="s">
        <v>122</v>
      </c>
      <c r="J21" s="6" t="s">
        <v>144</v>
      </c>
      <c r="K21" s="19">
        <v>10</v>
      </c>
      <c r="L21" s="6" t="s">
        <v>55</v>
      </c>
      <c r="M21" s="6" t="s">
        <v>70</v>
      </c>
      <c r="N21" s="6" t="s">
        <v>162</v>
      </c>
      <c r="O21" s="6" t="s">
        <v>163</v>
      </c>
      <c r="P21" s="19">
        <v>0</v>
      </c>
    </row>
    <row r="22" spans="1:16" ht="15.75" customHeight="1" x14ac:dyDescent="0.3">
      <c r="A22" s="6" t="s">
        <v>37</v>
      </c>
      <c r="B22" s="6" t="s">
        <v>73</v>
      </c>
      <c r="C22" s="19">
        <v>32</v>
      </c>
      <c r="D22" s="6" t="s">
        <v>95</v>
      </c>
      <c r="E22" s="6" t="s">
        <v>20</v>
      </c>
      <c r="F22" s="6" t="s">
        <v>53</v>
      </c>
      <c r="G22" s="19">
        <v>0</v>
      </c>
      <c r="H22" s="6" t="s">
        <v>55</v>
      </c>
      <c r="I22" s="6" t="s">
        <v>123</v>
      </c>
      <c r="J22" s="6" t="s">
        <v>145</v>
      </c>
      <c r="K22" s="19">
        <v>55</v>
      </c>
      <c r="L22" s="6" t="s">
        <v>55</v>
      </c>
      <c r="M22" s="6" t="s">
        <v>70</v>
      </c>
      <c r="N22" s="6" t="s">
        <v>165</v>
      </c>
      <c r="O22" s="6" t="s">
        <v>166</v>
      </c>
      <c r="P22" s="19">
        <v>2</v>
      </c>
    </row>
    <row r="23" spans="1:16" ht="15.75" customHeight="1" x14ac:dyDescent="0.3">
      <c r="A23" s="6" t="s">
        <v>39</v>
      </c>
      <c r="B23" s="6" t="s">
        <v>76</v>
      </c>
      <c r="C23" s="19">
        <v>5</v>
      </c>
      <c r="D23" s="6" t="s">
        <v>95</v>
      </c>
      <c r="E23" s="6" t="s">
        <v>21</v>
      </c>
      <c r="F23" s="6" t="s">
        <v>54</v>
      </c>
      <c r="G23" s="19">
        <v>4</v>
      </c>
      <c r="H23" s="6" t="s">
        <v>55</v>
      </c>
      <c r="I23" s="6" t="s">
        <v>124</v>
      </c>
      <c r="J23" s="6" t="s">
        <v>146</v>
      </c>
      <c r="K23" s="19">
        <v>0</v>
      </c>
      <c r="L23" s="6" t="s">
        <v>164</v>
      </c>
      <c r="M23" s="6" t="s">
        <v>167</v>
      </c>
      <c r="N23" s="6" t="s">
        <v>72</v>
      </c>
      <c r="O23" s="6" t="s">
        <v>75</v>
      </c>
      <c r="P23" s="19">
        <v>1</v>
      </c>
    </row>
    <row r="24" spans="1:16" ht="15.75" customHeight="1" x14ac:dyDescent="0.3">
      <c r="A24" s="6" t="s">
        <v>40</v>
      </c>
      <c r="B24" s="6" t="s">
        <v>77</v>
      </c>
      <c r="C24" s="19">
        <v>9</v>
      </c>
      <c r="D24" s="6" t="s">
        <v>95</v>
      </c>
      <c r="E24" s="6" t="s">
        <v>22</v>
      </c>
      <c r="F24" s="6" t="s">
        <v>56</v>
      </c>
      <c r="G24" s="17">
        <v>227.48869999999999</v>
      </c>
      <c r="H24" s="6" t="s">
        <v>55</v>
      </c>
      <c r="I24" s="6" t="s">
        <v>126</v>
      </c>
      <c r="J24" s="6" t="s">
        <v>147</v>
      </c>
      <c r="K24" s="19">
        <v>1</v>
      </c>
      <c r="L24" s="6" t="s">
        <v>164</v>
      </c>
      <c r="M24" s="6" t="s">
        <v>167</v>
      </c>
      <c r="N24" s="6" t="s">
        <v>83</v>
      </c>
      <c r="O24" s="6" t="s">
        <v>84</v>
      </c>
      <c r="P24" s="19">
        <v>0</v>
      </c>
    </row>
    <row r="25" spans="1:16" ht="15.75" customHeight="1" x14ac:dyDescent="0.3">
      <c r="A25" s="6" t="s">
        <v>87</v>
      </c>
      <c r="B25" s="6" t="s">
        <v>89</v>
      </c>
      <c r="C25" s="17">
        <v>0.44740000000000002</v>
      </c>
      <c r="D25" s="6" t="s">
        <v>95</v>
      </c>
      <c r="E25" s="6" t="s">
        <v>23</v>
      </c>
      <c r="F25" s="6" t="s">
        <v>57</v>
      </c>
      <c r="G25" s="17">
        <v>340333.44020000001</v>
      </c>
      <c r="H25" s="6" t="s">
        <v>55</v>
      </c>
      <c r="I25" s="6" t="s">
        <v>127</v>
      </c>
      <c r="J25" s="6" t="s">
        <v>149</v>
      </c>
      <c r="K25" s="19">
        <v>51</v>
      </c>
      <c r="L25" s="6" t="s">
        <v>164</v>
      </c>
      <c r="M25" s="6" t="s">
        <v>167</v>
      </c>
      <c r="N25" s="6" t="s">
        <v>88</v>
      </c>
      <c r="O25" s="6" t="s">
        <v>90</v>
      </c>
      <c r="P25" s="17">
        <v>0.66669999999999996</v>
      </c>
    </row>
    <row r="26" spans="1:16" ht="15.75" customHeight="1" x14ac:dyDescent="0.3">
      <c r="A26" s="6" t="s">
        <v>91</v>
      </c>
      <c r="B26" s="6" t="s">
        <v>91</v>
      </c>
      <c r="C26" s="17">
        <v>2.1429</v>
      </c>
      <c r="D26" s="6" t="s">
        <v>95</v>
      </c>
      <c r="E26" s="6" t="s">
        <v>24</v>
      </c>
      <c r="F26" s="6" t="s">
        <v>59</v>
      </c>
      <c r="G26" s="17">
        <v>2.4388000000000001</v>
      </c>
      <c r="H26" s="6" t="s">
        <v>55</v>
      </c>
      <c r="I26" s="6" t="s">
        <v>128</v>
      </c>
      <c r="J26" s="6" t="s">
        <v>150</v>
      </c>
      <c r="K26" s="19">
        <v>0</v>
      </c>
      <c r="L26" s="6" t="s">
        <v>164</v>
      </c>
      <c r="M26" s="6" t="s">
        <v>167</v>
      </c>
      <c r="N26" s="6" t="s">
        <v>96</v>
      </c>
      <c r="O26" s="6" t="s">
        <v>97</v>
      </c>
      <c r="P26" s="19">
        <v>3</v>
      </c>
    </row>
    <row r="27" spans="1:16" ht="15.75" customHeight="1" x14ac:dyDescent="0.3">
      <c r="A27" s="6" t="s">
        <v>92</v>
      </c>
      <c r="B27" s="6" t="s">
        <v>92</v>
      </c>
      <c r="C27" s="17">
        <v>-3.552</v>
      </c>
      <c r="D27" s="6" t="s">
        <v>95</v>
      </c>
      <c r="E27" s="6" t="s">
        <v>25</v>
      </c>
      <c r="F27" s="6" t="s">
        <v>61</v>
      </c>
      <c r="G27" s="19">
        <v>921</v>
      </c>
      <c r="H27" s="6" t="s">
        <v>55</v>
      </c>
      <c r="I27" s="6" t="s">
        <v>129</v>
      </c>
      <c r="J27" s="6" t="s">
        <v>151</v>
      </c>
      <c r="K27" s="19">
        <v>0</v>
      </c>
      <c r="L27" s="6" t="s">
        <v>164</v>
      </c>
      <c r="M27" s="6" t="s">
        <v>167</v>
      </c>
      <c r="N27" s="6" t="s">
        <v>100</v>
      </c>
      <c r="O27" s="6" t="s">
        <v>101</v>
      </c>
      <c r="P27" s="19">
        <v>2</v>
      </c>
    </row>
    <row r="28" spans="1:16" ht="15.75" customHeight="1" x14ac:dyDescent="0.3">
      <c r="D28" s="6" t="s">
        <v>95</v>
      </c>
      <c r="E28" s="6" t="s">
        <v>26</v>
      </c>
      <c r="F28" s="6" t="s">
        <v>62</v>
      </c>
      <c r="G28" s="19">
        <v>369</v>
      </c>
      <c r="H28" s="6" t="s">
        <v>55</v>
      </c>
      <c r="I28" s="6" t="s">
        <v>130</v>
      </c>
      <c r="J28" s="6" t="s">
        <v>152</v>
      </c>
      <c r="K28" s="19">
        <v>7</v>
      </c>
      <c r="L28" s="6" t="s">
        <v>164</v>
      </c>
      <c r="M28" s="6" t="s">
        <v>167</v>
      </c>
      <c r="N28" s="6" t="s">
        <v>22</v>
      </c>
      <c r="O28" s="6" t="s">
        <v>104</v>
      </c>
      <c r="P28" s="17">
        <v>5.7272999999999996</v>
      </c>
    </row>
    <row r="29" spans="1:16" ht="15.75" customHeight="1" x14ac:dyDescent="0.3">
      <c r="D29" s="6" t="s">
        <v>95</v>
      </c>
      <c r="E29" s="6" t="s">
        <v>27</v>
      </c>
      <c r="F29" s="6" t="s">
        <v>64</v>
      </c>
      <c r="G29" s="17">
        <v>5708.3041000000003</v>
      </c>
      <c r="H29" s="6" t="s">
        <v>55</v>
      </c>
      <c r="I29" s="6" t="s">
        <v>131</v>
      </c>
      <c r="J29" s="6" t="s">
        <v>153</v>
      </c>
      <c r="K29" s="19">
        <v>0</v>
      </c>
      <c r="L29" s="6" t="s">
        <v>164</v>
      </c>
      <c r="M29" s="6" t="s">
        <v>167</v>
      </c>
      <c r="N29" s="6" t="s">
        <v>23</v>
      </c>
      <c r="O29" s="6" t="s">
        <v>107</v>
      </c>
      <c r="P29" s="17">
        <v>594.06870000000004</v>
      </c>
    </row>
    <row r="30" spans="1:16" ht="15.75" customHeight="1" x14ac:dyDescent="0.3">
      <c r="D30" s="6" t="s">
        <v>95</v>
      </c>
      <c r="E30" s="6" t="s">
        <v>28</v>
      </c>
      <c r="F30" s="6" t="s">
        <v>65</v>
      </c>
      <c r="G30" s="19">
        <v>1</v>
      </c>
      <c r="H30" s="6" t="s">
        <v>55</v>
      </c>
      <c r="I30" s="6" t="s">
        <v>133</v>
      </c>
      <c r="J30" s="6" t="s">
        <v>154</v>
      </c>
      <c r="K30" s="19">
        <v>0</v>
      </c>
      <c r="L30" s="6" t="s">
        <v>164</v>
      </c>
      <c r="M30" s="6" t="s">
        <v>167</v>
      </c>
      <c r="N30" s="6" t="s">
        <v>24</v>
      </c>
      <c r="O30" s="6" t="s">
        <v>109</v>
      </c>
      <c r="P30" s="17">
        <v>2.3599999999999999E-2</v>
      </c>
    </row>
    <row r="31" spans="1:16" ht="15.75" customHeight="1" x14ac:dyDescent="0.3">
      <c r="D31" s="6" t="s">
        <v>95</v>
      </c>
      <c r="E31" s="6" t="s">
        <v>29</v>
      </c>
      <c r="F31" s="6" t="s">
        <v>66</v>
      </c>
      <c r="G31" s="19">
        <v>369</v>
      </c>
      <c r="H31" s="6" t="s">
        <v>55</v>
      </c>
      <c r="I31" s="6" t="s">
        <v>134</v>
      </c>
      <c r="J31" s="6" t="s">
        <v>155</v>
      </c>
      <c r="K31" s="19">
        <v>1</v>
      </c>
      <c r="L31" s="6" t="s">
        <v>164</v>
      </c>
      <c r="M31" s="6" t="s">
        <v>167</v>
      </c>
      <c r="N31" s="6" t="s">
        <v>25</v>
      </c>
      <c r="O31" s="6" t="s">
        <v>111</v>
      </c>
      <c r="P31" s="19">
        <v>24</v>
      </c>
    </row>
    <row r="32" spans="1:16" ht="15.75" customHeight="1" x14ac:dyDescent="0.3">
      <c r="D32" s="6" t="s">
        <v>95</v>
      </c>
      <c r="E32" s="6" t="s">
        <v>30</v>
      </c>
      <c r="F32" s="6" t="s">
        <v>67</v>
      </c>
      <c r="G32" s="17">
        <v>17.0977</v>
      </c>
      <c r="H32" s="6" t="s">
        <v>164</v>
      </c>
      <c r="I32" s="6" t="s">
        <v>58</v>
      </c>
      <c r="J32" s="6" t="s">
        <v>60</v>
      </c>
      <c r="K32" s="19">
        <v>6</v>
      </c>
      <c r="L32" s="6" t="s">
        <v>164</v>
      </c>
      <c r="M32" s="6" t="s">
        <v>167</v>
      </c>
      <c r="N32" s="6" t="s">
        <v>26</v>
      </c>
      <c r="O32" s="6" t="s">
        <v>113</v>
      </c>
      <c r="P32" s="19">
        <v>20</v>
      </c>
    </row>
    <row r="33" spans="4:16" ht="15.75" customHeight="1" x14ac:dyDescent="0.3">
      <c r="D33" s="6" t="s">
        <v>95</v>
      </c>
      <c r="E33" s="6" t="s">
        <v>31</v>
      </c>
      <c r="F33" s="6" t="s">
        <v>68</v>
      </c>
      <c r="G33" s="19">
        <v>236</v>
      </c>
      <c r="H33" s="6" t="s">
        <v>164</v>
      </c>
      <c r="I33" s="6" t="s">
        <v>72</v>
      </c>
      <c r="J33" s="6" t="s">
        <v>82</v>
      </c>
      <c r="K33" s="19">
        <v>6</v>
      </c>
      <c r="L33" s="6" t="s">
        <v>164</v>
      </c>
      <c r="M33" s="6" t="s">
        <v>167</v>
      </c>
      <c r="N33" s="6" t="s">
        <v>27</v>
      </c>
      <c r="O33" s="6" t="s">
        <v>117</v>
      </c>
      <c r="P33" s="17">
        <v>103.72629999999999</v>
      </c>
    </row>
    <row r="34" spans="4:16" ht="15.75" customHeight="1" x14ac:dyDescent="0.3">
      <c r="D34" s="6" t="s">
        <v>95</v>
      </c>
      <c r="E34" s="6" t="s">
        <v>32</v>
      </c>
      <c r="F34" s="6" t="s">
        <v>69</v>
      </c>
      <c r="G34" s="19">
        <v>0</v>
      </c>
      <c r="H34" s="6" t="s">
        <v>164</v>
      </c>
      <c r="I34" s="6" t="s">
        <v>85</v>
      </c>
      <c r="J34" s="6" t="s">
        <v>86</v>
      </c>
      <c r="K34" s="19">
        <v>4</v>
      </c>
      <c r="L34" s="6" t="s">
        <v>164</v>
      </c>
      <c r="M34" s="6" t="s">
        <v>167</v>
      </c>
      <c r="N34" s="6" t="s">
        <v>29</v>
      </c>
      <c r="O34" s="6" t="s">
        <v>125</v>
      </c>
      <c r="P34" s="19">
        <v>8</v>
      </c>
    </row>
    <row r="35" spans="4:16" ht="15.75" customHeight="1" x14ac:dyDescent="0.3">
      <c r="D35" s="6" t="s">
        <v>95</v>
      </c>
      <c r="E35" s="6" t="s">
        <v>34</v>
      </c>
      <c r="F35" s="6" t="s">
        <v>71</v>
      </c>
      <c r="G35" s="19">
        <v>0</v>
      </c>
      <c r="H35" s="6" t="s">
        <v>164</v>
      </c>
      <c r="I35" s="6" t="s">
        <v>93</v>
      </c>
      <c r="J35" s="6" t="s">
        <v>94</v>
      </c>
      <c r="K35" s="19">
        <v>2</v>
      </c>
      <c r="L35" s="6" t="s">
        <v>164</v>
      </c>
      <c r="M35" s="6" t="s">
        <v>167</v>
      </c>
      <c r="N35" s="6" t="s">
        <v>135</v>
      </c>
      <c r="O35" s="6" t="s">
        <v>136</v>
      </c>
      <c r="P35" s="17">
        <v>0.6</v>
      </c>
    </row>
    <row r="36" spans="4:16" ht="15.75" customHeight="1" x14ac:dyDescent="0.3">
      <c r="D36" s="6" t="s">
        <v>95</v>
      </c>
      <c r="E36" s="6" t="s">
        <v>37</v>
      </c>
      <c r="F36" s="6" t="s">
        <v>73</v>
      </c>
      <c r="G36" s="19">
        <v>7</v>
      </c>
      <c r="H36" s="6" t="s">
        <v>164</v>
      </c>
      <c r="I36" s="6" t="s">
        <v>98</v>
      </c>
      <c r="J36" s="6" t="s">
        <v>99</v>
      </c>
      <c r="K36" s="19">
        <v>5</v>
      </c>
      <c r="L36" s="6" t="s">
        <v>164</v>
      </c>
      <c r="M36" s="6" t="s">
        <v>167</v>
      </c>
      <c r="N36" s="6" t="s">
        <v>138</v>
      </c>
      <c r="O36" s="6" t="s">
        <v>139</v>
      </c>
      <c r="P36" s="19">
        <v>1</v>
      </c>
    </row>
    <row r="37" spans="4:16" ht="15.75" customHeight="1" x14ac:dyDescent="0.3">
      <c r="D37" s="6" t="s">
        <v>95</v>
      </c>
      <c r="E37" s="6" t="s">
        <v>39</v>
      </c>
      <c r="F37" s="6" t="s">
        <v>76</v>
      </c>
      <c r="G37" s="19">
        <v>0</v>
      </c>
      <c r="H37" s="6" t="s">
        <v>164</v>
      </c>
      <c r="I37" s="6" t="s">
        <v>22</v>
      </c>
      <c r="J37" s="6" t="s">
        <v>103</v>
      </c>
      <c r="K37" s="17">
        <v>99.366699999999994</v>
      </c>
      <c r="L37" s="6" t="s">
        <v>164</v>
      </c>
      <c r="M37" s="6" t="s">
        <v>167</v>
      </c>
      <c r="N37" s="6" t="s">
        <v>30</v>
      </c>
      <c r="O37" s="6" t="s">
        <v>148</v>
      </c>
      <c r="P37" s="17">
        <v>66.112899999999996</v>
      </c>
    </row>
    <row r="38" spans="4:16" ht="15.75" customHeight="1" x14ac:dyDescent="0.3">
      <c r="D38" s="6" t="s">
        <v>95</v>
      </c>
      <c r="E38" s="6" t="s">
        <v>40</v>
      </c>
      <c r="F38" s="6" t="s">
        <v>77</v>
      </c>
      <c r="G38" s="19">
        <v>0</v>
      </c>
      <c r="H38" s="6" t="s">
        <v>164</v>
      </c>
      <c r="I38" s="6" t="s">
        <v>23</v>
      </c>
      <c r="J38" s="6" t="s">
        <v>106</v>
      </c>
      <c r="K38" s="17">
        <v>329356.54100000003</v>
      </c>
      <c r="L38" s="6" t="s">
        <v>164</v>
      </c>
      <c r="M38" s="6" t="s">
        <v>167</v>
      </c>
      <c r="N38" s="6" t="s">
        <v>156</v>
      </c>
      <c r="O38" s="6" t="s">
        <v>157</v>
      </c>
      <c r="P38" s="19">
        <v>0</v>
      </c>
    </row>
    <row r="39" spans="4:16" ht="15.75" customHeight="1" x14ac:dyDescent="0.3">
      <c r="H39" s="6" t="s">
        <v>164</v>
      </c>
      <c r="I39" s="6" t="s">
        <v>24</v>
      </c>
      <c r="J39" s="6" t="s">
        <v>108</v>
      </c>
      <c r="K39" s="17">
        <v>1.5896999999999999</v>
      </c>
      <c r="L39" s="6" t="s">
        <v>164</v>
      </c>
      <c r="M39" s="6" t="s">
        <v>167</v>
      </c>
      <c r="N39" s="6" t="s">
        <v>158</v>
      </c>
      <c r="O39" s="6" t="s">
        <v>159</v>
      </c>
      <c r="P39" s="19">
        <v>2</v>
      </c>
    </row>
    <row r="40" spans="4:16" ht="15.75" customHeight="1" x14ac:dyDescent="0.3">
      <c r="H40" s="6" t="s">
        <v>164</v>
      </c>
      <c r="I40" s="6" t="s">
        <v>25</v>
      </c>
      <c r="J40" s="6" t="s">
        <v>110</v>
      </c>
      <c r="K40" s="19">
        <v>472</v>
      </c>
      <c r="L40" s="6" t="s">
        <v>164</v>
      </c>
      <c r="M40" s="6" t="s">
        <v>167</v>
      </c>
      <c r="N40" s="6" t="s">
        <v>160</v>
      </c>
      <c r="O40" s="6" t="s">
        <v>161</v>
      </c>
      <c r="P40" s="19">
        <v>7</v>
      </c>
    </row>
    <row r="41" spans="4:16" ht="15.75" customHeight="1" x14ac:dyDescent="0.3">
      <c r="H41" s="6" t="s">
        <v>164</v>
      </c>
      <c r="I41" s="6" t="s">
        <v>26</v>
      </c>
      <c r="J41" s="6" t="s">
        <v>112</v>
      </c>
      <c r="K41" s="19">
        <v>130</v>
      </c>
      <c r="L41" s="6" t="s">
        <v>164</v>
      </c>
      <c r="M41" s="6" t="s">
        <v>167</v>
      </c>
      <c r="N41" s="6" t="s">
        <v>162</v>
      </c>
      <c r="O41" s="6" t="s">
        <v>163</v>
      </c>
      <c r="P41" s="19">
        <v>1</v>
      </c>
    </row>
    <row r="42" spans="4:16" ht="15.75" customHeight="1" x14ac:dyDescent="0.3">
      <c r="H42" s="6" t="s">
        <v>164</v>
      </c>
      <c r="I42" s="6" t="s">
        <v>27</v>
      </c>
      <c r="J42" s="6" t="s">
        <v>114</v>
      </c>
      <c r="K42" s="17">
        <v>3314.5576000000001</v>
      </c>
      <c r="L42" s="6" t="s">
        <v>164</v>
      </c>
      <c r="M42" s="6" t="s">
        <v>167</v>
      </c>
      <c r="N42" s="6" t="s">
        <v>165</v>
      </c>
      <c r="O42" s="6" t="s">
        <v>166</v>
      </c>
      <c r="P42" s="19">
        <v>0</v>
      </c>
    </row>
    <row r="43" spans="4:16" ht="15.75" customHeight="1" x14ac:dyDescent="0.3">
      <c r="H43" s="6" t="s">
        <v>164</v>
      </c>
      <c r="I43" s="6" t="s">
        <v>115</v>
      </c>
      <c r="J43" s="6" t="s">
        <v>121</v>
      </c>
      <c r="K43" s="19">
        <v>1</v>
      </c>
      <c r="L43" s="6" t="s">
        <v>164</v>
      </c>
      <c r="M43" s="6" t="s">
        <v>179</v>
      </c>
      <c r="N43" s="6" t="s">
        <v>72</v>
      </c>
      <c r="O43" s="6" t="s">
        <v>75</v>
      </c>
      <c r="P43" s="19">
        <v>1</v>
      </c>
    </row>
    <row r="44" spans="4:16" ht="15.75" customHeight="1" x14ac:dyDescent="0.3">
      <c r="H44" s="6" t="s">
        <v>164</v>
      </c>
      <c r="I44" s="6" t="s">
        <v>116</v>
      </c>
      <c r="J44" s="6" t="s">
        <v>132</v>
      </c>
      <c r="K44" s="19">
        <v>94</v>
      </c>
      <c r="L44" s="6" t="s">
        <v>164</v>
      </c>
      <c r="M44" s="6" t="s">
        <v>179</v>
      </c>
      <c r="N44" s="6" t="s">
        <v>83</v>
      </c>
      <c r="O44" s="6" t="s">
        <v>84</v>
      </c>
      <c r="P44" s="19">
        <v>0</v>
      </c>
    </row>
    <row r="45" spans="4:16" ht="15.75" customHeight="1" x14ac:dyDescent="0.3">
      <c r="H45" s="6" t="s">
        <v>164</v>
      </c>
      <c r="I45" s="6" t="s">
        <v>30</v>
      </c>
      <c r="J45" s="6" t="s">
        <v>137</v>
      </c>
      <c r="K45" s="17">
        <v>31.998999999999999</v>
      </c>
      <c r="L45" s="6" t="s">
        <v>164</v>
      </c>
      <c r="M45" s="6" t="s">
        <v>179</v>
      </c>
      <c r="N45" s="6" t="s">
        <v>88</v>
      </c>
      <c r="O45" s="6" t="s">
        <v>90</v>
      </c>
      <c r="P45" s="17">
        <v>0.25</v>
      </c>
    </row>
    <row r="46" spans="4:16" ht="15.75" customHeight="1" x14ac:dyDescent="0.3">
      <c r="H46" s="6" t="s">
        <v>164</v>
      </c>
      <c r="I46" s="6" t="s">
        <v>118</v>
      </c>
      <c r="J46" s="6" t="s">
        <v>140</v>
      </c>
      <c r="K46" s="19">
        <v>56</v>
      </c>
      <c r="L46" s="6" t="s">
        <v>164</v>
      </c>
      <c r="M46" s="6" t="s">
        <v>179</v>
      </c>
      <c r="N46" s="6" t="s">
        <v>96</v>
      </c>
      <c r="O46" s="6" t="s">
        <v>97</v>
      </c>
      <c r="P46" s="19">
        <v>12</v>
      </c>
    </row>
    <row r="47" spans="4:16" ht="15.75" customHeight="1" x14ac:dyDescent="0.3">
      <c r="H47" s="6" t="s">
        <v>164</v>
      </c>
      <c r="I47" s="6" t="s">
        <v>31</v>
      </c>
      <c r="J47" s="6" t="s">
        <v>141</v>
      </c>
      <c r="K47" s="19">
        <v>82</v>
      </c>
      <c r="L47" s="6" t="s">
        <v>164</v>
      </c>
      <c r="M47" s="6" t="s">
        <v>179</v>
      </c>
      <c r="N47" s="6" t="s">
        <v>100</v>
      </c>
      <c r="O47" s="6" t="s">
        <v>101</v>
      </c>
      <c r="P47" s="19">
        <v>4</v>
      </c>
    </row>
    <row r="48" spans="4:16" ht="15.75" customHeight="1" x14ac:dyDescent="0.3">
      <c r="H48" s="6" t="s">
        <v>164</v>
      </c>
      <c r="I48" s="6" t="s">
        <v>119</v>
      </c>
      <c r="J48" s="6" t="s">
        <v>142</v>
      </c>
      <c r="K48" s="19">
        <v>0</v>
      </c>
      <c r="L48" s="6" t="s">
        <v>164</v>
      </c>
      <c r="M48" s="6" t="s">
        <v>179</v>
      </c>
      <c r="N48" s="6" t="s">
        <v>22</v>
      </c>
      <c r="O48" s="6" t="s">
        <v>104</v>
      </c>
      <c r="P48" s="17">
        <v>45.397100000000002</v>
      </c>
    </row>
    <row r="49" spans="8:16" ht="15.75" customHeight="1" x14ac:dyDescent="0.3">
      <c r="H49" s="6" t="s">
        <v>164</v>
      </c>
      <c r="I49" s="6" t="s">
        <v>120</v>
      </c>
      <c r="J49" s="6" t="s">
        <v>143</v>
      </c>
      <c r="K49" s="19">
        <v>3</v>
      </c>
      <c r="L49" s="6" t="s">
        <v>164</v>
      </c>
      <c r="M49" s="6" t="s">
        <v>179</v>
      </c>
      <c r="N49" s="6" t="s">
        <v>23</v>
      </c>
      <c r="O49" s="6" t="s">
        <v>107</v>
      </c>
      <c r="P49" s="17">
        <v>61414.874100000001</v>
      </c>
    </row>
    <row r="50" spans="8:16" ht="15.75" customHeight="1" x14ac:dyDescent="0.3">
      <c r="H50" s="6" t="s">
        <v>164</v>
      </c>
      <c r="I50" s="6" t="s">
        <v>122</v>
      </c>
      <c r="J50" s="6" t="s">
        <v>144</v>
      </c>
      <c r="K50" s="19">
        <v>213</v>
      </c>
      <c r="L50" s="6" t="s">
        <v>164</v>
      </c>
      <c r="M50" s="6" t="s">
        <v>179</v>
      </c>
      <c r="N50" s="6" t="s">
        <v>24</v>
      </c>
      <c r="O50" s="6" t="s">
        <v>109</v>
      </c>
      <c r="P50" s="17">
        <v>0.51890000000000003</v>
      </c>
    </row>
    <row r="51" spans="8:16" ht="15.75" customHeight="1" x14ac:dyDescent="0.3">
      <c r="H51" s="6" t="s">
        <v>164</v>
      </c>
      <c r="I51" s="6" t="s">
        <v>123</v>
      </c>
      <c r="J51" s="6" t="s">
        <v>145</v>
      </c>
      <c r="K51" s="19">
        <v>798</v>
      </c>
      <c r="L51" s="6" t="s">
        <v>164</v>
      </c>
      <c r="M51" s="6" t="s">
        <v>179</v>
      </c>
      <c r="N51" s="6" t="s">
        <v>25</v>
      </c>
      <c r="O51" s="6" t="s">
        <v>111</v>
      </c>
      <c r="P51" s="19">
        <v>234</v>
      </c>
    </row>
    <row r="52" spans="8:16" ht="15.75" customHeight="1" x14ac:dyDescent="0.3">
      <c r="H52" s="6" t="s">
        <v>164</v>
      </c>
      <c r="I52" s="6" t="s">
        <v>124</v>
      </c>
      <c r="J52" s="6" t="s">
        <v>146</v>
      </c>
      <c r="K52" s="19">
        <v>0</v>
      </c>
      <c r="L52" s="6" t="s">
        <v>164</v>
      </c>
      <c r="M52" s="6" t="s">
        <v>179</v>
      </c>
      <c r="N52" s="6" t="s">
        <v>26</v>
      </c>
      <c r="O52" s="6" t="s">
        <v>113</v>
      </c>
      <c r="P52" s="19">
        <v>55</v>
      </c>
    </row>
    <row r="53" spans="8:16" ht="15.75" customHeight="1" x14ac:dyDescent="0.3">
      <c r="H53" s="6" t="s">
        <v>164</v>
      </c>
      <c r="I53" s="6" t="s">
        <v>126</v>
      </c>
      <c r="J53" s="6" t="s">
        <v>147</v>
      </c>
      <c r="K53" s="19">
        <v>5</v>
      </c>
      <c r="L53" s="6" t="s">
        <v>164</v>
      </c>
      <c r="M53" s="6" t="s">
        <v>179</v>
      </c>
      <c r="N53" s="6" t="s">
        <v>27</v>
      </c>
      <c r="O53" s="6" t="s">
        <v>117</v>
      </c>
      <c r="P53" s="17">
        <v>1352.8381999999999</v>
      </c>
    </row>
    <row r="54" spans="8:16" ht="15.75" customHeight="1" x14ac:dyDescent="0.3">
      <c r="H54" s="6" t="s">
        <v>164</v>
      </c>
      <c r="I54" s="6" t="s">
        <v>127</v>
      </c>
      <c r="J54" s="6" t="s">
        <v>149</v>
      </c>
      <c r="K54" s="19">
        <v>713</v>
      </c>
      <c r="L54" s="6" t="s">
        <v>164</v>
      </c>
      <c r="M54" s="6" t="s">
        <v>179</v>
      </c>
      <c r="N54" s="6" t="s">
        <v>29</v>
      </c>
      <c r="O54" s="6" t="s">
        <v>125</v>
      </c>
      <c r="P54" s="19">
        <v>46</v>
      </c>
    </row>
    <row r="55" spans="8:16" ht="15.75" customHeight="1" x14ac:dyDescent="0.3">
      <c r="H55" s="6" t="s">
        <v>164</v>
      </c>
      <c r="I55" s="6" t="s">
        <v>128</v>
      </c>
      <c r="J55" s="6" t="s">
        <v>150</v>
      </c>
      <c r="K55" s="19">
        <v>1</v>
      </c>
      <c r="L55" s="6" t="s">
        <v>164</v>
      </c>
      <c r="M55" s="6" t="s">
        <v>179</v>
      </c>
      <c r="N55" s="6" t="s">
        <v>135</v>
      </c>
      <c r="O55" s="6" t="s">
        <v>136</v>
      </c>
      <c r="P55" s="17">
        <v>0.375</v>
      </c>
    </row>
    <row r="56" spans="8:16" ht="15.75" customHeight="1" x14ac:dyDescent="0.3">
      <c r="H56" s="6" t="s">
        <v>164</v>
      </c>
      <c r="I56" s="6" t="s">
        <v>129</v>
      </c>
      <c r="J56" s="6" t="s">
        <v>151</v>
      </c>
      <c r="K56" s="19">
        <v>0</v>
      </c>
      <c r="L56" s="6" t="s">
        <v>164</v>
      </c>
      <c r="M56" s="6" t="s">
        <v>179</v>
      </c>
      <c r="N56" s="6" t="s">
        <v>138</v>
      </c>
      <c r="O56" s="6" t="s">
        <v>139</v>
      </c>
      <c r="P56" s="19">
        <v>0</v>
      </c>
    </row>
    <row r="57" spans="8:16" ht="15.75" customHeight="1" x14ac:dyDescent="0.3">
      <c r="H57" s="6" t="s">
        <v>164</v>
      </c>
      <c r="I57" s="6" t="s">
        <v>130</v>
      </c>
      <c r="J57" s="6" t="s">
        <v>152</v>
      </c>
      <c r="K57" s="19">
        <v>37</v>
      </c>
      <c r="L57" s="6" t="s">
        <v>164</v>
      </c>
      <c r="M57" s="6" t="s">
        <v>179</v>
      </c>
      <c r="N57" s="6" t="s">
        <v>30</v>
      </c>
      <c r="O57" s="6" t="s">
        <v>148</v>
      </c>
      <c r="P57" s="17">
        <v>41.805500000000002</v>
      </c>
    </row>
    <row r="58" spans="8:16" ht="15.75" customHeight="1" x14ac:dyDescent="0.3">
      <c r="H58" s="6" t="s">
        <v>164</v>
      </c>
      <c r="I58" s="6" t="s">
        <v>131</v>
      </c>
      <c r="J58" s="6" t="s">
        <v>153</v>
      </c>
      <c r="K58" s="17">
        <v>0.5</v>
      </c>
      <c r="L58" s="6" t="s">
        <v>164</v>
      </c>
      <c r="M58" s="6" t="s">
        <v>179</v>
      </c>
      <c r="N58" s="6" t="s">
        <v>156</v>
      </c>
      <c r="O58" s="6" t="s">
        <v>157</v>
      </c>
      <c r="P58" s="19">
        <v>2</v>
      </c>
    </row>
    <row r="59" spans="8:16" ht="15.75" customHeight="1" x14ac:dyDescent="0.3">
      <c r="H59" s="6" t="s">
        <v>164</v>
      </c>
      <c r="I59" s="6" t="s">
        <v>133</v>
      </c>
      <c r="J59" s="6" t="s">
        <v>154</v>
      </c>
      <c r="K59" s="19">
        <v>1</v>
      </c>
      <c r="L59" s="6" t="s">
        <v>164</v>
      </c>
      <c r="M59" s="6" t="s">
        <v>179</v>
      </c>
      <c r="N59" s="6" t="s">
        <v>158</v>
      </c>
      <c r="O59" s="6" t="s">
        <v>159</v>
      </c>
      <c r="P59" s="19">
        <v>1</v>
      </c>
    </row>
    <row r="60" spans="8:16" ht="15.75" customHeight="1" x14ac:dyDescent="0.3">
      <c r="H60" s="6" t="s">
        <v>164</v>
      </c>
      <c r="I60" s="6" t="s">
        <v>134</v>
      </c>
      <c r="J60" s="6" t="s">
        <v>155</v>
      </c>
      <c r="K60" s="19">
        <v>10</v>
      </c>
      <c r="L60" s="6" t="s">
        <v>164</v>
      </c>
      <c r="M60" s="6" t="s">
        <v>179</v>
      </c>
      <c r="N60" s="6" t="s">
        <v>160</v>
      </c>
      <c r="O60" s="6" t="s">
        <v>161</v>
      </c>
      <c r="P60" s="19">
        <v>27</v>
      </c>
    </row>
    <row r="61" spans="8:16" ht="15.75" customHeight="1" x14ac:dyDescent="0.3">
      <c r="H61" s="6" t="s">
        <v>168</v>
      </c>
      <c r="I61" s="6" t="s">
        <v>58</v>
      </c>
      <c r="J61" s="6" t="s">
        <v>60</v>
      </c>
      <c r="K61" s="19">
        <v>3</v>
      </c>
      <c r="L61" s="6" t="s">
        <v>164</v>
      </c>
      <c r="M61" s="6" t="s">
        <v>179</v>
      </c>
      <c r="N61" s="6" t="s">
        <v>162</v>
      </c>
      <c r="O61" s="6" t="s">
        <v>163</v>
      </c>
      <c r="P61" s="19">
        <v>0</v>
      </c>
    </row>
    <row r="62" spans="8:16" ht="15.75" customHeight="1" x14ac:dyDescent="0.3">
      <c r="H62" s="6" t="s">
        <v>168</v>
      </c>
      <c r="I62" s="6" t="s">
        <v>72</v>
      </c>
      <c r="J62" s="6" t="s">
        <v>82</v>
      </c>
      <c r="K62" s="19">
        <v>21</v>
      </c>
      <c r="L62" s="6" t="s">
        <v>164</v>
      </c>
      <c r="M62" s="6" t="s">
        <v>179</v>
      </c>
      <c r="N62" s="6" t="s">
        <v>165</v>
      </c>
      <c r="O62" s="6" t="s">
        <v>166</v>
      </c>
      <c r="P62" s="19">
        <v>5</v>
      </c>
    </row>
    <row r="63" spans="8:16" ht="15.75" customHeight="1" x14ac:dyDescent="0.3">
      <c r="H63" s="6" t="s">
        <v>168</v>
      </c>
      <c r="I63" s="6" t="s">
        <v>85</v>
      </c>
      <c r="J63" s="6" t="s">
        <v>86</v>
      </c>
      <c r="K63" s="19">
        <v>8</v>
      </c>
      <c r="L63" s="6" t="s">
        <v>164</v>
      </c>
      <c r="M63" s="6" t="s">
        <v>186</v>
      </c>
      <c r="N63" s="6" t="s">
        <v>72</v>
      </c>
      <c r="O63" s="6" t="s">
        <v>75</v>
      </c>
      <c r="P63" s="19">
        <v>1</v>
      </c>
    </row>
    <row r="64" spans="8:16" ht="15.75" customHeight="1" x14ac:dyDescent="0.3">
      <c r="H64" s="6" t="s">
        <v>168</v>
      </c>
      <c r="I64" s="6" t="s">
        <v>93</v>
      </c>
      <c r="J64" s="6" t="s">
        <v>94</v>
      </c>
      <c r="K64" s="19">
        <v>0</v>
      </c>
      <c r="L64" s="6" t="s">
        <v>164</v>
      </c>
      <c r="M64" s="6" t="s">
        <v>186</v>
      </c>
      <c r="N64" s="6" t="s">
        <v>83</v>
      </c>
      <c r="O64" s="6" t="s">
        <v>84</v>
      </c>
      <c r="P64" s="19">
        <v>0</v>
      </c>
    </row>
    <row r="65" spans="8:16" ht="15.75" customHeight="1" x14ac:dyDescent="0.3">
      <c r="H65" s="6" t="s">
        <v>168</v>
      </c>
      <c r="I65" s="6" t="s">
        <v>98</v>
      </c>
      <c r="J65" s="6" t="s">
        <v>99</v>
      </c>
      <c r="K65" s="19">
        <v>1</v>
      </c>
      <c r="L65" s="6" t="s">
        <v>164</v>
      </c>
      <c r="M65" s="6" t="s">
        <v>186</v>
      </c>
      <c r="N65" s="6" t="s">
        <v>88</v>
      </c>
      <c r="O65" s="6" t="s">
        <v>90</v>
      </c>
      <c r="P65" s="17">
        <v>0.5</v>
      </c>
    </row>
    <row r="66" spans="8:16" ht="15.75" customHeight="1" x14ac:dyDescent="0.3">
      <c r="H66" s="6" t="s">
        <v>168</v>
      </c>
      <c r="I66" s="6" t="s">
        <v>22</v>
      </c>
      <c r="J66" s="6" t="s">
        <v>103</v>
      </c>
      <c r="K66" s="17">
        <v>62.739100000000001</v>
      </c>
      <c r="L66" s="6" t="s">
        <v>164</v>
      </c>
      <c r="M66" s="6" t="s">
        <v>186</v>
      </c>
      <c r="N66" s="6" t="s">
        <v>96</v>
      </c>
      <c r="O66" s="6" t="s">
        <v>97</v>
      </c>
      <c r="P66" s="19">
        <v>12</v>
      </c>
    </row>
    <row r="67" spans="8:16" ht="15.75" customHeight="1" x14ac:dyDescent="0.3">
      <c r="H67" s="6" t="s">
        <v>168</v>
      </c>
      <c r="I67" s="6" t="s">
        <v>23</v>
      </c>
      <c r="J67" s="6" t="s">
        <v>106</v>
      </c>
      <c r="K67" s="17">
        <v>63742.026899999997</v>
      </c>
      <c r="L67" s="6" t="s">
        <v>164</v>
      </c>
      <c r="M67" s="6" t="s">
        <v>186</v>
      </c>
      <c r="N67" s="6" t="s">
        <v>100</v>
      </c>
      <c r="O67" s="6" t="s">
        <v>101</v>
      </c>
      <c r="P67" s="19">
        <v>2</v>
      </c>
    </row>
    <row r="68" spans="8:16" ht="15.75" customHeight="1" x14ac:dyDescent="0.3">
      <c r="H68" s="6" t="s">
        <v>168</v>
      </c>
      <c r="I68" s="6" t="s">
        <v>24</v>
      </c>
      <c r="J68" s="6" t="s">
        <v>108</v>
      </c>
      <c r="K68" s="17">
        <v>0.53190000000000004</v>
      </c>
      <c r="L68" s="6" t="s">
        <v>164</v>
      </c>
      <c r="M68" s="6" t="s">
        <v>186</v>
      </c>
      <c r="N68" s="6" t="s">
        <v>22</v>
      </c>
      <c r="O68" s="6" t="s">
        <v>104</v>
      </c>
      <c r="P68" s="17">
        <v>26.382400000000001</v>
      </c>
    </row>
    <row r="69" spans="8:16" ht="15.75" customHeight="1" x14ac:dyDescent="0.3">
      <c r="H69" s="6" t="s">
        <v>168</v>
      </c>
      <c r="I69" s="6" t="s">
        <v>25</v>
      </c>
      <c r="J69" s="6" t="s">
        <v>110</v>
      </c>
      <c r="K69" s="19">
        <v>172</v>
      </c>
      <c r="L69" s="6" t="s">
        <v>164</v>
      </c>
      <c r="M69" s="6" t="s">
        <v>186</v>
      </c>
      <c r="N69" s="6" t="s">
        <v>23</v>
      </c>
      <c r="O69" s="6" t="s">
        <v>107</v>
      </c>
      <c r="P69" s="17">
        <v>10389.9689</v>
      </c>
    </row>
    <row r="70" spans="8:16" ht="15.75" customHeight="1" x14ac:dyDescent="0.3">
      <c r="H70" s="6" t="s">
        <v>168</v>
      </c>
      <c r="I70" s="6" t="s">
        <v>26</v>
      </c>
      <c r="J70" s="6" t="s">
        <v>112</v>
      </c>
      <c r="K70" s="19">
        <v>60</v>
      </c>
      <c r="L70" s="6" t="s">
        <v>164</v>
      </c>
      <c r="M70" s="6" t="s">
        <v>186</v>
      </c>
      <c r="N70" s="6" t="s">
        <v>24</v>
      </c>
      <c r="O70" s="6" t="s">
        <v>109</v>
      </c>
      <c r="P70" s="17">
        <v>0.15870000000000001</v>
      </c>
    </row>
    <row r="71" spans="8:16" ht="15.75" customHeight="1" x14ac:dyDescent="0.3">
      <c r="H71" s="6" t="s">
        <v>168</v>
      </c>
      <c r="I71" s="6" t="s">
        <v>27</v>
      </c>
      <c r="J71" s="6" t="s">
        <v>114</v>
      </c>
      <c r="K71" s="17">
        <v>1015.9852</v>
      </c>
      <c r="L71" s="6" t="s">
        <v>164</v>
      </c>
      <c r="M71" s="6" t="s">
        <v>186</v>
      </c>
      <c r="N71" s="6" t="s">
        <v>25</v>
      </c>
      <c r="O71" s="6" t="s">
        <v>111</v>
      </c>
      <c r="P71" s="19">
        <v>74</v>
      </c>
    </row>
    <row r="72" spans="8:16" ht="15.75" customHeight="1" x14ac:dyDescent="0.3">
      <c r="H72" s="6" t="s">
        <v>168</v>
      </c>
      <c r="I72" s="6" t="s">
        <v>115</v>
      </c>
      <c r="J72" s="6" t="s">
        <v>121</v>
      </c>
      <c r="K72" s="19">
        <v>1</v>
      </c>
      <c r="L72" s="6" t="s">
        <v>164</v>
      </c>
      <c r="M72" s="6" t="s">
        <v>186</v>
      </c>
      <c r="N72" s="6" t="s">
        <v>26</v>
      </c>
      <c r="O72" s="6" t="s">
        <v>113</v>
      </c>
      <c r="P72" s="19">
        <v>40</v>
      </c>
    </row>
    <row r="73" spans="8:16" ht="15.75" customHeight="1" x14ac:dyDescent="0.3">
      <c r="H73" s="6" t="s">
        <v>168</v>
      </c>
      <c r="I73" s="6" t="s">
        <v>116</v>
      </c>
      <c r="J73" s="6" t="s">
        <v>132</v>
      </c>
      <c r="K73" s="19">
        <v>71</v>
      </c>
      <c r="L73" s="6" t="s">
        <v>164</v>
      </c>
      <c r="M73" s="6" t="s">
        <v>186</v>
      </c>
      <c r="N73" s="6" t="s">
        <v>27</v>
      </c>
      <c r="O73" s="6" t="s">
        <v>117</v>
      </c>
      <c r="P73" s="17">
        <v>393.8227</v>
      </c>
    </row>
    <row r="74" spans="8:16" ht="15.75" customHeight="1" x14ac:dyDescent="0.3">
      <c r="H74" s="6" t="s">
        <v>168</v>
      </c>
      <c r="I74" s="6" t="s">
        <v>30</v>
      </c>
      <c r="J74" s="6" t="s">
        <v>137</v>
      </c>
      <c r="K74" s="17">
        <v>38.127200000000002</v>
      </c>
      <c r="L74" s="6" t="s">
        <v>164</v>
      </c>
      <c r="M74" s="6" t="s">
        <v>186</v>
      </c>
      <c r="N74" s="6" t="s">
        <v>29</v>
      </c>
      <c r="O74" s="6" t="s">
        <v>125</v>
      </c>
      <c r="P74" s="19">
        <v>13</v>
      </c>
    </row>
    <row r="75" spans="8:16" ht="15.75" customHeight="1" x14ac:dyDescent="0.3">
      <c r="H75" s="6" t="s">
        <v>168</v>
      </c>
      <c r="I75" s="6" t="s">
        <v>118</v>
      </c>
      <c r="J75" s="6" t="s">
        <v>140</v>
      </c>
      <c r="K75" s="19">
        <v>36</v>
      </c>
      <c r="L75" s="6" t="s">
        <v>164</v>
      </c>
      <c r="M75" s="6" t="s">
        <v>186</v>
      </c>
      <c r="N75" s="6" t="s">
        <v>135</v>
      </c>
      <c r="O75" s="6" t="s">
        <v>136</v>
      </c>
      <c r="P75" s="17">
        <v>0.5</v>
      </c>
    </row>
    <row r="76" spans="8:16" ht="15.75" customHeight="1" x14ac:dyDescent="0.3">
      <c r="H76" s="6" t="s">
        <v>168</v>
      </c>
      <c r="I76" s="6" t="s">
        <v>31</v>
      </c>
      <c r="J76" s="6" t="s">
        <v>141</v>
      </c>
      <c r="K76" s="19">
        <v>48</v>
      </c>
      <c r="L76" s="6" t="s">
        <v>164</v>
      </c>
      <c r="M76" s="6" t="s">
        <v>186</v>
      </c>
      <c r="N76" s="6" t="s">
        <v>138</v>
      </c>
      <c r="O76" s="6" t="s">
        <v>139</v>
      </c>
      <c r="P76" s="19">
        <v>1</v>
      </c>
    </row>
    <row r="77" spans="8:16" ht="15.75" customHeight="1" x14ac:dyDescent="0.3">
      <c r="H77" s="6" t="s">
        <v>168</v>
      </c>
      <c r="I77" s="6" t="s">
        <v>119</v>
      </c>
      <c r="J77" s="6" t="s">
        <v>142</v>
      </c>
      <c r="K77" s="19">
        <v>0</v>
      </c>
      <c r="L77" s="6" t="s">
        <v>164</v>
      </c>
      <c r="M77" s="6" t="s">
        <v>186</v>
      </c>
      <c r="N77" s="6" t="s">
        <v>30</v>
      </c>
      <c r="O77" s="6" t="s">
        <v>148</v>
      </c>
      <c r="P77" s="17">
        <v>57.441299999999998</v>
      </c>
    </row>
    <row r="78" spans="8:16" ht="15.75" customHeight="1" x14ac:dyDescent="0.3">
      <c r="H78" s="6" t="s">
        <v>168</v>
      </c>
      <c r="I78" s="6" t="s">
        <v>120</v>
      </c>
      <c r="J78" s="6" t="s">
        <v>143</v>
      </c>
      <c r="K78" s="19">
        <v>4</v>
      </c>
      <c r="L78" s="6" t="s">
        <v>164</v>
      </c>
      <c r="M78" s="6" t="s">
        <v>186</v>
      </c>
      <c r="N78" s="6" t="s">
        <v>156</v>
      </c>
      <c r="O78" s="6" t="s">
        <v>157</v>
      </c>
      <c r="P78" s="19">
        <v>1</v>
      </c>
    </row>
    <row r="79" spans="8:16" ht="15.75" customHeight="1" x14ac:dyDescent="0.3">
      <c r="H79" s="6" t="s">
        <v>168</v>
      </c>
      <c r="I79" s="6" t="s">
        <v>122</v>
      </c>
      <c r="J79" s="6" t="s">
        <v>144</v>
      </c>
      <c r="K79" s="19">
        <v>0</v>
      </c>
      <c r="L79" s="6" t="s">
        <v>164</v>
      </c>
      <c r="M79" s="6" t="s">
        <v>186</v>
      </c>
      <c r="N79" s="6" t="s">
        <v>158</v>
      </c>
      <c r="O79" s="6" t="s">
        <v>159</v>
      </c>
      <c r="P79" s="19">
        <v>2</v>
      </c>
    </row>
    <row r="80" spans="8:16" ht="15.75" customHeight="1" x14ac:dyDescent="0.3">
      <c r="H80" s="6" t="s">
        <v>168</v>
      </c>
      <c r="I80" s="6" t="s">
        <v>123</v>
      </c>
      <c r="J80" s="6" t="s">
        <v>145</v>
      </c>
      <c r="K80" s="19">
        <v>18</v>
      </c>
      <c r="L80" s="6" t="s">
        <v>164</v>
      </c>
      <c r="M80" s="6" t="s">
        <v>186</v>
      </c>
      <c r="N80" s="6" t="s">
        <v>160</v>
      </c>
      <c r="O80" s="6" t="s">
        <v>161</v>
      </c>
      <c r="P80" s="19">
        <v>11</v>
      </c>
    </row>
    <row r="81" spans="8:16" ht="15.75" customHeight="1" x14ac:dyDescent="0.3">
      <c r="H81" s="6" t="s">
        <v>168</v>
      </c>
      <c r="I81" s="6" t="s">
        <v>124</v>
      </c>
      <c r="J81" s="6" t="s">
        <v>146</v>
      </c>
      <c r="K81" s="25" t="s">
        <v>169</v>
      </c>
      <c r="L81" s="6" t="s">
        <v>164</v>
      </c>
      <c r="M81" s="6" t="s">
        <v>186</v>
      </c>
      <c r="N81" s="6" t="s">
        <v>162</v>
      </c>
      <c r="O81" s="6" t="s">
        <v>163</v>
      </c>
      <c r="P81" s="19">
        <v>1</v>
      </c>
    </row>
    <row r="82" spans="8:16" ht="15.75" customHeight="1" x14ac:dyDescent="0.3">
      <c r="H82" s="6" t="s">
        <v>168</v>
      </c>
      <c r="I82" s="6" t="s">
        <v>126</v>
      </c>
      <c r="J82" s="6" t="s">
        <v>147</v>
      </c>
      <c r="K82" s="19">
        <v>5</v>
      </c>
      <c r="L82" s="6" t="s">
        <v>164</v>
      </c>
      <c r="M82" s="6" t="s">
        <v>186</v>
      </c>
      <c r="N82" s="6" t="s">
        <v>165</v>
      </c>
      <c r="O82" s="6" t="s">
        <v>166</v>
      </c>
      <c r="P82" s="19">
        <v>1</v>
      </c>
    </row>
    <row r="83" spans="8:16" ht="15.75" customHeight="1" x14ac:dyDescent="0.3">
      <c r="H83" s="6" t="s">
        <v>168</v>
      </c>
      <c r="I83" s="6" t="s">
        <v>127</v>
      </c>
      <c r="J83" s="6" t="s">
        <v>149</v>
      </c>
      <c r="K83" s="19">
        <v>18</v>
      </c>
      <c r="L83" s="6" t="s">
        <v>164</v>
      </c>
      <c r="M83" s="6" t="s">
        <v>193</v>
      </c>
      <c r="N83" s="6" t="s">
        <v>72</v>
      </c>
      <c r="O83" s="6" t="s">
        <v>75</v>
      </c>
      <c r="P83" s="19">
        <v>3</v>
      </c>
    </row>
    <row r="84" spans="8:16" ht="15.75" customHeight="1" x14ac:dyDescent="0.3">
      <c r="H84" s="6" t="s">
        <v>168</v>
      </c>
      <c r="I84" s="6" t="s">
        <v>128</v>
      </c>
      <c r="J84" s="6" t="s">
        <v>150</v>
      </c>
      <c r="K84" s="19">
        <v>0</v>
      </c>
      <c r="L84" s="6" t="s">
        <v>164</v>
      </c>
      <c r="M84" s="6" t="s">
        <v>193</v>
      </c>
      <c r="N84" s="6" t="s">
        <v>83</v>
      </c>
      <c r="O84" s="6" t="s">
        <v>84</v>
      </c>
      <c r="P84" s="19">
        <v>0</v>
      </c>
    </row>
    <row r="85" spans="8:16" ht="15.75" customHeight="1" x14ac:dyDescent="0.3">
      <c r="H85" s="6" t="s">
        <v>168</v>
      </c>
      <c r="I85" s="6" t="s">
        <v>129</v>
      </c>
      <c r="J85" s="6" t="s">
        <v>151</v>
      </c>
      <c r="K85" s="19">
        <v>0</v>
      </c>
      <c r="L85" s="6" t="s">
        <v>164</v>
      </c>
      <c r="M85" s="6" t="s">
        <v>193</v>
      </c>
      <c r="N85" s="6" t="s">
        <v>88</v>
      </c>
      <c r="O85" s="6" t="s">
        <v>90</v>
      </c>
      <c r="P85" s="17">
        <v>0.375</v>
      </c>
    </row>
    <row r="86" spans="8:16" ht="15.75" customHeight="1" x14ac:dyDescent="0.3">
      <c r="H86" s="6" t="s">
        <v>168</v>
      </c>
      <c r="I86" s="6" t="s">
        <v>130</v>
      </c>
      <c r="J86" s="6" t="s">
        <v>152</v>
      </c>
      <c r="K86" s="19">
        <v>20</v>
      </c>
      <c r="L86" s="6" t="s">
        <v>164</v>
      </c>
      <c r="M86" s="6" t="s">
        <v>193</v>
      </c>
      <c r="N86" s="6" t="s">
        <v>96</v>
      </c>
      <c r="O86" s="6" t="s">
        <v>97</v>
      </c>
      <c r="P86" s="19">
        <v>6</v>
      </c>
    </row>
    <row r="87" spans="8:16" ht="15.75" customHeight="1" x14ac:dyDescent="0.3">
      <c r="H87" s="6" t="s">
        <v>168</v>
      </c>
      <c r="I87" s="6" t="s">
        <v>131</v>
      </c>
      <c r="J87" s="6" t="s">
        <v>153</v>
      </c>
      <c r="K87" s="17">
        <v>0.33329999999999999</v>
      </c>
      <c r="L87" s="6" t="s">
        <v>164</v>
      </c>
      <c r="M87" s="6" t="s">
        <v>193</v>
      </c>
      <c r="N87" s="6" t="s">
        <v>100</v>
      </c>
      <c r="O87" s="6" t="s">
        <v>101</v>
      </c>
      <c r="P87" s="19">
        <v>2</v>
      </c>
    </row>
    <row r="88" spans="8:16" ht="15.75" customHeight="1" x14ac:dyDescent="0.3">
      <c r="H88" s="6" t="s">
        <v>168</v>
      </c>
      <c r="I88" s="6" t="s">
        <v>133</v>
      </c>
      <c r="J88" s="6" t="s">
        <v>154</v>
      </c>
      <c r="K88" s="19">
        <v>1</v>
      </c>
      <c r="L88" s="6" t="s">
        <v>164</v>
      </c>
      <c r="M88" s="6" t="s">
        <v>193</v>
      </c>
      <c r="N88" s="6" t="s">
        <v>22</v>
      </c>
      <c r="O88" s="6" t="s">
        <v>104</v>
      </c>
      <c r="P88" s="17">
        <v>28.2</v>
      </c>
    </row>
    <row r="89" spans="8:16" ht="15.75" customHeight="1" x14ac:dyDescent="0.3">
      <c r="H89" s="6" t="s">
        <v>168</v>
      </c>
      <c r="I89" s="6" t="s">
        <v>134</v>
      </c>
      <c r="J89" s="6" t="s">
        <v>155</v>
      </c>
      <c r="K89" s="19">
        <v>26</v>
      </c>
      <c r="L89" s="6" t="s">
        <v>164</v>
      </c>
      <c r="M89" s="6" t="s">
        <v>193</v>
      </c>
      <c r="N89" s="6" t="s">
        <v>23</v>
      </c>
      <c r="O89" s="6" t="s">
        <v>107</v>
      </c>
      <c r="P89" s="17">
        <v>11380.1531</v>
      </c>
    </row>
    <row r="90" spans="8:16" ht="15.75" customHeight="1" x14ac:dyDescent="0.3">
      <c r="H90" s="6" t="s">
        <v>170</v>
      </c>
      <c r="I90" s="6" t="s">
        <v>58</v>
      </c>
      <c r="J90" s="6" t="s">
        <v>60</v>
      </c>
      <c r="K90" s="19">
        <v>1</v>
      </c>
      <c r="L90" s="6" t="s">
        <v>164</v>
      </c>
      <c r="M90" s="6" t="s">
        <v>193</v>
      </c>
      <c r="N90" s="6" t="s">
        <v>24</v>
      </c>
      <c r="O90" s="6" t="s">
        <v>109</v>
      </c>
      <c r="P90" s="17">
        <v>0.1686</v>
      </c>
    </row>
    <row r="91" spans="8:16" ht="15.75" customHeight="1" x14ac:dyDescent="0.3">
      <c r="H91" s="6" t="s">
        <v>170</v>
      </c>
      <c r="I91" s="6" t="s">
        <v>72</v>
      </c>
      <c r="J91" s="6" t="s">
        <v>82</v>
      </c>
      <c r="K91" s="19">
        <v>5</v>
      </c>
      <c r="L91" s="6" t="s">
        <v>164</v>
      </c>
      <c r="M91" s="6" t="s">
        <v>193</v>
      </c>
      <c r="N91" s="6" t="s">
        <v>25</v>
      </c>
      <c r="O91" s="6" t="s">
        <v>111</v>
      </c>
      <c r="P91" s="19">
        <v>80</v>
      </c>
    </row>
    <row r="92" spans="8:16" ht="15.75" customHeight="1" x14ac:dyDescent="0.3">
      <c r="H92" s="6" t="s">
        <v>170</v>
      </c>
      <c r="I92" s="6" t="s">
        <v>85</v>
      </c>
      <c r="J92" s="6" t="s">
        <v>86</v>
      </c>
      <c r="K92" s="19">
        <v>4</v>
      </c>
      <c r="L92" s="6" t="s">
        <v>164</v>
      </c>
      <c r="M92" s="6" t="s">
        <v>193</v>
      </c>
      <c r="N92" s="6" t="s">
        <v>26</v>
      </c>
      <c r="O92" s="6" t="s">
        <v>113</v>
      </c>
      <c r="P92" s="19">
        <v>33</v>
      </c>
    </row>
    <row r="93" spans="8:16" ht="15.75" customHeight="1" x14ac:dyDescent="0.3">
      <c r="H93" s="6" t="s">
        <v>170</v>
      </c>
      <c r="I93" s="6" t="s">
        <v>93</v>
      </c>
      <c r="J93" s="6" t="s">
        <v>94</v>
      </c>
      <c r="K93" s="19">
        <v>0</v>
      </c>
      <c r="L93" s="6" t="s">
        <v>164</v>
      </c>
      <c r="M93" s="6" t="s">
        <v>193</v>
      </c>
      <c r="N93" s="6" t="s">
        <v>27</v>
      </c>
      <c r="O93" s="6" t="s">
        <v>117</v>
      </c>
      <c r="P93" s="17">
        <v>403.55149999999998</v>
      </c>
    </row>
    <row r="94" spans="8:16" ht="15.75" customHeight="1" x14ac:dyDescent="0.3">
      <c r="H94" s="6" t="s">
        <v>170</v>
      </c>
      <c r="I94" s="6" t="s">
        <v>98</v>
      </c>
      <c r="J94" s="6" t="s">
        <v>99</v>
      </c>
      <c r="K94" s="19">
        <v>2</v>
      </c>
      <c r="L94" s="6" t="s">
        <v>164</v>
      </c>
      <c r="M94" s="6" t="s">
        <v>193</v>
      </c>
      <c r="N94" s="6" t="s">
        <v>29</v>
      </c>
      <c r="O94" s="6" t="s">
        <v>125</v>
      </c>
      <c r="P94" s="19">
        <v>17</v>
      </c>
    </row>
    <row r="95" spans="8:16" ht="15.75" customHeight="1" x14ac:dyDescent="0.3">
      <c r="H95" s="6" t="s">
        <v>170</v>
      </c>
      <c r="I95" s="6" t="s">
        <v>22</v>
      </c>
      <c r="J95" s="6" t="s">
        <v>103</v>
      </c>
      <c r="K95" s="19">
        <v>30</v>
      </c>
      <c r="L95" s="6" t="s">
        <v>164</v>
      </c>
      <c r="M95" s="6" t="s">
        <v>193</v>
      </c>
      <c r="N95" s="6" t="s">
        <v>135</v>
      </c>
      <c r="O95" s="6" t="s">
        <v>136</v>
      </c>
      <c r="P95" s="17">
        <v>0.57140000000000002</v>
      </c>
    </row>
    <row r="96" spans="8:16" ht="15.75" customHeight="1" x14ac:dyDescent="0.3">
      <c r="H96" s="6" t="s">
        <v>170</v>
      </c>
      <c r="I96" s="6" t="s">
        <v>23</v>
      </c>
      <c r="J96" s="6" t="s">
        <v>106</v>
      </c>
      <c r="K96" s="17">
        <v>14268.0854</v>
      </c>
      <c r="L96" s="6" t="s">
        <v>164</v>
      </c>
      <c r="M96" s="6" t="s">
        <v>193</v>
      </c>
      <c r="N96" s="6" t="s">
        <v>138</v>
      </c>
      <c r="O96" s="6" t="s">
        <v>139</v>
      </c>
      <c r="P96" s="19">
        <v>2</v>
      </c>
    </row>
    <row r="97" spans="8:16" ht="15.75" customHeight="1" x14ac:dyDescent="0.3">
      <c r="H97" s="6" t="s">
        <v>170</v>
      </c>
      <c r="I97" s="6" t="s">
        <v>24</v>
      </c>
      <c r="J97" s="6" t="s">
        <v>108</v>
      </c>
      <c r="K97" s="17">
        <v>0.1961</v>
      </c>
      <c r="L97" s="6" t="s">
        <v>164</v>
      </c>
      <c r="M97" s="6" t="s">
        <v>193</v>
      </c>
      <c r="N97" s="6" t="s">
        <v>30</v>
      </c>
      <c r="O97" s="6" t="s">
        <v>148</v>
      </c>
      <c r="P97" s="17">
        <v>54.730200000000004</v>
      </c>
    </row>
    <row r="98" spans="8:16" ht="15.75" customHeight="1" x14ac:dyDescent="0.3">
      <c r="H98" s="6" t="s">
        <v>170</v>
      </c>
      <c r="I98" s="6" t="s">
        <v>25</v>
      </c>
      <c r="J98" s="6" t="s">
        <v>110</v>
      </c>
      <c r="K98" s="19">
        <v>96</v>
      </c>
      <c r="L98" s="6" t="s">
        <v>164</v>
      </c>
      <c r="M98" s="6" t="s">
        <v>193</v>
      </c>
      <c r="N98" s="6" t="s">
        <v>156</v>
      </c>
      <c r="O98" s="6" t="s">
        <v>157</v>
      </c>
      <c r="P98" s="19">
        <v>1</v>
      </c>
    </row>
    <row r="99" spans="8:16" ht="15.75" customHeight="1" x14ac:dyDescent="0.3">
      <c r="H99" s="6" t="s">
        <v>170</v>
      </c>
      <c r="I99" s="6" t="s">
        <v>26</v>
      </c>
      <c r="J99" s="6" t="s">
        <v>112</v>
      </c>
      <c r="K99" s="19">
        <v>31</v>
      </c>
      <c r="L99" s="6" t="s">
        <v>164</v>
      </c>
      <c r="M99" s="6" t="s">
        <v>193</v>
      </c>
      <c r="N99" s="6" t="s">
        <v>158</v>
      </c>
      <c r="O99" s="6" t="s">
        <v>159</v>
      </c>
      <c r="P99" s="19">
        <v>4</v>
      </c>
    </row>
    <row r="100" spans="8:16" ht="15.75" customHeight="1" x14ac:dyDescent="0.3">
      <c r="H100" s="6" t="s">
        <v>170</v>
      </c>
      <c r="I100" s="6" t="s">
        <v>27</v>
      </c>
      <c r="J100" s="6" t="s">
        <v>114</v>
      </c>
      <c r="K100" s="17">
        <v>475.6028</v>
      </c>
      <c r="L100" s="6" t="s">
        <v>164</v>
      </c>
      <c r="M100" s="6" t="s">
        <v>193</v>
      </c>
      <c r="N100" s="6" t="s">
        <v>160</v>
      </c>
      <c r="O100" s="6" t="s">
        <v>161</v>
      </c>
      <c r="P100" s="19">
        <v>13</v>
      </c>
    </row>
    <row r="101" spans="8:16" ht="15.75" customHeight="1" x14ac:dyDescent="0.3">
      <c r="H101" s="6" t="s">
        <v>170</v>
      </c>
      <c r="I101" s="6" t="s">
        <v>115</v>
      </c>
      <c r="J101" s="6" t="s">
        <v>121</v>
      </c>
      <c r="K101" s="19">
        <v>0</v>
      </c>
      <c r="L101" s="6" t="s">
        <v>164</v>
      </c>
      <c r="M101" s="6" t="s">
        <v>193</v>
      </c>
      <c r="N101" s="6" t="s">
        <v>162</v>
      </c>
      <c r="O101" s="6" t="s">
        <v>163</v>
      </c>
      <c r="P101" s="19">
        <v>3</v>
      </c>
    </row>
    <row r="102" spans="8:16" ht="15.75" customHeight="1" x14ac:dyDescent="0.3">
      <c r="H102" s="6" t="s">
        <v>170</v>
      </c>
      <c r="I102" s="6" t="s">
        <v>116</v>
      </c>
      <c r="J102" s="6" t="s">
        <v>132</v>
      </c>
      <c r="K102" s="19">
        <v>27</v>
      </c>
      <c r="L102" s="6" t="s">
        <v>164</v>
      </c>
      <c r="M102" s="6" t="s">
        <v>193</v>
      </c>
      <c r="N102" s="6" t="s">
        <v>165</v>
      </c>
      <c r="O102" s="6" t="s">
        <v>166</v>
      </c>
      <c r="P102" s="19">
        <v>1</v>
      </c>
    </row>
    <row r="103" spans="8:16" ht="15.75" customHeight="1" x14ac:dyDescent="0.3">
      <c r="H103" s="6" t="s">
        <v>170</v>
      </c>
      <c r="I103" s="6" t="s">
        <v>30</v>
      </c>
      <c r="J103" s="6" t="s">
        <v>137</v>
      </c>
      <c r="K103" s="17">
        <v>49.738500000000002</v>
      </c>
      <c r="L103" s="6" t="s">
        <v>164</v>
      </c>
      <c r="M103" s="6" t="s">
        <v>201</v>
      </c>
      <c r="N103" s="6" t="s">
        <v>72</v>
      </c>
      <c r="O103" s="6" t="s">
        <v>75</v>
      </c>
      <c r="P103" s="19">
        <v>0</v>
      </c>
    </row>
    <row r="104" spans="8:16" ht="15.75" customHeight="1" x14ac:dyDescent="0.3">
      <c r="H104" s="6" t="s">
        <v>170</v>
      </c>
      <c r="I104" s="6" t="s">
        <v>118</v>
      </c>
      <c r="J104" s="6" t="s">
        <v>140</v>
      </c>
      <c r="K104" s="19">
        <v>21</v>
      </c>
      <c r="L104" s="6" t="s">
        <v>164</v>
      </c>
      <c r="M104" s="6" t="s">
        <v>201</v>
      </c>
      <c r="N104" s="6" t="s">
        <v>83</v>
      </c>
      <c r="O104" s="6" t="s">
        <v>84</v>
      </c>
      <c r="P104" s="19">
        <v>0</v>
      </c>
    </row>
    <row r="105" spans="8:16" ht="15.75" customHeight="1" x14ac:dyDescent="0.3">
      <c r="H105" s="6" t="s">
        <v>170</v>
      </c>
      <c r="I105" s="6" t="s">
        <v>31</v>
      </c>
      <c r="J105" s="6" t="s">
        <v>141</v>
      </c>
      <c r="K105" s="19">
        <v>26</v>
      </c>
      <c r="L105" s="6" t="s">
        <v>164</v>
      </c>
      <c r="M105" s="6" t="s">
        <v>201</v>
      </c>
      <c r="N105" s="6" t="s">
        <v>88</v>
      </c>
      <c r="O105" s="6" t="s">
        <v>90</v>
      </c>
      <c r="P105" s="19">
        <v>1</v>
      </c>
    </row>
    <row r="106" spans="8:16" ht="15.75" customHeight="1" x14ac:dyDescent="0.3">
      <c r="H106" s="6" t="s">
        <v>170</v>
      </c>
      <c r="I106" s="6" t="s">
        <v>119</v>
      </c>
      <c r="J106" s="6" t="s">
        <v>142</v>
      </c>
      <c r="K106" s="19">
        <v>0</v>
      </c>
      <c r="L106" s="6" t="s">
        <v>164</v>
      </c>
      <c r="M106" s="6" t="s">
        <v>201</v>
      </c>
      <c r="N106" s="6" t="s">
        <v>96</v>
      </c>
      <c r="O106" s="6" t="s">
        <v>97</v>
      </c>
      <c r="P106" s="19">
        <v>1</v>
      </c>
    </row>
    <row r="107" spans="8:16" ht="15.75" customHeight="1" x14ac:dyDescent="0.3">
      <c r="H107" s="6" t="s">
        <v>170</v>
      </c>
      <c r="I107" s="6" t="s">
        <v>120</v>
      </c>
      <c r="J107" s="6" t="s">
        <v>143</v>
      </c>
      <c r="K107" s="19">
        <v>0</v>
      </c>
      <c r="L107" s="6" t="s">
        <v>164</v>
      </c>
      <c r="M107" s="6" t="s">
        <v>201</v>
      </c>
      <c r="N107" s="6" t="s">
        <v>100</v>
      </c>
      <c r="O107" s="6" t="s">
        <v>101</v>
      </c>
      <c r="P107" s="19">
        <v>0</v>
      </c>
    </row>
    <row r="108" spans="8:16" ht="15.75" customHeight="1" x14ac:dyDescent="0.3">
      <c r="H108" s="6" t="s">
        <v>170</v>
      </c>
      <c r="I108" s="6" t="s">
        <v>122</v>
      </c>
      <c r="J108" s="6" t="s">
        <v>144</v>
      </c>
      <c r="K108" s="19">
        <v>10</v>
      </c>
      <c r="L108" s="6" t="s">
        <v>164</v>
      </c>
      <c r="M108" s="6" t="s">
        <v>201</v>
      </c>
      <c r="N108" s="6" t="s">
        <v>22</v>
      </c>
      <c r="O108" s="6" t="s">
        <v>104</v>
      </c>
      <c r="P108" s="19">
        <v>4</v>
      </c>
    </row>
    <row r="109" spans="8:16" ht="15.75" customHeight="1" x14ac:dyDescent="0.3">
      <c r="H109" s="6" t="s">
        <v>170</v>
      </c>
      <c r="I109" s="6" t="s">
        <v>123</v>
      </c>
      <c r="J109" s="6" t="s">
        <v>145</v>
      </c>
      <c r="K109" s="19">
        <v>55</v>
      </c>
      <c r="L109" s="6" t="s">
        <v>164</v>
      </c>
      <c r="M109" s="6" t="s">
        <v>201</v>
      </c>
      <c r="N109" s="6" t="s">
        <v>23</v>
      </c>
      <c r="O109" s="6" t="s">
        <v>107</v>
      </c>
      <c r="P109" s="17">
        <v>126.797</v>
      </c>
    </row>
    <row r="110" spans="8:16" ht="15.75" customHeight="1" x14ac:dyDescent="0.3">
      <c r="H110" s="6" t="s">
        <v>170</v>
      </c>
      <c r="I110" s="6" t="s">
        <v>124</v>
      </c>
      <c r="J110" s="6" t="s">
        <v>146</v>
      </c>
      <c r="K110" s="19">
        <v>0</v>
      </c>
      <c r="L110" s="6" t="s">
        <v>164</v>
      </c>
      <c r="M110" s="6" t="s">
        <v>201</v>
      </c>
      <c r="N110" s="6" t="s">
        <v>24</v>
      </c>
      <c r="O110" s="6" t="s">
        <v>109</v>
      </c>
      <c r="P110" s="17">
        <v>8.3999999999999995E-3</v>
      </c>
    </row>
    <row r="111" spans="8:16" ht="15.75" customHeight="1" x14ac:dyDescent="0.3">
      <c r="H111" s="6" t="s">
        <v>170</v>
      </c>
      <c r="I111" s="6" t="s">
        <v>126</v>
      </c>
      <c r="J111" s="6" t="s">
        <v>147</v>
      </c>
      <c r="K111" s="19">
        <v>1</v>
      </c>
      <c r="L111" s="6" t="s">
        <v>164</v>
      </c>
      <c r="M111" s="6" t="s">
        <v>201</v>
      </c>
      <c r="N111" s="6" t="s">
        <v>25</v>
      </c>
      <c r="O111" s="6" t="s">
        <v>111</v>
      </c>
      <c r="P111" s="19">
        <v>10</v>
      </c>
    </row>
    <row r="112" spans="8:16" ht="15.75" customHeight="1" x14ac:dyDescent="0.3">
      <c r="H112" s="6" t="s">
        <v>170</v>
      </c>
      <c r="I112" s="6" t="s">
        <v>127</v>
      </c>
      <c r="J112" s="6" t="s">
        <v>149</v>
      </c>
      <c r="K112" s="19">
        <v>51</v>
      </c>
      <c r="L112" s="6" t="s">
        <v>164</v>
      </c>
      <c r="M112" s="6" t="s">
        <v>201</v>
      </c>
      <c r="N112" s="6" t="s">
        <v>26</v>
      </c>
      <c r="O112" s="6" t="s">
        <v>113</v>
      </c>
      <c r="P112" s="19">
        <v>9</v>
      </c>
    </row>
    <row r="113" spans="8:16" ht="15.75" customHeight="1" x14ac:dyDescent="0.3">
      <c r="H113" s="6" t="s">
        <v>170</v>
      </c>
      <c r="I113" s="6" t="s">
        <v>128</v>
      </c>
      <c r="J113" s="6" t="s">
        <v>150</v>
      </c>
      <c r="K113" s="19">
        <v>0</v>
      </c>
      <c r="L113" s="6" t="s">
        <v>164</v>
      </c>
      <c r="M113" s="6" t="s">
        <v>201</v>
      </c>
      <c r="N113" s="6" t="s">
        <v>27</v>
      </c>
      <c r="O113" s="6" t="s">
        <v>117</v>
      </c>
      <c r="P113" s="17">
        <v>31.699300000000001</v>
      </c>
    </row>
    <row r="114" spans="8:16" ht="15.75" customHeight="1" x14ac:dyDescent="0.3">
      <c r="H114" s="6" t="s">
        <v>170</v>
      </c>
      <c r="I114" s="6" t="s">
        <v>129</v>
      </c>
      <c r="J114" s="6" t="s">
        <v>151</v>
      </c>
      <c r="K114" s="19">
        <v>0</v>
      </c>
      <c r="L114" s="6" t="s">
        <v>164</v>
      </c>
      <c r="M114" s="6" t="s">
        <v>201</v>
      </c>
      <c r="N114" s="6" t="s">
        <v>29</v>
      </c>
      <c r="O114" s="6" t="s">
        <v>125</v>
      </c>
      <c r="P114" s="19">
        <v>10</v>
      </c>
    </row>
    <row r="115" spans="8:16" ht="15.75" customHeight="1" x14ac:dyDescent="0.3">
      <c r="H115" s="6" t="s">
        <v>170</v>
      </c>
      <c r="I115" s="6" t="s">
        <v>130</v>
      </c>
      <c r="J115" s="6" t="s">
        <v>152</v>
      </c>
      <c r="K115" s="19">
        <v>8</v>
      </c>
      <c r="L115" s="6" t="s">
        <v>164</v>
      </c>
      <c r="M115" s="6" t="s">
        <v>201</v>
      </c>
      <c r="N115" s="6" t="s">
        <v>135</v>
      </c>
      <c r="O115" s="6" t="s">
        <v>136</v>
      </c>
      <c r="P115" s="19">
        <v>1</v>
      </c>
    </row>
    <row r="116" spans="8:16" ht="15.75" customHeight="1" x14ac:dyDescent="0.3">
      <c r="H116" s="6" t="s">
        <v>170</v>
      </c>
      <c r="I116" s="6" t="s">
        <v>131</v>
      </c>
      <c r="J116" s="6" t="s">
        <v>153</v>
      </c>
      <c r="K116" s="19">
        <v>0</v>
      </c>
      <c r="L116" s="6" t="s">
        <v>164</v>
      </c>
      <c r="M116" s="6" t="s">
        <v>201</v>
      </c>
      <c r="N116" s="6" t="s">
        <v>138</v>
      </c>
      <c r="O116" s="6" t="s">
        <v>139</v>
      </c>
      <c r="P116" s="19">
        <v>0</v>
      </c>
    </row>
    <row r="117" spans="8:16" ht="15.75" customHeight="1" x14ac:dyDescent="0.3">
      <c r="H117" s="6" t="s">
        <v>170</v>
      </c>
      <c r="I117" s="6" t="s">
        <v>133</v>
      </c>
      <c r="J117" s="6" t="s">
        <v>154</v>
      </c>
      <c r="K117" s="19">
        <v>0</v>
      </c>
      <c r="L117" s="6" t="s">
        <v>164</v>
      </c>
      <c r="M117" s="6" t="s">
        <v>201</v>
      </c>
      <c r="N117" s="6" t="s">
        <v>30</v>
      </c>
      <c r="O117" s="6" t="s">
        <v>148</v>
      </c>
      <c r="P117" s="17">
        <v>67.743499999999997</v>
      </c>
    </row>
    <row r="118" spans="8:16" ht="15.75" customHeight="1" x14ac:dyDescent="0.3">
      <c r="H118" s="6" t="s">
        <v>170</v>
      </c>
      <c r="I118" s="6" t="s">
        <v>134</v>
      </c>
      <c r="J118" s="6" t="s">
        <v>155</v>
      </c>
      <c r="K118" s="19">
        <v>9</v>
      </c>
      <c r="L118" s="6" t="s">
        <v>164</v>
      </c>
      <c r="M118" s="6" t="s">
        <v>201</v>
      </c>
      <c r="N118" s="6" t="s">
        <v>156</v>
      </c>
      <c r="O118" s="6" t="s">
        <v>157</v>
      </c>
      <c r="P118" s="19">
        <v>0</v>
      </c>
    </row>
    <row r="119" spans="8:16" ht="15.75" customHeight="1" x14ac:dyDescent="0.3">
      <c r="H119" s="6" t="s">
        <v>171</v>
      </c>
      <c r="I119" s="6" t="s">
        <v>58</v>
      </c>
      <c r="J119" s="6" t="s">
        <v>60</v>
      </c>
      <c r="K119" s="19">
        <v>1</v>
      </c>
      <c r="L119" s="6" t="s">
        <v>164</v>
      </c>
      <c r="M119" s="6" t="s">
        <v>201</v>
      </c>
      <c r="N119" s="6" t="s">
        <v>158</v>
      </c>
      <c r="O119" s="6" t="s">
        <v>159</v>
      </c>
      <c r="P119" s="19">
        <v>1</v>
      </c>
    </row>
    <row r="120" spans="8:16" ht="15.75" customHeight="1" x14ac:dyDescent="0.3">
      <c r="H120" s="6" t="s">
        <v>171</v>
      </c>
      <c r="I120" s="6" t="s">
        <v>72</v>
      </c>
      <c r="J120" s="6" t="s">
        <v>82</v>
      </c>
      <c r="K120" s="19">
        <v>5</v>
      </c>
      <c r="L120" s="6" t="s">
        <v>164</v>
      </c>
      <c r="M120" s="6" t="s">
        <v>201</v>
      </c>
      <c r="N120" s="6" t="s">
        <v>160</v>
      </c>
      <c r="O120" s="6" t="s">
        <v>161</v>
      </c>
      <c r="P120" s="19">
        <v>2</v>
      </c>
    </row>
    <row r="121" spans="8:16" ht="15.75" customHeight="1" x14ac:dyDescent="0.3">
      <c r="H121" s="6" t="s">
        <v>171</v>
      </c>
      <c r="I121" s="6" t="s">
        <v>85</v>
      </c>
      <c r="J121" s="6" t="s">
        <v>86</v>
      </c>
      <c r="K121" s="19">
        <v>4</v>
      </c>
      <c r="L121" s="6" t="s">
        <v>164</v>
      </c>
      <c r="M121" s="6" t="s">
        <v>201</v>
      </c>
      <c r="N121" s="6" t="s">
        <v>162</v>
      </c>
      <c r="O121" s="6" t="s">
        <v>163</v>
      </c>
      <c r="P121" s="19">
        <v>0</v>
      </c>
    </row>
    <row r="122" spans="8:16" ht="15.75" customHeight="1" x14ac:dyDescent="0.3">
      <c r="H122" s="6" t="s">
        <v>171</v>
      </c>
      <c r="I122" s="6" t="s">
        <v>93</v>
      </c>
      <c r="J122" s="6" t="s">
        <v>94</v>
      </c>
      <c r="K122" s="19">
        <v>0</v>
      </c>
      <c r="L122" s="6" t="s">
        <v>164</v>
      </c>
      <c r="M122" s="6" t="s">
        <v>201</v>
      </c>
      <c r="N122" s="6" t="s">
        <v>165</v>
      </c>
      <c r="O122" s="6" t="s">
        <v>166</v>
      </c>
      <c r="P122" s="19">
        <v>1</v>
      </c>
    </row>
    <row r="123" spans="8:16" ht="15.75" customHeight="1" x14ac:dyDescent="0.3">
      <c r="H123" s="6" t="s">
        <v>171</v>
      </c>
      <c r="I123" s="6" t="s">
        <v>98</v>
      </c>
      <c r="J123" s="6" t="s">
        <v>99</v>
      </c>
      <c r="K123" s="19">
        <v>2</v>
      </c>
      <c r="L123" s="6" t="s">
        <v>168</v>
      </c>
      <c r="M123" s="6" t="s">
        <v>207</v>
      </c>
      <c r="N123" s="6" t="s">
        <v>72</v>
      </c>
      <c r="O123" s="6" t="s">
        <v>75</v>
      </c>
      <c r="P123" s="19">
        <v>0</v>
      </c>
    </row>
    <row r="124" spans="8:16" ht="15.75" customHeight="1" x14ac:dyDescent="0.3">
      <c r="H124" s="6" t="s">
        <v>171</v>
      </c>
      <c r="I124" s="6" t="s">
        <v>22</v>
      </c>
      <c r="J124" s="6" t="s">
        <v>103</v>
      </c>
      <c r="K124" s="19">
        <v>30</v>
      </c>
      <c r="L124" s="6" t="s">
        <v>168</v>
      </c>
      <c r="M124" s="6" t="s">
        <v>207</v>
      </c>
      <c r="N124" s="6" t="s">
        <v>83</v>
      </c>
      <c r="O124" s="6" t="s">
        <v>84</v>
      </c>
      <c r="P124" s="19">
        <v>0</v>
      </c>
    </row>
    <row r="125" spans="8:16" ht="15.75" customHeight="1" x14ac:dyDescent="0.3">
      <c r="H125" s="6" t="s">
        <v>171</v>
      </c>
      <c r="I125" s="6" t="s">
        <v>23</v>
      </c>
      <c r="J125" s="6" t="s">
        <v>106</v>
      </c>
      <c r="K125" s="17">
        <v>14268.0854</v>
      </c>
      <c r="L125" s="6" t="s">
        <v>168</v>
      </c>
      <c r="M125" s="6" t="s">
        <v>207</v>
      </c>
      <c r="N125" s="6" t="s">
        <v>88</v>
      </c>
      <c r="O125" s="6" t="s">
        <v>90</v>
      </c>
      <c r="P125" s="19">
        <v>0</v>
      </c>
    </row>
    <row r="126" spans="8:16" ht="15.75" customHeight="1" x14ac:dyDescent="0.3">
      <c r="H126" s="6" t="s">
        <v>171</v>
      </c>
      <c r="I126" s="6" t="s">
        <v>24</v>
      </c>
      <c r="J126" s="6" t="s">
        <v>108</v>
      </c>
      <c r="K126" s="17">
        <v>0.1961</v>
      </c>
      <c r="L126" s="6" t="s">
        <v>168</v>
      </c>
      <c r="M126" s="6" t="s">
        <v>207</v>
      </c>
      <c r="N126" s="6" t="s">
        <v>96</v>
      </c>
      <c r="O126" s="6" t="s">
        <v>97</v>
      </c>
      <c r="P126" s="19">
        <v>0</v>
      </c>
    </row>
    <row r="127" spans="8:16" ht="15.75" customHeight="1" x14ac:dyDescent="0.3">
      <c r="H127" s="6" t="s">
        <v>171</v>
      </c>
      <c r="I127" s="6" t="s">
        <v>25</v>
      </c>
      <c r="J127" s="6" t="s">
        <v>110</v>
      </c>
      <c r="K127" s="19">
        <v>96</v>
      </c>
      <c r="L127" s="6" t="s">
        <v>168</v>
      </c>
      <c r="M127" s="6" t="s">
        <v>207</v>
      </c>
      <c r="N127" s="6" t="s">
        <v>100</v>
      </c>
      <c r="O127" s="6" t="s">
        <v>101</v>
      </c>
      <c r="P127" s="19">
        <v>0</v>
      </c>
    </row>
    <row r="128" spans="8:16" ht="15.75" customHeight="1" x14ac:dyDescent="0.3">
      <c r="H128" s="6" t="s">
        <v>171</v>
      </c>
      <c r="I128" s="6" t="s">
        <v>26</v>
      </c>
      <c r="J128" s="6" t="s">
        <v>112</v>
      </c>
      <c r="K128" s="19">
        <v>31</v>
      </c>
      <c r="L128" s="6" t="s">
        <v>168</v>
      </c>
      <c r="M128" s="6" t="s">
        <v>207</v>
      </c>
      <c r="N128" s="6" t="s">
        <v>22</v>
      </c>
      <c r="O128" s="6" t="s">
        <v>104</v>
      </c>
      <c r="P128" s="19">
        <v>0</v>
      </c>
    </row>
    <row r="129" spans="8:16" ht="15.75" customHeight="1" x14ac:dyDescent="0.3">
      <c r="H129" s="6" t="s">
        <v>171</v>
      </c>
      <c r="I129" s="6" t="s">
        <v>27</v>
      </c>
      <c r="J129" s="6" t="s">
        <v>114</v>
      </c>
      <c r="K129" s="17">
        <v>475.6028</v>
      </c>
      <c r="L129" s="6" t="s">
        <v>168</v>
      </c>
      <c r="M129" s="6" t="s">
        <v>207</v>
      </c>
      <c r="N129" s="6" t="s">
        <v>23</v>
      </c>
      <c r="O129" s="6" t="s">
        <v>107</v>
      </c>
      <c r="P129" s="19">
        <v>0</v>
      </c>
    </row>
    <row r="130" spans="8:16" ht="15.75" customHeight="1" x14ac:dyDescent="0.3">
      <c r="H130" s="6" t="s">
        <v>171</v>
      </c>
      <c r="I130" s="6" t="s">
        <v>115</v>
      </c>
      <c r="J130" s="6" t="s">
        <v>121</v>
      </c>
      <c r="K130" s="19">
        <v>0</v>
      </c>
      <c r="L130" s="6" t="s">
        <v>168</v>
      </c>
      <c r="M130" s="6" t="s">
        <v>207</v>
      </c>
      <c r="N130" s="6" t="s">
        <v>24</v>
      </c>
      <c r="O130" s="6" t="s">
        <v>109</v>
      </c>
      <c r="P130" s="19">
        <v>0</v>
      </c>
    </row>
    <row r="131" spans="8:16" ht="15.75" customHeight="1" x14ac:dyDescent="0.3">
      <c r="H131" s="6" t="s">
        <v>171</v>
      </c>
      <c r="I131" s="6" t="s">
        <v>116</v>
      </c>
      <c r="J131" s="6" t="s">
        <v>132</v>
      </c>
      <c r="K131" s="19">
        <v>27</v>
      </c>
      <c r="L131" s="6" t="s">
        <v>168</v>
      </c>
      <c r="M131" s="6" t="s">
        <v>207</v>
      </c>
      <c r="N131" s="6" t="s">
        <v>25</v>
      </c>
      <c r="O131" s="6" t="s">
        <v>111</v>
      </c>
      <c r="P131" s="19">
        <v>1</v>
      </c>
    </row>
    <row r="132" spans="8:16" ht="15.75" customHeight="1" x14ac:dyDescent="0.3">
      <c r="H132" s="6" t="s">
        <v>171</v>
      </c>
      <c r="I132" s="6" t="s">
        <v>30</v>
      </c>
      <c r="J132" s="6" t="s">
        <v>137</v>
      </c>
      <c r="K132" s="17">
        <v>49.738500000000002</v>
      </c>
      <c r="L132" s="6" t="s">
        <v>168</v>
      </c>
      <c r="M132" s="6" t="s">
        <v>207</v>
      </c>
      <c r="N132" s="6" t="s">
        <v>26</v>
      </c>
      <c r="O132" s="6" t="s">
        <v>113</v>
      </c>
      <c r="P132" s="19">
        <v>1</v>
      </c>
    </row>
    <row r="133" spans="8:16" ht="15.75" customHeight="1" x14ac:dyDescent="0.3">
      <c r="H133" s="6" t="s">
        <v>171</v>
      </c>
      <c r="I133" s="6" t="s">
        <v>118</v>
      </c>
      <c r="J133" s="6" t="s">
        <v>140</v>
      </c>
      <c r="K133" s="19">
        <v>21</v>
      </c>
      <c r="L133" s="6" t="s">
        <v>168</v>
      </c>
      <c r="M133" s="6" t="s">
        <v>207</v>
      </c>
      <c r="N133" s="6" t="s">
        <v>27</v>
      </c>
      <c r="O133" s="6" t="s">
        <v>117</v>
      </c>
      <c r="P133" s="19">
        <v>0</v>
      </c>
    </row>
    <row r="134" spans="8:16" ht="15.75" customHeight="1" x14ac:dyDescent="0.3">
      <c r="H134" s="6" t="s">
        <v>171</v>
      </c>
      <c r="I134" s="6" t="s">
        <v>31</v>
      </c>
      <c r="J134" s="6" t="s">
        <v>141</v>
      </c>
      <c r="K134" s="19">
        <v>26</v>
      </c>
      <c r="L134" s="6" t="s">
        <v>168</v>
      </c>
      <c r="M134" s="6" t="s">
        <v>207</v>
      </c>
      <c r="N134" s="6" t="s">
        <v>29</v>
      </c>
      <c r="O134" s="6" t="s">
        <v>125</v>
      </c>
      <c r="P134" s="19">
        <v>3</v>
      </c>
    </row>
    <row r="135" spans="8:16" ht="15.75" customHeight="1" x14ac:dyDescent="0.3">
      <c r="H135" s="6" t="s">
        <v>171</v>
      </c>
      <c r="I135" s="6" t="s">
        <v>119</v>
      </c>
      <c r="J135" s="6" t="s">
        <v>142</v>
      </c>
      <c r="K135" s="19">
        <v>0</v>
      </c>
      <c r="L135" s="6" t="s">
        <v>168</v>
      </c>
      <c r="M135" s="6" t="s">
        <v>207</v>
      </c>
      <c r="N135" s="6" t="s">
        <v>135</v>
      </c>
      <c r="O135" s="6" t="s">
        <v>136</v>
      </c>
      <c r="P135" s="19">
        <v>0</v>
      </c>
    </row>
    <row r="136" spans="8:16" ht="15.75" customHeight="1" x14ac:dyDescent="0.3">
      <c r="H136" s="6" t="s">
        <v>171</v>
      </c>
      <c r="I136" s="6" t="s">
        <v>120</v>
      </c>
      <c r="J136" s="6" t="s">
        <v>143</v>
      </c>
      <c r="K136" s="19">
        <v>0</v>
      </c>
      <c r="L136" s="6" t="s">
        <v>168</v>
      </c>
      <c r="M136" s="6" t="s">
        <v>207</v>
      </c>
      <c r="N136" s="6" t="s">
        <v>138</v>
      </c>
      <c r="O136" s="6" t="s">
        <v>139</v>
      </c>
      <c r="P136" s="19">
        <v>0</v>
      </c>
    </row>
    <row r="137" spans="8:16" ht="15.75" customHeight="1" x14ac:dyDescent="0.3">
      <c r="H137" s="6" t="s">
        <v>171</v>
      </c>
      <c r="I137" s="6" t="s">
        <v>122</v>
      </c>
      <c r="J137" s="6" t="s">
        <v>144</v>
      </c>
      <c r="K137" s="19">
        <v>10</v>
      </c>
      <c r="L137" s="6" t="s">
        <v>168</v>
      </c>
      <c r="M137" s="6" t="s">
        <v>207</v>
      </c>
      <c r="N137" s="6" t="s">
        <v>30</v>
      </c>
      <c r="O137" s="6" t="s">
        <v>148</v>
      </c>
      <c r="P137" s="25" t="s">
        <v>173</v>
      </c>
    </row>
    <row r="138" spans="8:16" ht="15.75" customHeight="1" x14ac:dyDescent="0.3">
      <c r="H138" s="6" t="s">
        <v>171</v>
      </c>
      <c r="I138" s="6" t="s">
        <v>123</v>
      </c>
      <c r="J138" s="6" t="s">
        <v>145</v>
      </c>
      <c r="K138" s="19">
        <v>55</v>
      </c>
      <c r="L138" s="6" t="s">
        <v>168</v>
      </c>
      <c r="M138" s="6" t="s">
        <v>207</v>
      </c>
      <c r="N138" s="6" t="s">
        <v>156</v>
      </c>
      <c r="O138" s="6" t="s">
        <v>157</v>
      </c>
      <c r="P138" s="19">
        <v>0</v>
      </c>
    </row>
    <row r="139" spans="8:16" ht="15.75" customHeight="1" x14ac:dyDescent="0.3">
      <c r="H139" s="6" t="s">
        <v>171</v>
      </c>
      <c r="I139" s="6" t="s">
        <v>124</v>
      </c>
      <c r="J139" s="6" t="s">
        <v>146</v>
      </c>
      <c r="K139" s="19">
        <v>0</v>
      </c>
      <c r="L139" s="6" t="s">
        <v>168</v>
      </c>
      <c r="M139" s="6" t="s">
        <v>207</v>
      </c>
      <c r="N139" s="6" t="s">
        <v>158</v>
      </c>
      <c r="O139" s="6" t="s">
        <v>159</v>
      </c>
      <c r="P139" s="19">
        <v>1</v>
      </c>
    </row>
    <row r="140" spans="8:16" ht="15.75" customHeight="1" x14ac:dyDescent="0.3">
      <c r="H140" s="6" t="s">
        <v>171</v>
      </c>
      <c r="I140" s="6" t="s">
        <v>126</v>
      </c>
      <c r="J140" s="6" t="s">
        <v>147</v>
      </c>
      <c r="K140" s="19">
        <v>1</v>
      </c>
      <c r="L140" s="6" t="s">
        <v>168</v>
      </c>
      <c r="M140" s="6" t="s">
        <v>207</v>
      </c>
      <c r="N140" s="6" t="s">
        <v>160</v>
      </c>
      <c r="O140" s="6" t="s">
        <v>161</v>
      </c>
      <c r="P140" s="19">
        <v>0</v>
      </c>
    </row>
    <row r="141" spans="8:16" ht="15.75" customHeight="1" x14ac:dyDescent="0.3">
      <c r="H141" s="6" t="s">
        <v>171</v>
      </c>
      <c r="I141" s="6" t="s">
        <v>127</v>
      </c>
      <c r="J141" s="6" t="s">
        <v>149</v>
      </c>
      <c r="K141" s="19">
        <v>51</v>
      </c>
      <c r="L141" s="6" t="s">
        <v>168</v>
      </c>
      <c r="M141" s="6" t="s">
        <v>207</v>
      </c>
      <c r="N141" s="6" t="s">
        <v>162</v>
      </c>
      <c r="O141" s="6" t="s">
        <v>163</v>
      </c>
      <c r="P141" s="19">
        <v>0</v>
      </c>
    </row>
    <row r="142" spans="8:16" ht="15.75" customHeight="1" x14ac:dyDescent="0.3">
      <c r="H142" s="6" t="s">
        <v>171</v>
      </c>
      <c r="I142" s="6" t="s">
        <v>128</v>
      </c>
      <c r="J142" s="6" t="s">
        <v>150</v>
      </c>
      <c r="K142" s="19">
        <v>0</v>
      </c>
      <c r="L142" s="6" t="s">
        <v>168</v>
      </c>
      <c r="M142" s="6" t="s">
        <v>207</v>
      </c>
      <c r="N142" s="6" t="s">
        <v>165</v>
      </c>
      <c r="O142" s="6" t="s">
        <v>166</v>
      </c>
      <c r="P142" s="19">
        <v>0</v>
      </c>
    </row>
    <row r="143" spans="8:16" ht="15.75" customHeight="1" x14ac:dyDescent="0.3">
      <c r="H143" s="6" t="s">
        <v>171</v>
      </c>
      <c r="I143" s="6" t="s">
        <v>129</v>
      </c>
      <c r="J143" s="6" t="s">
        <v>151</v>
      </c>
      <c r="K143" s="19">
        <v>0</v>
      </c>
      <c r="L143" s="6" t="s">
        <v>168</v>
      </c>
      <c r="M143" s="6" t="s">
        <v>213</v>
      </c>
      <c r="N143" s="6" t="s">
        <v>72</v>
      </c>
      <c r="O143" s="6" t="s">
        <v>75</v>
      </c>
      <c r="P143" s="19">
        <v>1</v>
      </c>
    </row>
    <row r="144" spans="8:16" ht="15.75" customHeight="1" x14ac:dyDescent="0.3">
      <c r="H144" s="6" t="s">
        <v>171</v>
      </c>
      <c r="I144" s="6" t="s">
        <v>130</v>
      </c>
      <c r="J144" s="6" t="s">
        <v>152</v>
      </c>
      <c r="K144" s="19">
        <v>8</v>
      </c>
      <c r="L144" s="6" t="s">
        <v>168</v>
      </c>
      <c r="M144" s="6" t="s">
        <v>213</v>
      </c>
      <c r="N144" s="6" t="s">
        <v>83</v>
      </c>
      <c r="O144" s="6" t="s">
        <v>84</v>
      </c>
      <c r="P144" s="19">
        <v>0</v>
      </c>
    </row>
    <row r="145" spans="8:16" ht="15.75" customHeight="1" x14ac:dyDescent="0.3">
      <c r="H145" s="6" t="s">
        <v>171</v>
      </c>
      <c r="I145" s="6" t="s">
        <v>131</v>
      </c>
      <c r="J145" s="6" t="s">
        <v>153</v>
      </c>
      <c r="K145" s="19">
        <v>0</v>
      </c>
      <c r="L145" s="6" t="s">
        <v>168</v>
      </c>
      <c r="M145" s="6" t="s">
        <v>213</v>
      </c>
      <c r="N145" s="6" t="s">
        <v>88</v>
      </c>
      <c r="O145" s="6" t="s">
        <v>90</v>
      </c>
      <c r="P145" s="19">
        <v>1</v>
      </c>
    </row>
    <row r="146" spans="8:16" ht="15.75" customHeight="1" x14ac:dyDescent="0.3">
      <c r="H146" s="6" t="s">
        <v>171</v>
      </c>
      <c r="I146" s="6" t="s">
        <v>133</v>
      </c>
      <c r="J146" s="6" t="s">
        <v>154</v>
      </c>
      <c r="K146" s="19">
        <v>0</v>
      </c>
      <c r="L146" s="6" t="s">
        <v>168</v>
      </c>
      <c r="M146" s="6" t="s">
        <v>213</v>
      </c>
      <c r="N146" s="6" t="s">
        <v>96</v>
      </c>
      <c r="O146" s="6" t="s">
        <v>97</v>
      </c>
      <c r="P146" s="19">
        <v>1</v>
      </c>
    </row>
    <row r="147" spans="8:16" ht="15.75" customHeight="1" x14ac:dyDescent="0.3">
      <c r="H147" s="6" t="s">
        <v>171</v>
      </c>
      <c r="I147" s="6" t="s">
        <v>134</v>
      </c>
      <c r="J147" s="6" t="s">
        <v>155</v>
      </c>
      <c r="K147" s="19">
        <v>9</v>
      </c>
      <c r="L147" s="6" t="s">
        <v>168</v>
      </c>
      <c r="M147" s="6" t="s">
        <v>213</v>
      </c>
      <c r="N147" s="6" t="s">
        <v>100</v>
      </c>
      <c r="O147" s="6" t="s">
        <v>101</v>
      </c>
      <c r="P147" s="19">
        <v>2</v>
      </c>
    </row>
    <row r="148" spans="8:16" ht="15.75" customHeight="1" x14ac:dyDescent="0.3">
      <c r="H148" s="6" t="s">
        <v>172</v>
      </c>
      <c r="I148" s="6" t="s">
        <v>58</v>
      </c>
      <c r="J148" s="6" t="s">
        <v>60</v>
      </c>
      <c r="K148" s="25" t="s">
        <v>169</v>
      </c>
      <c r="L148" s="6" t="s">
        <v>168</v>
      </c>
      <c r="M148" s="6" t="s">
        <v>213</v>
      </c>
      <c r="N148" s="6" t="s">
        <v>22</v>
      </c>
      <c r="O148" s="6" t="s">
        <v>104</v>
      </c>
      <c r="P148" s="17">
        <v>4.5</v>
      </c>
    </row>
    <row r="149" spans="8:16" ht="15.75" customHeight="1" x14ac:dyDescent="0.3">
      <c r="H149" s="6" t="s">
        <v>172</v>
      </c>
      <c r="I149" s="6" t="s">
        <v>72</v>
      </c>
      <c r="J149" s="6" t="s">
        <v>82</v>
      </c>
      <c r="K149" s="19">
        <v>0</v>
      </c>
      <c r="L149" s="6" t="s">
        <v>168</v>
      </c>
      <c r="M149" s="6" t="s">
        <v>213</v>
      </c>
      <c r="N149" s="6" t="s">
        <v>23</v>
      </c>
      <c r="O149" s="6" t="s">
        <v>107</v>
      </c>
      <c r="P149" s="17">
        <v>179.38409999999999</v>
      </c>
    </row>
    <row r="150" spans="8:16" ht="15.75" customHeight="1" x14ac:dyDescent="0.3">
      <c r="H150" s="6" t="s">
        <v>172</v>
      </c>
      <c r="I150" s="6" t="s">
        <v>85</v>
      </c>
      <c r="J150" s="6" t="s">
        <v>86</v>
      </c>
      <c r="K150" s="25" t="s">
        <v>169</v>
      </c>
      <c r="L150" s="6" t="s">
        <v>168</v>
      </c>
      <c r="M150" s="6" t="s">
        <v>213</v>
      </c>
      <c r="N150" s="6" t="s">
        <v>24</v>
      </c>
      <c r="O150" s="6" t="s">
        <v>109</v>
      </c>
      <c r="P150" s="17">
        <v>1.06E-2</v>
      </c>
    </row>
    <row r="151" spans="8:16" ht="15.75" customHeight="1" x14ac:dyDescent="0.3">
      <c r="H151" s="6" t="s">
        <v>172</v>
      </c>
      <c r="I151" s="6" t="s">
        <v>93</v>
      </c>
      <c r="J151" s="6" t="s">
        <v>94</v>
      </c>
      <c r="K151" s="25" t="s">
        <v>169</v>
      </c>
      <c r="L151" s="6" t="s">
        <v>168</v>
      </c>
      <c r="M151" s="6" t="s">
        <v>213</v>
      </c>
      <c r="N151" s="6" t="s">
        <v>25</v>
      </c>
      <c r="O151" s="6" t="s">
        <v>111</v>
      </c>
      <c r="P151" s="19">
        <v>12</v>
      </c>
    </row>
    <row r="152" spans="8:16" ht="15.75" customHeight="1" x14ac:dyDescent="0.3">
      <c r="H152" s="6" t="s">
        <v>172</v>
      </c>
      <c r="I152" s="6" t="s">
        <v>98</v>
      </c>
      <c r="J152" s="6" t="s">
        <v>99</v>
      </c>
      <c r="K152" s="25" t="s">
        <v>169</v>
      </c>
      <c r="L152" s="6" t="s">
        <v>168</v>
      </c>
      <c r="M152" s="6" t="s">
        <v>213</v>
      </c>
      <c r="N152" s="6" t="s">
        <v>26</v>
      </c>
      <c r="O152" s="6" t="s">
        <v>113</v>
      </c>
      <c r="P152" s="19">
        <v>10</v>
      </c>
    </row>
    <row r="153" spans="8:16" ht="15.75" customHeight="1" x14ac:dyDescent="0.3">
      <c r="H153" s="6" t="s">
        <v>172</v>
      </c>
      <c r="I153" s="6" t="s">
        <v>22</v>
      </c>
      <c r="J153" s="6" t="s">
        <v>103</v>
      </c>
      <c r="K153" s="25" t="s">
        <v>169</v>
      </c>
      <c r="L153" s="6" t="s">
        <v>168</v>
      </c>
      <c r="M153" s="6" t="s">
        <v>213</v>
      </c>
      <c r="N153" s="6" t="s">
        <v>27</v>
      </c>
      <c r="O153" s="6" t="s">
        <v>117</v>
      </c>
      <c r="P153" s="17">
        <v>39.863100000000003</v>
      </c>
    </row>
    <row r="154" spans="8:16" ht="15.75" customHeight="1" x14ac:dyDescent="0.3">
      <c r="H154" s="6" t="s">
        <v>172</v>
      </c>
      <c r="I154" s="6" t="s">
        <v>23</v>
      </c>
      <c r="J154" s="6" t="s">
        <v>106</v>
      </c>
      <c r="K154" s="25" t="s">
        <v>169</v>
      </c>
      <c r="L154" s="6" t="s">
        <v>168</v>
      </c>
      <c r="M154" s="6" t="s">
        <v>213</v>
      </c>
      <c r="N154" s="6" t="s">
        <v>29</v>
      </c>
      <c r="O154" s="6" t="s">
        <v>125</v>
      </c>
      <c r="P154" s="19">
        <v>6</v>
      </c>
    </row>
    <row r="155" spans="8:16" ht="15.75" customHeight="1" x14ac:dyDescent="0.3">
      <c r="H155" s="6" t="s">
        <v>172</v>
      </c>
      <c r="I155" s="6" t="s">
        <v>24</v>
      </c>
      <c r="J155" s="6" t="s">
        <v>108</v>
      </c>
      <c r="K155" s="25" t="s">
        <v>169</v>
      </c>
      <c r="L155" s="6" t="s">
        <v>168</v>
      </c>
      <c r="M155" s="6" t="s">
        <v>213</v>
      </c>
      <c r="N155" s="6" t="s">
        <v>135</v>
      </c>
      <c r="O155" s="6" t="s">
        <v>136</v>
      </c>
      <c r="P155" s="19">
        <v>0</v>
      </c>
    </row>
    <row r="156" spans="8:16" ht="15.75" customHeight="1" x14ac:dyDescent="0.3">
      <c r="H156" s="6" t="s">
        <v>172</v>
      </c>
      <c r="I156" s="6" t="s">
        <v>25</v>
      </c>
      <c r="J156" s="6" t="s">
        <v>110</v>
      </c>
      <c r="K156" s="25" t="s">
        <v>169</v>
      </c>
      <c r="L156" s="6" t="s">
        <v>168</v>
      </c>
      <c r="M156" s="6" t="s">
        <v>213</v>
      </c>
      <c r="N156" s="6" t="s">
        <v>138</v>
      </c>
      <c r="O156" s="6" t="s">
        <v>139</v>
      </c>
      <c r="P156" s="19">
        <v>1</v>
      </c>
    </row>
    <row r="157" spans="8:16" ht="15.75" customHeight="1" x14ac:dyDescent="0.3">
      <c r="H157" s="6" t="s">
        <v>172</v>
      </c>
      <c r="I157" s="6" t="s">
        <v>26</v>
      </c>
      <c r="J157" s="6" t="s">
        <v>112</v>
      </c>
      <c r="K157" s="25" t="s">
        <v>169</v>
      </c>
      <c r="L157" s="6" t="s">
        <v>168</v>
      </c>
      <c r="M157" s="6" t="s">
        <v>213</v>
      </c>
      <c r="N157" s="6" t="s">
        <v>30</v>
      </c>
      <c r="O157" s="6" t="s">
        <v>148</v>
      </c>
      <c r="P157" s="17">
        <v>71.791600000000003</v>
      </c>
    </row>
    <row r="158" spans="8:16" ht="15.75" customHeight="1" x14ac:dyDescent="0.3">
      <c r="H158" s="6" t="s">
        <v>172</v>
      </c>
      <c r="I158" s="6" t="s">
        <v>27</v>
      </c>
      <c r="J158" s="6" t="s">
        <v>114</v>
      </c>
      <c r="K158" s="25" t="s">
        <v>169</v>
      </c>
      <c r="L158" s="6" t="s">
        <v>168</v>
      </c>
      <c r="M158" s="6" t="s">
        <v>213</v>
      </c>
      <c r="N158" s="6" t="s">
        <v>156</v>
      </c>
      <c r="O158" s="6" t="s">
        <v>157</v>
      </c>
      <c r="P158" s="19">
        <v>0</v>
      </c>
    </row>
    <row r="159" spans="8:16" ht="15.75" customHeight="1" x14ac:dyDescent="0.3">
      <c r="H159" s="6" t="s">
        <v>172</v>
      </c>
      <c r="I159" s="6" t="s">
        <v>115</v>
      </c>
      <c r="J159" s="6" t="s">
        <v>121</v>
      </c>
      <c r="K159" s="25" t="s">
        <v>169</v>
      </c>
      <c r="L159" s="6" t="s">
        <v>168</v>
      </c>
      <c r="M159" s="6" t="s">
        <v>213</v>
      </c>
      <c r="N159" s="6" t="s">
        <v>158</v>
      </c>
      <c r="O159" s="6" t="s">
        <v>159</v>
      </c>
      <c r="P159" s="19">
        <v>2</v>
      </c>
    </row>
    <row r="160" spans="8:16" ht="15.75" customHeight="1" x14ac:dyDescent="0.3">
      <c r="H160" s="6" t="s">
        <v>172</v>
      </c>
      <c r="I160" s="6" t="s">
        <v>116</v>
      </c>
      <c r="J160" s="6" t="s">
        <v>132</v>
      </c>
      <c r="K160" s="19">
        <v>9</v>
      </c>
      <c r="L160" s="6" t="s">
        <v>168</v>
      </c>
      <c r="M160" s="6" t="s">
        <v>213</v>
      </c>
      <c r="N160" s="6" t="s">
        <v>160</v>
      </c>
      <c r="O160" s="6" t="s">
        <v>161</v>
      </c>
      <c r="P160" s="19">
        <v>4</v>
      </c>
    </row>
    <row r="161" spans="8:16" ht="15.75" customHeight="1" x14ac:dyDescent="0.3">
      <c r="H161" s="6" t="s">
        <v>172</v>
      </c>
      <c r="I161" s="6" t="s">
        <v>30</v>
      </c>
      <c r="J161" s="6" t="s">
        <v>137</v>
      </c>
      <c r="K161" s="25" t="s">
        <v>173</v>
      </c>
      <c r="L161" s="6" t="s">
        <v>168</v>
      </c>
      <c r="M161" s="6" t="s">
        <v>213</v>
      </c>
      <c r="N161" s="6" t="s">
        <v>162</v>
      </c>
      <c r="O161" s="6" t="s">
        <v>163</v>
      </c>
      <c r="P161" s="19">
        <v>1</v>
      </c>
    </row>
    <row r="162" spans="8:16" ht="15.75" customHeight="1" x14ac:dyDescent="0.3">
      <c r="H162" s="6" t="s">
        <v>172</v>
      </c>
      <c r="I162" s="6" t="s">
        <v>118</v>
      </c>
      <c r="J162" s="6" t="s">
        <v>140</v>
      </c>
      <c r="K162" s="25" t="s">
        <v>169</v>
      </c>
      <c r="L162" s="6" t="s">
        <v>168</v>
      </c>
      <c r="M162" s="6" t="s">
        <v>213</v>
      </c>
      <c r="N162" s="6" t="s">
        <v>165</v>
      </c>
      <c r="O162" s="6" t="s">
        <v>166</v>
      </c>
      <c r="P162" s="19">
        <v>0</v>
      </c>
    </row>
    <row r="163" spans="8:16" ht="15.75" customHeight="1" x14ac:dyDescent="0.3">
      <c r="H163" s="6" t="s">
        <v>172</v>
      </c>
      <c r="I163" s="6" t="s">
        <v>31</v>
      </c>
      <c r="J163" s="6" t="s">
        <v>141</v>
      </c>
      <c r="K163" s="19">
        <v>2</v>
      </c>
      <c r="L163" s="6" t="s">
        <v>168</v>
      </c>
      <c r="M163" s="6" t="s">
        <v>214</v>
      </c>
      <c r="N163" s="6" t="s">
        <v>72</v>
      </c>
      <c r="O163" s="6" t="s">
        <v>75</v>
      </c>
      <c r="P163" s="19">
        <v>10</v>
      </c>
    </row>
    <row r="164" spans="8:16" ht="15.75" customHeight="1" x14ac:dyDescent="0.3">
      <c r="H164" s="6" t="s">
        <v>172</v>
      </c>
      <c r="I164" s="6" t="s">
        <v>119</v>
      </c>
      <c r="J164" s="6" t="s">
        <v>142</v>
      </c>
      <c r="K164" s="25" t="s">
        <v>169</v>
      </c>
      <c r="L164" s="6" t="s">
        <v>168</v>
      </c>
      <c r="M164" s="6" t="s">
        <v>214</v>
      </c>
      <c r="N164" s="6" t="s">
        <v>83</v>
      </c>
      <c r="O164" s="6" t="s">
        <v>84</v>
      </c>
      <c r="P164" s="19">
        <v>1</v>
      </c>
    </row>
    <row r="165" spans="8:16" ht="15.75" customHeight="1" x14ac:dyDescent="0.3">
      <c r="H165" s="6" t="s">
        <v>172</v>
      </c>
      <c r="I165" s="6" t="s">
        <v>120</v>
      </c>
      <c r="J165" s="6" t="s">
        <v>143</v>
      </c>
      <c r="K165" s="25" t="s">
        <v>169</v>
      </c>
      <c r="L165" s="6" t="s">
        <v>168</v>
      </c>
      <c r="M165" s="6" t="s">
        <v>214</v>
      </c>
      <c r="N165" s="6" t="s">
        <v>88</v>
      </c>
      <c r="O165" s="6" t="s">
        <v>90</v>
      </c>
      <c r="P165" s="17">
        <v>0.35709999999999997</v>
      </c>
    </row>
    <row r="166" spans="8:16" ht="15.75" customHeight="1" x14ac:dyDescent="0.3">
      <c r="H166" s="6" t="s">
        <v>172</v>
      </c>
      <c r="I166" s="6" t="s">
        <v>122</v>
      </c>
      <c r="J166" s="6" t="s">
        <v>144</v>
      </c>
      <c r="K166" s="25" t="s">
        <v>169</v>
      </c>
      <c r="L166" s="6" t="s">
        <v>168</v>
      </c>
      <c r="M166" s="6" t="s">
        <v>214</v>
      </c>
      <c r="N166" s="6" t="s">
        <v>96</v>
      </c>
      <c r="O166" s="6" t="s">
        <v>97</v>
      </c>
      <c r="P166" s="19">
        <v>12</v>
      </c>
    </row>
    <row r="167" spans="8:16" ht="15.75" customHeight="1" x14ac:dyDescent="0.3">
      <c r="H167" s="6" t="s">
        <v>172</v>
      </c>
      <c r="I167" s="6" t="s">
        <v>123</v>
      </c>
      <c r="J167" s="6" t="s">
        <v>145</v>
      </c>
      <c r="K167" s="25" t="s">
        <v>169</v>
      </c>
      <c r="L167" s="6" t="s">
        <v>168</v>
      </c>
      <c r="M167" s="6" t="s">
        <v>214</v>
      </c>
      <c r="N167" s="6" t="s">
        <v>100</v>
      </c>
      <c r="O167" s="6" t="s">
        <v>101</v>
      </c>
      <c r="P167" s="19">
        <v>2</v>
      </c>
    </row>
    <row r="168" spans="8:16" ht="15.75" customHeight="1" x14ac:dyDescent="0.3">
      <c r="H168" s="6" t="s">
        <v>172</v>
      </c>
      <c r="I168" s="6" t="s">
        <v>124</v>
      </c>
      <c r="J168" s="6" t="s">
        <v>146</v>
      </c>
      <c r="K168" s="25" t="s">
        <v>169</v>
      </c>
      <c r="L168" s="6" t="s">
        <v>168</v>
      </c>
      <c r="M168" s="6" t="s">
        <v>214</v>
      </c>
      <c r="N168" s="6" t="s">
        <v>22</v>
      </c>
      <c r="O168" s="6" t="s">
        <v>104</v>
      </c>
      <c r="P168" s="17">
        <v>37.285699999999999</v>
      </c>
    </row>
    <row r="169" spans="8:16" ht="15.75" customHeight="1" x14ac:dyDescent="0.3">
      <c r="H169" s="6" t="s">
        <v>172</v>
      </c>
      <c r="I169" s="6" t="s">
        <v>126</v>
      </c>
      <c r="J169" s="6" t="s">
        <v>147</v>
      </c>
      <c r="K169" s="25" t="s">
        <v>169</v>
      </c>
      <c r="L169" s="6" t="s">
        <v>168</v>
      </c>
      <c r="M169" s="6" t="s">
        <v>214</v>
      </c>
      <c r="N169" s="6" t="s">
        <v>23</v>
      </c>
      <c r="O169" s="6" t="s">
        <v>107</v>
      </c>
      <c r="P169" s="17">
        <v>15983.4504</v>
      </c>
    </row>
    <row r="170" spans="8:16" ht="15.75" customHeight="1" x14ac:dyDescent="0.3">
      <c r="H170" s="6" t="s">
        <v>172</v>
      </c>
      <c r="I170" s="6" t="s">
        <v>127</v>
      </c>
      <c r="J170" s="6" t="s">
        <v>149</v>
      </c>
      <c r="K170" s="25" t="s">
        <v>169</v>
      </c>
      <c r="L170" s="6" t="s">
        <v>168</v>
      </c>
      <c r="M170" s="6" t="s">
        <v>214</v>
      </c>
      <c r="N170" s="6" t="s">
        <v>24</v>
      </c>
      <c r="O170" s="6" t="s">
        <v>109</v>
      </c>
      <c r="P170" s="17">
        <v>0.21149999999999999</v>
      </c>
    </row>
    <row r="171" spans="8:16" ht="15.75" customHeight="1" x14ac:dyDescent="0.3">
      <c r="H171" s="6" t="s">
        <v>172</v>
      </c>
      <c r="I171" s="6" t="s">
        <v>128</v>
      </c>
      <c r="J171" s="6" t="s">
        <v>150</v>
      </c>
      <c r="K171" s="25" t="s">
        <v>169</v>
      </c>
      <c r="L171" s="6" t="s">
        <v>168</v>
      </c>
      <c r="M171" s="6" t="s">
        <v>214</v>
      </c>
      <c r="N171" s="6" t="s">
        <v>25</v>
      </c>
      <c r="O171" s="6" t="s">
        <v>111</v>
      </c>
      <c r="P171" s="19">
        <v>79</v>
      </c>
    </row>
    <row r="172" spans="8:16" ht="15.75" customHeight="1" x14ac:dyDescent="0.3">
      <c r="H172" s="6" t="s">
        <v>172</v>
      </c>
      <c r="I172" s="6" t="s">
        <v>129</v>
      </c>
      <c r="J172" s="6" t="s">
        <v>151</v>
      </c>
      <c r="K172" s="25" t="s">
        <v>169</v>
      </c>
      <c r="L172" s="6" t="s">
        <v>168</v>
      </c>
      <c r="M172" s="6" t="s">
        <v>214</v>
      </c>
      <c r="N172" s="6" t="s">
        <v>26</v>
      </c>
      <c r="O172" s="6" t="s">
        <v>113</v>
      </c>
      <c r="P172" s="19">
        <v>43</v>
      </c>
    </row>
    <row r="173" spans="8:16" ht="15.75" customHeight="1" x14ac:dyDescent="0.3">
      <c r="H173" s="6" t="s">
        <v>172</v>
      </c>
      <c r="I173" s="6" t="s">
        <v>130</v>
      </c>
      <c r="J173" s="6" t="s">
        <v>152</v>
      </c>
      <c r="K173" s="25" t="s">
        <v>169</v>
      </c>
      <c r="L173" s="6" t="s">
        <v>168</v>
      </c>
      <c r="M173" s="6" t="s">
        <v>214</v>
      </c>
      <c r="N173" s="6" t="s">
        <v>27</v>
      </c>
      <c r="O173" s="6" t="s">
        <v>117</v>
      </c>
      <c r="P173" s="17">
        <v>428.67489999999998</v>
      </c>
    </row>
    <row r="174" spans="8:16" ht="15.75" customHeight="1" x14ac:dyDescent="0.3">
      <c r="H174" s="6" t="s">
        <v>172</v>
      </c>
      <c r="I174" s="6" t="s">
        <v>131</v>
      </c>
      <c r="J174" s="6" t="s">
        <v>153</v>
      </c>
      <c r="K174" s="25" t="s">
        <v>169</v>
      </c>
      <c r="L174" s="6" t="s">
        <v>168</v>
      </c>
      <c r="M174" s="6" t="s">
        <v>214</v>
      </c>
      <c r="N174" s="6" t="s">
        <v>29</v>
      </c>
      <c r="O174" s="6" t="s">
        <v>125</v>
      </c>
      <c r="P174" s="19">
        <v>29</v>
      </c>
    </row>
    <row r="175" spans="8:16" ht="15.75" customHeight="1" x14ac:dyDescent="0.3">
      <c r="H175" s="6" t="s">
        <v>172</v>
      </c>
      <c r="I175" s="6" t="s">
        <v>133</v>
      </c>
      <c r="J175" s="6" t="s">
        <v>154</v>
      </c>
      <c r="K175" s="25" t="s">
        <v>169</v>
      </c>
      <c r="L175" s="6" t="s">
        <v>168</v>
      </c>
      <c r="M175" s="6" t="s">
        <v>214</v>
      </c>
      <c r="N175" s="6" t="s">
        <v>135</v>
      </c>
      <c r="O175" s="6" t="s">
        <v>136</v>
      </c>
      <c r="P175" s="19">
        <v>0</v>
      </c>
    </row>
    <row r="176" spans="8:16" ht="15.75" customHeight="1" x14ac:dyDescent="0.3">
      <c r="H176" s="6" t="s">
        <v>172</v>
      </c>
      <c r="I176" s="6" t="s">
        <v>134</v>
      </c>
      <c r="J176" s="6" t="s">
        <v>155</v>
      </c>
      <c r="K176" s="25" t="s">
        <v>169</v>
      </c>
      <c r="L176" s="6" t="s">
        <v>168</v>
      </c>
      <c r="M176" s="6" t="s">
        <v>214</v>
      </c>
      <c r="N176" s="6" t="s">
        <v>138</v>
      </c>
      <c r="O176" s="6" t="s">
        <v>139</v>
      </c>
      <c r="P176" s="19">
        <v>3</v>
      </c>
    </row>
    <row r="177" spans="8:16" ht="15.75" customHeight="1" x14ac:dyDescent="0.3">
      <c r="H177" s="6" t="s">
        <v>174</v>
      </c>
      <c r="I177" s="6" t="s">
        <v>58</v>
      </c>
      <c r="J177" s="6" t="s">
        <v>60</v>
      </c>
      <c r="K177" s="25" t="s">
        <v>169</v>
      </c>
      <c r="L177" s="6" t="s">
        <v>168</v>
      </c>
      <c r="M177" s="6" t="s">
        <v>214</v>
      </c>
      <c r="N177" s="6" t="s">
        <v>30</v>
      </c>
      <c r="O177" s="6" t="s">
        <v>148</v>
      </c>
      <c r="P177" s="17">
        <v>49.351399999999998</v>
      </c>
    </row>
    <row r="178" spans="8:16" ht="15.75" customHeight="1" x14ac:dyDescent="0.3">
      <c r="H178" s="6" t="s">
        <v>174</v>
      </c>
      <c r="I178" s="6" t="s">
        <v>72</v>
      </c>
      <c r="J178" s="6" t="s">
        <v>82</v>
      </c>
      <c r="K178" s="19">
        <v>1</v>
      </c>
      <c r="L178" s="6" t="s">
        <v>168</v>
      </c>
      <c r="M178" s="6" t="s">
        <v>214</v>
      </c>
      <c r="N178" s="6" t="s">
        <v>156</v>
      </c>
      <c r="O178" s="6" t="s">
        <v>157</v>
      </c>
      <c r="P178" s="19">
        <v>2</v>
      </c>
    </row>
    <row r="179" spans="8:16" ht="15.75" customHeight="1" x14ac:dyDescent="0.3">
      <c r="H179" s="6" t="s">
        <v>174</v>
      </c>
      <c r="I179" s="6" t="s">
        <v>85</v>
      </c>
      <c r="J179" s="6" t="s">
        <v>86</v>
      </c>
      <c r="K179" s="25" t="s">
        <v>169</v>
      </c>
      <c r="L179" s="6" t="s">
        <v>168</v>
      </c>
      <c r="M179" s="6" t="s">
        <v>214</v>
      </c>
      <c r="N179" s="6" t="s">
        <v>158</v>
      </c>
      <c r="O179" s="6" t="s">
        <v>159</v>
      </c>
      <c r="P179" s="19">
        <v>11</v>
      </c>
    </row>
    <row r="180" spans="8:16" ht="15.75" customHeight="1" x14ac:dyDescent="0.3">
      <c r="H180" s="6" t="s">
        <v>174</v>
      </c>
      <c r="I180" s="6" t="s">
        <v>93</v>
      </c>
      <c r="J180" s="6" t="s">
        <v>94</v>
      </c>
      <c r="K180" s="25" t="s">
        <v>169</v>
      </c>
      <c r="L180" s="6" t="s">
        <v>168</v>
      </c>
      <c r="M180" s="6" t="s">
        <v>214</v>
      </c>
      <c r="N180" s="6" t="s">
        <v>160</v>
      </c>
      <c r="O180" s="6" t="s">
        <v>161</v>
      </c>
      <c r="P180" s="19">
        <v>12</v>
      </c>
    </row>
    <row r="181" spans="8:16" ht="15.75" customHeight="1" x14ac:dyDescent="0.3">
      <c r="H181" s="6" t="s">
        <v>174</v>
      </c>
      <c r="I181" s="6" t="s">
        <v>98</v>
      </c>
      <c r="J181" s="6" t="s">
        <v>99</v>
      </c>
      <c r="K181" s="25" t="s">
        <v>169</v>
      </c>
      <c r="L181" s="6" t="s">
        <v>168</v>
      </c>
      <c r="M181" s="6" t="s">
        <v>214</v>
      </c>
      <c r="N181" s="6" t="s">
        <v>162</v>
      </c>
      <c r="O181" s="6" t="s">
        <v>163</v>
      </c>
      <c r="P181" s="19">
        <v>3</v>
      </c>
    </row>
    <row r="182" spans="8:16" ht="15.75" customHeight="1" x14ac:dyDescent="0.3">
      <c r="H182" s="6" t="s">
        <v>174</v>
      </c>
      <c r="I182" s="6" t="s">
        <v>22</v>
      </c>
      <c r="J182" s="6" t="s">
        <v>103</v>
      </c>
      <c r="K182" s="25" t="s">
        <v>169</v>
      </c>
      <c r="L182" s="6" t="s">
        <v>168</v>
      </c>
      <c r="M182" s="6" t="s">
        <v>214</v>
      </c>
      <c r="N182" s="6" t="s">
        <v>165</v>
      </c>
      <c r="O182" s="6" t="s">
        <v>166</v>
      </c>
      <c r="P182" s="19">
        <v>1</v>
      </c>
    </row>
    <row r="183" spans="8:16" ht="15.75" customHeight="1" x14ac:dyDescent="0.3">
      <c r="H183" s="6" t="s">
        <v>174</v>
      </c>
      <c r="I183" s="6" t="s">
        <v>23</v>
      </c>
      <c r="J183" s="6" t="s">
        <v>106</v>
      </c>
      <c r="K183" s="25" t="s">
        <v>169</v>
      </c>
      <c r="L183" s="6" t="s">
        <v>168</v>
      </c>
      <c r="M183" s="6" t="s">
        <v>215</v>
      </c>
      <c r="N183" s="6" t="s">
        <v>72</v>
      </c>
      <c r="O183" s="6" t="s">
        <v>75</v>
      </c>
      <c r="P183" s="19">
        <v>9</v>
      </c>
    </row>
    <row r="184" spans="8:16" ht="15.75" customHeight="1" x14ac:dyDescent="0.3">
      <c r="H184" s="6" t="s">
        <v>174</v>
      </c>
      <c r="I184" s="6" t="s">
        <v>24</v>
      </c>
      <c r="J184" s="6" t="s">
        <v>108</v>
      </c>
      <c r="K184" s="25" t="s">
        <v>169</v>
      </c>
      <c r="L184" s="6" t="s">
        <v>168</v>
      </c>
      <c r="M184" s="6" t="s">
        <v>215</v>
      </c>
      <c r="N184" s="6" t="s">
        <v>83</v>
      </c>
      <c r="O184" s="6" t="s">
        <v>84</v>
      </c>
      <c r="P184" s="19">
        <v>1</v>
      </c>
    </row>
    <row r="185" spans="8:16" ht="15.75" customHeight="1" x14ac:dyDescent="0.3">
      <c r="H185" s="6" t="s">
        <v>174</v>
      </c>
      <c r="I185" s="6" t="s">
        <v>25</v>
      </c>
      <c r="J185" s="6" t="s">
        <v>110</v>
      </c>
      <c r="K185" s="25" t="s">
        <v>169</v>
      </c>
      <c r="L185" s="6" t="s">
        <v>168</v>
      </c>
      <c r="M185" s="6" t="s">
        <v>215</v>
      </c>
      <c r="N185" s="6" t="s">
        <v>88</v>
      </c>
      <c r="O185" s="6" t="s">
        <v>90</v>
      </c>
      <c r="P185" s="17">
        <v>0.44440000000000002</v>
      </c>
    </row>
    <row r="186" spans="8:16" ht="15.75" customHeight="1" x14ac:dyDescent="0.3">
      <c r="H186" s="6" t="s">
        <v>174</v>
      </c>
      <c r="I186" s="6" t="s">
        <v>26</v>
      </c>
      <c r="J186" s="6" t="s">
        <v>112</v>
      </c>
      <c r="K186" s="25" t="s">
        <v>169</v>
      </c>
      <c r="L186" s="6" t="s">
        <v>168</v>
      </c>
      <c r="M186" s="6" t="s">
        <v>215</v>
      </c>
      <c r="N186" s="6" t="s">
        <v>96</v>
      </c>
      <c r="O186" s="6" t="s">
        <v>97</v>
      </c>
      <c r="P186" s="19">
        <v>7</v>
      </c>
    </row>
    <row r="187" spans="8:16" ht="15.75" customHeight="1" x14ac:dyDescent="0.3">
      <c r="H187" s="6" t="s">
        <v>174</v>
      </c>
      <c r="I187" s="6" t="s">
        <v>27</v>
      </c>
      <c r="J187" s="6" t="s">
        <v>114</v>
      </c>
      <c r="K187" s="25" t="s">
        <v>169</v>
      </c>
      <c r="L187" s="6" t="s">
        <v>168</v>
      </c>
      <c r="M187" s="6" t="s">
        <v>215</v>
      </c>
      <c r="N187" s="6" t="s">
        <v>100</v>
      </c>
      <c r="O187" s="6" t="s">
        <v>101</v>
      </c>
      <c r="P187" s="19">
        <v>1</v>
      </c>
    </row>
    <row r="188" spans="8:16" ht="15.75" customHeight="1" x14ac:dyDescent="0.3">
      <c r="H188" s="6" t="s">
        <v>174</v>
      </c>
      <c r="I188" s="6" t="s">
        <v>115</v>
      </c>
      <c r="J188" s="6" t="s">
        <v>121</v>
      </c>
      <c r="K188" s="25" t="s">
        <v>169</v>
      </c>
      <c r="L188" s="6" t="s">
        <v>168</v>
      </c>
      <c r="M188" s="6" t="s">
        <v>215</v>
      </c>
      <c r="N188" s="6" t="s">
        <v>22</v>
      </c>
      <c r="O188" s="6" t="s">
        <v>104</v>
      </c>
      <c r="P188" s="17">
        <v>22.142900000000001</v>
      </c>
    </row>
    <row r="189" spans="8:16" ht="15.75" customHeight="1" x14ac:dyDescent="0.3">
      <c r="H189" s="6" t="s">
        <v>174</v>
      </c>
      <c r="I189" s="6" t="s">
        <v>116</v>
      </c>
      <c r="J189" s="6" t="s">
        <v>132</v>
      </c>
      <c r="K189" s="19">
        <v>66</v>
      </c>
      <c r="L189" s="6" t="s">
        <v>168</v>
      </c>
      <c r="M189" s="6" t="s">
        <v>215</v>
      </c>
      <c r="N189" s="6" t="s">
        <v>23</v>
      </c>
      <c r="O189" s="6" t="s">
        <v>107</v>
      </c>
      <c r="P189" s="17">
        <v>7322.3126000000002</v>
      </c>
    </row>
    <row r="190" spans="8:16" ht="15.75" customHeight="1" x14ac:dyDescent="0.3">
      <c r="H190" s="6" t="s">
        <v>174</v>
      </c>
      <c r="I190" s="6" t="s">
        <v>30</v>
      </c>
      <c r="J190" s="6" t="s">
        <v>137</v>
      </c>
      <c r="K190" s="25" t="s">
        <v>173</v>
      </c>
      <c r="L190" s="6" t="s">
        <v>168</v>
      </c>
      <c r="M190" s="6" t="s">
        <v>215</v>
      </c>
      <c r="N190" s="6" t="s">
        <v>24</v>
      </c>
      <c r="O190" s="6" t="s">
        <v>109</v>
      </c>
      <c r="P190" s="17">
        <v>0.12570000000000001</v>
      </c>
    </row>
    <row r="191" spans="8:16" ht="15.75" customHeight="1" x14ac:dyDescent="0.3">
      <c r="H191" s="6" t="s">
        <v>174</v>
      </c>
      <c r="I191" s="6" t="s">
        <v>118</v>
      </c>
      <c r="J191" s="6" t="s">
        <v>140</v>
      </c>
      <c r="K191" s="25" t="s">
        <v>169</v>
      </c>
      <c r="L191" s="6" t="s">
        <v>168</v>
      </c>
      <c r="M191" s="6" t="s">
        <v>215</v>
      </c>
      <c r="N191" s="6" t="s">
        <v>25</v>
      </c>
      <c r="O191" s="6" t="s">
        <v>111</v>
      </c>
      <c r="P191" s="19">
        <v>65</v>
      </c>
    </row>
    <row r="192" spans="8:16" ht="15.75" customHeight="1" x14ac:dyDescent="0.3">
      <c r="H192" s="6" t="s">
        <v>174</v>
      </c>
      <c r="I192" s="6" t="s">
        <v>31</v>
      </c>
      <c r="J192" s="6" t="s">
        <v>141</v>
      </c>
      <c r="K192" s="19">
        <v>23</v>
      </c>
      <c r="L192" s="6" t="s">
        <v>168</v>
      </c>
      <c r="M192" s="6" t="s">
        <v>215</v>
      </c>
      <c r="N192" s="6" t="s">
        <v>26</v>
      </c>
      <c r="O192" s="6" t="s">
        <v>113</v>
      </c>
      <c r="P192" s="19">
        <v>34</v>
      </c>
    </row>
    <row r="193" spans="8:16" ht="15.75" customHeight="1" x14ac:dyDescent="0.3">
      <c r="H193" s="6" t="s">
        <v>174</v>
      </c>
      <c r="I193" s="6" t="s">
        <v>119</v>
      </c>
      <c r="J193" s="6" t="s">
        <v>142</v>
      </c>
      <c r="K193" s="25" t="s">
        <v>169</v>
      </c>
      <c r="L193" s="6" t="s">
        <v>168</v>
      </c>
      <c r="M193" s="6" t="s">
        <v>215</v>
      </c>
      <c r="N193" s="6" t="s">
        <v>27</v>
      </c>
      <c r="O193" s="6" t="s">
        <v>117</v>
      </c>
      <c r="P193" s="17">
        <v>330.68509999999998</v>
      </c>
    </row>
    <row r="194" spans="8:16" ht="15.75" customHeight="1" x14ac:dyDescent="0.3">
      <c r="H194" s="6" t="s">
        <v>174</v>
      </c>
      <c r="I194" s="6" t="s">
        <v>120</v>
      </c>
      <c r="J194" s="6" t="s">
        <v>143</v>
      </c>
      <c r="K194" s="25" t="s">
        <v>169</v>
      </c>
      <c r="L194" s="6" t="s">
        <v>168</v>
      </c>
      <c r="M194" s="6" t="s">
        <v>215</v>
      </c>
      <c r="N194" s="6" t="s">
        <v>29</v>
      </c>
      <c r="O194" s="6" t="s">
        <v>125</v>
      </c>
      <c r="P194" s="19">
        <v>29</v>
      </c>
    </row>
    <row r="195" spans="8:16" ht="15.75" customHeight="1" x14ac:dyDescent="0.3">
      <c r="H195" s="6" t="s">
        <v>174</v>
      </c>
      <c r="I195" s="6" t="s">
        <v>122</v>
      </c>
      <c r="J195" s="6" t="s">
        <v>144</v>
      </c>
      <c r="K195" s="25" t="s">
        <v>169</v>
      </c>
      <c r="L195" s="6" t="s">
        <v>168</v>
      </c>
      <c r="M195" s="6" t="s">
        <v>215</v>
      </c>
      <c r="N195" s="6" t="s">
        <v>135</v>
      </c>
      <c r="O195" s="6" t="s">
        <v>136</v>
      </c>
      <c r="P195" s="19">
        <v>0</v>
      </c>
    </row>
    <row r="196" spans="8:16" ht="15.75" customHeight="1" x14ac:dyDescent="0.3">
      <c r="H196" s="6" t="s">
        <v>174</v>
      </c>
      <c r="I196" s="6" t="s">
        <v>123</v>
      </c>
      <c r="J196" s="6" t="s">
        <v>145</v>
      </c>
      <c r="K196" s="25" t="s">
        <v>169</v>
      </c>
      <c r="L196" s="6" t="s">
        <v>168</v>
      </c>
      <c r="M196" s="6" t="s">
        <v>215</v>
      </c>
      <c r="N196" s="6" t="s">
        <v>138</v>
      </c>
      <c r="O196" s="6" t="s">
        <v>139</v>
      </c>
      <c r="P196" s="19">
        <v>2</v>
      </c>
    </row>
    <row r="197" spans="8:16" ht="15.75" customHeight="1" x14ac:dyDescent="0.3">
      <c r="H197" s="6" t="s">
        <v>174</v>
      </c>
      <c r="I197" s="6" t="s">
        <v>124</v>
      </c>
      <c r="J197" s="6" t="s">
        <v>146</v>
      </c>
      <c r="K197" s="25" t="s">
        <v>169</v>
      </c>
      <c r="L197" s="6" t="s">
        <v>168</v>
      </c>
      <c r="M197" s="6" t="s">
        <v>215</v>
      </c>
      <c r="N197" s="6" t="s">
        <v>30</v>
      </c>
      <c r="O197" s="6" t="s">
        <v>148</v>
      </c>
      <c r="P197" s="17">
        <v>50.154899999999998</v>
      </c>
    </row>
    <row r="198" spans="8:16" ht="15.75" customHeight="1" x14ac:dyDescent="0.3">
      <c r="H198" s="6" t="s">
        <v>174</v>
      </c>
      <c r="I198" s="6" t="s">
        <v>126</v>
      </c>
      <c r="J198" s="6" t="s">
        <v>147</v>
      </c>
      <c r="K198" s="25" t="s">
        <v>169</v>
      </c>
      <c r="L198" s="6" t="s">
        <v>168</v>
      </c>
      <c r="M198" s="6" t="s">
        <v>215</v>
      </c>
      <c r="N198" s="6" t="s">
        <v>156</v>
      </c>
      <c r="O198" s="6" t="s">
        <v>157</v>
      </c>
      <c r="P198" s="19">
        <v>1</v>
      </c>
    </row>
    <row r="199" spans="8:16" ht="15.75" customHeight="1" x14ac:dyDescent="0.3">
      <c r="H199" s="6" t="s">
        <v>174</v>
      </c>
      <c r="I199" s="6" t="s">
        <v>127</v>
      </c>
      <c r="J199" s="6" t="s">
        <v>149</v>
      </c>
      <c r="K199" s="25" t="s">
        <v>169</v>
      </c>
      <c r="L199" s="6" t="s">
        <v>168</v>
      </c>
      <c r="M199" s="6" t="s">
        <v>215</v>
      </c>
      <c r="N199" s="6" t="s">
        <v>158</v>
      </c>
      <c r="O199" s="6" t="s">
        <v>159</v>
      </c>
      <c r="P199" s="19">
        <v>10</v>
      </c>
    </row>
    <row r="200" spans="8:16" ht="15.75" customHeight="1" x14ac:dyDescent="0.3">
      <c r="H200" s="6" t="s">
        <v>174</v>
      </c>
      <c r="I200" s="6" t="s">
        <v>128</v>
      </c>
      <c r="J200" s="6" t="s">
        <v>150</v>
      </c>
      <c r="K200" s="25" t="s">
        <v>169</v>
      </c>
      <c r="L200" s="6" t="s">
        <v>168</v>
      </c>
      <c r="M200" s="6" t="s">
        <v>215</v>
      </c>
      <c r="N200" s="6" t="s">
        <v>160</v>
      </c>
      <c r="O200" s="6" t="s">
        <v>161</v>
      </c>
      <c r="P200" s="19">
        <v>15</v>
      </c>
    </row>
    <row r="201" spans="8:16" ht="15.75" customHeight="1" x14ac:dyDescent="0.3">
      <c r="H201" s="6" t="s">
        <v>174</v>
      </c>
      <c r="I201" s="6" t="s">
        <v>129</v>
      </c>
      <c r="J201" s="6" t="s">
        <v>151</v>
      </c>
      <c r="K201" s="25" t="s">
        <v>169</v>
      </c>
      <c r="L201" s="6" t="s">
        <v>168</v>
      </c>
      <c r="M201" s="6" t="s">
        <v>215</v>
      </c>
      <c r="N201" s="6" t="s">
        <v>162</v>
      </c>
      <c r="O201" s="6" t="s">
        <v>163</v>
      </c>
      <c r="P201" s="19">
        <v>6</v>
      </c>
    </row>
    <row r="202" spans="8:16" ht="15.75" customHeight="1" x14ac:dyDescent="0.3">
      <c r="H202" s="6" t="s">
        <v>174</v>
      </c>
      <c r="I202" s="6" t="s">
        <v>130</v>
      </c>
      <c r="J202" s="6" t="s">
        <v>152</v>
      </c>
      <c r="K202" s="25" t="s">
        <v>169</v>
      </c>
      <c r="L202" s="6" t="s">
        <v>168</v>
      </c>
      <c r="M202" s="6" t="s">
        <v>215</v>
      </c>
      <c r="N202" s="6" t="s">
        <v>165</v>
      </c>
      <c r="O202" s="6" t="s">
        <v>166</v>
      </c>
      <c r="P202" s="19">
        <v>2</v>
      </c>
    </row>
    <row r="203" spans="8:16" ht="15.75" customHeight="1" x14ac:dyDescent="0.3">
      <c r="H203" s="6" t="s">
        <v>174</v>
      </c>
      <c r="I203" s="6" t="s">
        <v>131</v>
      </c>
      <c r="J203" s="6" t="s">
        <v>153</v>
      </c>
      <c r="K203" s="25" t="s">
        <v>169</v>
      </c>
      <c r="L203" s="6" t="s">
        <v>168</v>
      </c>
      <c r="M203" s="6" t="s">
        <v>216</v>
      </c>
      <c r="N203" s="6" t="s">
        <v>72</v>
      </c>
      <c r="O203" s="6" t="s">
        <v>75</v>
      </c>
      <c r="P203" s="19">
        <v>1</v>
      </c>
    </row>
    <row r="204" spans="8:16" ht="15.75" customHeight="1" x14ac:dyDescent="0.3">
      <c r="H204" s="6" t="s">
        <v>174</v>
      </c>
      <c r="I204" s="6" t="s">
        <v>133</v>
      </c>
      <c r="J204" s="6" t="s">
        <v>154</v>
      </c>
      <c r="K204" s="25" t="s">
        <v>169</v>
      </c>
      <c r="L204" s="6" t="s">
        <v>168</v>
      </c>
      <c r="M204" s="6" t="s">
        <v>216</v>
      </c>
      <c r="N204" s="6" t="s">
        <v>83</v>
      </c>
      <c r="O204" s="6" t="s">
        <v>84</v>
      </c>
      <c r="P204" s="19">
        <v>1</v>
      </c>
    </row>
    <row r="205" spans="8:16" ht="15.75" customHeight="1" x14ac:dyDescent="0.3">
      <c r="H205" s="6" t="s">
        <v>174</v>
      </c>
      <c r="I205" s="6" t="s">
        <v>134</v>
      </c>
      <c r="J205" s="6" t="s">
        <v>155</v>
      </c>
      <c r="K205" s="25" t="s">
        <v>169</v>
      </c>
      <c r="L205" s="6" t="s">
        <v>168</v>
      </c>
      <c r="M205" s="6" t="s">
        <v>216</v>
      </c>
      <c r="N205" s="6" t="s">
        <v>88</v>
      </c>
      <c r="O205" s="6" t="s">
        <v>90</v>
      </c>
      <c r="P205" s="17">
        <v>0.33329999999999999</v>
      </c>
    </row>
    <row r="206" spans="8:16" ht="15.75" customHeight="1" x14ac:dyDescent="0.3">
      <c r="H206" s="6" t="s">
        <v>175</v>
      </c>
      <c r="I206" s="6" t="s">
        <v>58</v>
      </c>
      <c r="J206" s="6" t="s">
        <v>60</v>
      </c>
      <c r="K206" s="19">
        <v>2</v>
      </c>
      <c r="L206" s="6" t="s">
        <v>168</v>
      </c>
      <c r="M206" s="6" t="s">
        <v>216</v>
      </c>
      <c r="N206" s="6" t="s">
        <v>96</v>
      </c>
      <c r="O206" s="6" t="s">
        <v>97</v>
      </c>
      <c r="P206" s="19">
        <v>3</v>
      </c>
    </row>
    <row r="207" spans="8:16" ht="15.75" customHeight="1" x14ac:dyDescent="0.3">
      <c r="H207" s="6" t="s">
        <v>175</v>
      </c>
      <c r="I207" s="6" t="s">
        <v>72</v>
      </c>
      <c r="J207" s="6" t="s">
        <v>82</v>
      </c>
      <c r="K207" s="19">
        <v>17</v>
      </c>
      <c r="L207" s="6" t="s">
        <v>168</v>
      </c>
      <c r="M207" s="6" t="s">
        <v>216</v>
      </c>
      <c r="N207" s="6" t="s">
        <v>100</v>
      </c>
      <c r="O207" s="6" t="s">
        <v>101</v>
      </c>
      <c r="P207" s="19">
        <v>0</v>
      </c>
    </row>
    <row r="208" spans="8:16" ht="15.75" customHeight="1" x14ac:dyDescent="0.3">
      <c r="H208" s="6" t="s">
        <v>175</v>
      </c>
      <c r="I208" s="6" t="s">
        <v>85</v>
      </c>
      <c r="J208" s="6" t="s">
        <v>86</v>
      </c>
      <c r="K208" s="19">
        <v>10</v>
      </c>
      <c r="L208" s="6" t="s">
        <v>168</v>
      </c>
      <c r="M208" s="6" t="s">
        <v>216</v>
      </c>
      <c r="N208" s="6" t="s">
        <v>22</v>
      </c>
      <c r="O208" s="6" t="s">
        <v>104</v>
      </c>
      <c r="P208" s="17">
        <v>5.8333000000000004</v>
      </c>
    </row>
    <row r="209" spans="8:16" ht="15.75" customHeight="1" x14ac:dyDescent="0.3">
      <c r="H209" s="6" t="s">
        <v>175</v>
      </c>
      <c r="I209" s="6" t="s">
        <v>93</v>
      </c>
      <c r="J209" s="6" t="s">
        <v>94</v>
      </c>
      <c r="K209" s="19">
        <v>1</v>
      </c>
      <c r="L209" s="6" t="s">
        <v>168</v>
      </c>
      <c r="M209" s="6" t="s">
        <v>216</v>
      </c>
      <c r="N209" s="6" t="s">
        <v>23</v>
      </c>
      <c r="O209" s="6" t="s">
        <v>107</v>
      </c>
      <c r="P209" s="17">
        <v>232.535</v>
      </c>
    </row>
    <row r="210" spans="8:16" ht="15.75" customHeight="1" x14ac:dyDescent="0.3">
      <c r="H210" s="6" t="s">
        <v>175</v>
      </c>
      <c r="I210" s="6" t="s">
        <v>98</v>
      </c>
      <c r="J210" s="6" t="s">
        <v>99</v>
      </c>
      <c r="K210" s="19">
        <v>1</v>
      </c>
      <c r="L210" s="6" t="s">
        <v>168</v>
      </c>
      <c r="M210" s="6" t="s">
        <v>216</v>
      </c>
      <c r="N210" s="6" t="s">
        <v>24</v>
      </c>
      <c r="O210" s="6" t="s">
        <v>109</v>
      </c>
      <c r="P210" s="17">
        <v>1.26E-2</v>
      </c>
    </row>
    <row r="211" spans="8:16" ht="15.75" customHeight="1" x14ac:dyDescent="0.3">
      <c r="H211" s="6" t="s">
        <v>175</v>
      </c>
      <c r="I211" s="6" t="s">
        <v>22</v>
      </c>
      <c r="J211" s="6" t="s">
        <v>103</v>
      </c>
      <c r="K211" s="17">
        <v>64.5</v>
      </c>
      <c r="L211" s="6" t="s">
        <v>168</v>
      </c>
      <c r="M211" s="6" t="s">
        <v>216</v>
      </c>
      <c r="N211" s="6" t="s">
        <v>25</v>
      </c>
      <c r="O211" s="6" t="s">
        <v>111</v>
      </c>
      <c r="P211" s="19">
        <v>12</v>
      </c>
    </row>
    <row r="212" spans="8:16" ht="15.75" customHeight="1" x14ac:dyDescent="0.3">
      <c r="H212" s="6" t="s">
        <v>175</v>
      </c>
      <c r="I212" s="6" t="s">
        <v>23</v>
      </c>
      <c r="J212" s="6" t="s">
        <v>106</v>
      </c>
      <c r="K212" s="17">
        <v>77881.734700000001</v>
      </c>
      <c r="L212" s="6" t="s">
        <v>168</v>
      </c>
      <c r="M212" s="6" t="s">
        <v>216</v>
      </c>
      <c r="N212" s="6" t="s">
        <v>26</v>
      </c>
      <c r="O212" s="6" t="s">
        <v>113</v>
      </c>
      <c r="P212" s="19">
        <v>10</v>
      </c>
    </row>
    <row r="213" spans="8:16" ht="15.75" customHeight="1" x14ac:dyDescent="0.3">
      <c r="H213" s="6" t="s">
        <v>175</v>
      </c>
      <c r="I213" s="6" t="s">
        <v>24</v>
      </c>
      <c r="J213" s="6" t="s">
        <v>108</v>
      </c>
      <c r="K213" s="17">
        <v>0.6079</v>
      </c>
      <c r="L213" s="6" t="s">
        <v>168</v>
      </c>
      <c r="M213" s="6" t="s">
        <v>216</v>
      </c>
      <c r="N213" s="6" t="s">
        <v>27</v>
      </c>
      <c r="O213" s="6" t="s">
        <v>117</v>
      </c>
      <c r="P213" s="17">
        <v>39.863100000000003</v>
      </c>
    </row>
    <row r="214" spans="8:16" ht="15.75" customHeight="1" x14ac:dyDescent="0.3">
      <c r="H214" s="6" t="s">
        <v>175</v>
      </c>
      <c r="I214" s="6" t="s">
        <v>25</v>
      </c>
      <c r="J214" s="6" t="s">
        <v>110</v>
      </c>
      <c r="K214" s="19">
        <v>197</v>
      </c>
      <c r="L214" s="6" t="s">
        <v>168</v>
      </c>
      <c r="M214" s="6" t="s">
        <v>216</v>
      </c>
      <c r="N214" s="6" t="s">
        <v>29</v>
      </c>
      <c r="O214" s="6" t="s">
        <v>125</v>
      </c>
      <c r="P214" s="19">
        <v>4</v>
      </c>
    </row>
    <row r="215" spans="8:16" ht="15.75" customHeight="1" x14ac:dyDescent="0.3">
      <c r="H215" s="6" t="s">
        <v>175</v>
      </c>
      <c r="I215" s="6" t="s">
        <v>26</v>
      </c>
      <c r="J215" s="6" t="s">
        <v>112</v>
      </c>
      <c r="K215" s="19">
        <v>70</v>
      </c>
      <c r="L215" s="6" t="s">
        <v>168</v>
      </c>
      <c r="M215" s="6" t="s">
        <v>216</v>
      </c>
      <c r="N215" s="6" t="s">
        <v>135</v>
      </c>
      <c r="O215" s="6" t="s">
        <v>136</v>
      </c>
      <c r="P215" s="19">
        <v>0</v>
      </c>
    </row>
    <row r="216" spans="8:16" ht="15.75" customHeight="1" x14ac:dyDescent="0.3">
      <c r="H216" s="6" t="s">
        <v>175</v>
      </c>
      <c r="I216" s="6" t="s">
        <v>27</v>
      </c>
      <c r="J216" s="6" t="s">
        <v>114</v>
      </c>
      <c r="K216" s="17">
        <v>1207.4688000000001</v>
      </c>
      <c r="L216" s="6" t="s">
        <v>168</v>
      </c>
      <c r="M216" s="6" t="s">
        <v>216</v>
      </c>
      <c r="N216" s="6" t="s">
        <v>138</v>
      </c>
      <c r="O216" s="6" t="s">
        <v>139</v>
      </c>
      <c r="P216" s="19">
        <v>0</v>
      </c>
    </row>
    <row r="217" spans="8:16" ht="15.75" customHeight="1" x14ac:dyDescent="0.3">
      <c r="H217" s="6" t="s">
        <v>175</v>
      </c>
      <c r="I217" s="6" t="s">
        <v>115</v>
      </c>
      <c r="J217" s="6" t="s">
        <v>121</v>
      </c>
      <c r="K217" s="19">
        <v>2</v>
      </c>
      <c r="L217" s="6" t="s">
        <v>168</v>
      </c>
      <c r="M217" s="6" t="s">
        <v>216</v>
      </c>
      <c r="N217" s="6" t="s">
        <v>30</v>
      </c>
      <c r="O217" s="6" t="s">
        <v>148</v>
      </c>
      <c r="P217" s="17">
        <v>75.632800000000003</v>
      </c>
    </row>
    <row r="218" spans="8:16" ht="15.75" customHeight="1" x14ac:dyDescent="0.3">
      <c r="H218" s="6" t="s">
        <v>175</v>
      </c>
      <c r="I218" s="6" t="s">
        <v>116</v>
      </c>
      <c r="J218" s="6" t="s">
        <v>132</v>
      </c>
      <c r="K218" s="19">
        <v>212</v>
      </c>
      <c r="L218" s="6" t="s">
        <v>168</v>
      </c>
      <c r="M218" s="6" t="s">
        <v>216</v>
      </c>
      <c r="N218" s="6" t="s">
        <v>156</v>
      </c>
      <c r="O218" s="6" t="s">
        <v>157</v>
      </c>
      <c r="P218" s="19">
        <v>0</v>
      </c>
    </row>
    <row r="219" spans="8:16" ht="15.75" customHeight="1" x14ac:dyDescent="0.3">
      <c r="H219" s="6" t="s">
        <v>175</v>
      </c>
      <c r="I219" s="6" t="s">
        <v>30</v>
      </c>
      <c r="J219" s="6" t="s">
        <v>137</v>
      </c>
      <c r="K219" s="17">
        <v>27.2134</v>
      </c>
      <c r="L219" s="6" t="s">
        <v>168</v>
      </c>
      <c r="M219" s="6" t="s">
        <v>216</v>
      </c>
      <c r="N219" s="6" t="s">
        <v>158</v>
      </c>
      <c r="O219" s="6" t="s">
        <v>159</v>
      </c>
      <c r="P219" s="19">
        <v>2</v>
      </c>
    </row>
    <row r="220" spans="8:16" ht="15.75" customHeight="1" x14ac:dyDescent="0.3">
      <c r="H220" s="6" t="s">
        <v>175</v>
      </c>
      <c r="I220" s="6" t="s">
        <v>118</v>
      </c>
      <c r="J220" s="6" t="s">
        <v>140</v>
      </c>
      <c r="K220" s="19">
        <v>30</v>
      </c>
      <c r="L220" s="6" t="s">
        <v>168</v>
      </c>
      <c r="M220" s="6" t="s">
        <v>216</v>
      </c>
      <c r="N220" s="6" t="s">
        <v>160</v>
      </c>
      <c r="O220" s="6" t="s">
        <v>161</v>
      </c>
      <c r="P220" s="19">
        <v>3</v>
      </c>
    </row>
    <row r="221" spans="8:16" ht="15.75" customHeight="1" x14ac:dyDescent="0.3">
      <c r="H221" s="6" t="s">
        <v>175</v>
      </c>
      <c r="I221" s="6" t="s">
        <v>31</v>
      </c>
      <c r="J221" s="6" t="s">
        <v>141</v>
      </c>
      <c r="K221" s="19">
        <v>56</v>
      </c>
      <c r="L221" s="6" t="s">
        <v>168</v>
      </c>
      <c r="M221" s="6" t="s">
        <v>216</v>
      </c>
      <c r="N221" s="6" t="s">
        <v>162</v>
      </c>
      <c r="O221" s="6" t="s">
        <v>163</v>
      </c>
      <c r="P221" s="19">
        <v>0</v>
      </c>
    </row>
    <row r="222" spans="8:16" ht="15.75" customHeight="1" x14ac:dyDescent="0.3">
      <c r="H222" s="6" t="s">
        <v>175</v>
      </c>
      <c r="I222" s="6" t="s">
        <v>119</v>
      </c>
      <c r="J222" s="6" t="s">
        <v>142</v>
      </c>
      <c r="K222" s="19">
        <v>1</v>
      </c>
      <c r="L222" s="6" t="s">
        <v>168</v>
      </c>
      <c r="M222" s="6" t="s">
        <v>216</v>
      </c>
      <c r="N222" s="6" t="s">
        <v>165</v>
      </c>
      <c r="O222" s="6" t="s">
        <v>166</v>
      </c>
      <c r="P222" s="19">
        <v>3</v>
      </c>
    </row>
    <row r="223" spans="8:16" ht="15.75" customHeight="1" x14ac:dyDescent="0.3">
      <c r="H223" s="6" t="s">
        <v>175</v>
      </c>
      <c r="I223" s="6" t="s">
        <v>120</v>
      </c>
      <c r="J223" s="6" t="s">
        <v>143</v>
      </c>
      <c r="K223" s="19">
        <v>13</v>
      </c>
      <c r="L223" s="6" t="s">
        <v>170</v>
      </c>
      <c r="M223" s="6" t="s">
        <v>217</v>
      </c>
      <c r="N223" s="6" t="s">
        <v>72</v>
      </c>
      <c r="O223" s="6" t="s">
        <v>75</v>
      </c>
      <c r="P223" s="19">
        <v>5</v>
      </c>
    </row>
    <row r="224" spans="8:16" ht="15.75" customHeight="1" x14ac:dyDescent="0.3">
      <c r="H224" s="6" t="s">
        <v>175</v>
      </c>
      <c r="I224" s="6" t="s">
        <v>122</v>
      </c>
      <c r="J224" s="6" t="s">
        <v>144</v>
      </c>
      <c r="K224" s="19">
        <v>2</v>
      </c>
      <c r="L224" s="6" t="s">
        <v>170</v>
      </c>
      <c r="M224" s="6" t="s">
        <v>217</v>
      </c>
      <c r="N224" s="6" t="s">
        <v>83</v>
      </c>
      <c r="O224" s="6" t="s">
        <v>84</v>
      </c>
      <c r="P224" s="19">
        <v>0</v>
      </c>
    </row>
    <row r="225" spans="8:16" ht="15.75" customHeight="1" x14ac:dyDescent="0.3">
      <c r="H225" s="6" t="s">
        <v>175</v>
      </c>
      <c r="I225" s="6" t="s">
        <v>123</v>
      </c>
      <c r="J225" s="6" t="s">
        <v>145</v>
      </c>
      <c r="K225" s="19">
        <v>35</v>
      </c>
      <c r="L225" s="6" t="s">
        <v>170</v>
      </c>
      <c r="M225" s="6" t="s">
        <v>217</v>
      </c>
      <c r="N225" s="6" t="s">
        <v>88</v>
      </c>
      <c r="O225" s="6" t="s">
        <v>90</v>
      </c>
      <c r="P225" s="17">
        <v>0.5</v>
      </c>
    </row>
    <row r="226" spans="8:16" ht="15.75" customHeight="1" x14ac:dyDescent="0.3">
      <c r="H226" s="6" t="s">
        <v>175</v>
      </c>
      <c r="I226" s="6" t="s">
        <v>124</v>
      </c>
      <c r="J226" s="6" t="s">
        <v>146</v>
      </c>
      <c r="K226" s="19">
        <v>0</v>
      </c>
      <c r="L226" s="6" t="s">
        <v>170</v>
      </c>
      <c r="M226" s="6" t="s">
        <v>217</v>
      </c>
      <c r="N226" s="6" t="s">
        <v>96</v>
      </c>
      <c r="O226" s="6" t="s">
        <v>97</v>
      </c>
      <c r="P226" s="19">
        <v>6</v>
      </c>
    </row>
    <row r="227" spans="8:16" ht="15.75" customHeight="1" x14ac:dyDescent="0.3">
      <c r="H227" s="6" t="s">
        <v>175</v>
      </c>
      <c r="I227" s="6" t="s">
        <v>126</v>
      </c>
      <c r="J227" s="6" t="s">
        <v>147</v>
      </c>
      <c r="K227" s="19">
        <v>14</v>
      </c>
      <c r="L227" s="6" t="s">
        <v>170</v>
      </c>
      <c r="M227" s="6" t="s">
        <v>217</v>
      </c>
      <c r="N227" s="6" t="s">
        <v>100</v>
      </c>
      <c r="O227" s="6" t="s">
        <v>101</v>
      </c>
      <c r="P227" s="19">
        <v>1</v>
      </c>
    </row>
    <row r="228" spans="8:16" ht="15.75" customHeight="1" x14ac:dyDescent="0.3">
      <c r="H228" s="6" t="s">
        <v>175</v>
      </c>
      <c r="I228" s="6" t="s">
        <v>127</v>
      </c>
      <c r="J228" s="6" t="s">
        <v>149</v>
      </c>
      <c r="K228" s="19">
        <v>34</v>
      </c>
      <c r="L228" s="6" t="s">
        <v>170</v>
      </c>
      <c r="M228" s="6" t="s">
        <v>217</v>
      </c>
      <c r="N228" s="6" t="s">
        <v>22</v>
      </c>
      <c r="O228" s="6" t="s">
        <v>104</v>
      </c>
      <c r="P228" s="19">
        <v>27</v>
      </c>
    </row>
    <row r="229" spans="8:16" ht="15.75" customHeight="1" x14ac:dyDescent="0.3">
      <c r="H229" s="6" t="s">
        <v>175</v>
      </c>
      <c r="I229" s="6" t="s">
        <v>128</v>
      </c>
      <c r="J229" s="6" t="s">
        <v>150</v>
      </c>
      <c r="K229" s="19">
        <v>0</v>
      </c>
      <c r="L229" s="6" t="s">
        <v>170</v>
      </c>
      <c r="M229" s="6" t="s">
        <v>217</v>
      </c>
      <c r="N229" s="6" t="s">
        <v>23</v>
      </c>
      <c r="O229" s="6" t="s">
        <v>107</v>
      </c>
      <c r="P229" s="17">
        <v>12198.390299999999</v>
      </c>
    </row>
    <row r="230" spans="8:16" ht="15.75" customHeight="1" x14ac:dyDescent="0.3">
      <c r="H230" s="6" t="s">
        <v>175</v>
      </c>
      <c r="I230" s="6" t="s">
        <v>129</v>
      </c>
      <c r="J230" s="6" t="s">
        <v>151</v>
      </c>
      <c r="K230" s="19">
        <v>0</v>
      </c>
      <c r="L230" s="6" t="s">
        <v>170</v>
      </c>
      <c r="M230" s="6" t="s">
        <v>217</v>
      </c>
      <c r="N230" s="6" t="s">
        <v>24</v>
      </c>
      <c r="O230" s="6" t="s">
        <v>109</v>
      </c>
      <c r="P230" s="17">
        <v>0.17660000000000001</v>
      </c>
    </row>
    <row r="231" spans="8:16" ht="15.75" customHeight="1" x14ac:dyDescent="0.3">
      <c r="H231" s="6" t="s">
        <v>175</v>
      </c>
      <c r="I231" s="6" t="s">
        <v>130</v>
      </c>
      <c r="J231" s="6" t="s">
        <v>152</v>
      </c>
      <c r="K231" s="19">
        <v>30</v>
      </c>
      <c r="L231" s="6" t="s">
        <v>170</v>
      </c>
      <c r="M231" s="6" t="s">
        <v>217</v>
      </c>
      <c r="N231" s="6" t="s">
        <v>25</v>
      </c>
      <c r="O231" s="6" t="s">
        <v>111</v>
      </c>
      <c r="P231" s="19">
        <v>93</v>
      </c>
    </row>
    <row r="232" spans="8:16" ht="15.75" customHeight="1" x14ac:dyDescent="0.3">
      <c r="H232" s="6" t="s">
        <v>175</v>
      </c>
      <c r="I232" s="6" t="s">
        <v>131</v>
      </c>
      <c r="J232" s="6" t="s">
        <v>153</v>
      </c>
      <c r="K232" s="17">
        <v>0.37180000000000002</v>
      </c>
      <c r="L232" s="6" t="s">
        <v>170</v>
      </c>
      <c r="M232" s="6" t="s">
        <v>217</v>
      </c>
      <c r="N232" s="6" t="s">
        <v>26</v>
      </c>
      <c r="O232" s="6" t="s">
        <v>113</v>
      </c>
      <c r="P232" s="19">
        <v>29</v>
      </c>
    </row>
    <row r="233" spans="8:16" ht="15.75" customHeight="1" x14ac:dyDescent="0.3">
      <c r="H233" s="6" t="s">
        <v>175</v>
      </c>
      <c r="I233" s="6" t="s">
        <v>133</v>
      </c>
      <c r="J233" s="6" t="s">
        <v>154</v>
      </c>
      <c r="K233" s="17">
        <v>0.92310000000000003</v>
      </c>
      <c r="L233" s="6" t="s">
        <v>170</v>
      </c>
      <c r="M233" s="6" t="s">
        <v>217</v>
      </c>
      <c r="N233" s="6" t="s">
        <v>27</v>
      </c>
      <c r="O233" s="6" t="s">
        <v>117</v>
      </c>
      <c r="P233" s="17">
        <v>451.79219999999998</v>
      </c>
    </row>
    <row r="234" spans="8:16" ht="15.75" customHeight="1" x14ac:dyDescent="0.3">
      <c r="H234" s="6" t="s">
        <v>175</v>
      </c>
      <c r="I234" s="6" t="s">
        <v>134</v>
      </c>
      <c r="J234" s="6" t="s">
        <v>155</v>
      </c>
      <c r="K234" s="19">
        <v>31</v>
      </c>
      <c r="L234" s="6" t="s">
        <v>170</v>
      </c>
      <c r="M234" s="6" t="s">
        <v>217</v>
      </c>
      <c r="N234" s="6" t="s">
        <v>29</v>
      </c>
      <c r="O234" s="6" t="s">
        <v>125</v>
      </c>
      <c r="P234" s="19">
        <v>27</v>
      </c>
    </row>
    <row r="235" spans="8:16" ht="15.75" customHeight="1" x14ac:dyDescent="0.3">
      <c r="H235" s="6" t="s">
        <v>176</v>
      </c>
      <c r="I235" s="6" t="s">
        <v>58</v>
      </c>
      <c r="J235" s="6" t="s">
        <v>60</v>
      </c>
      <c r="K235" s="19">
        <v>1</v>
      </c>
      <c r="L235" s="6" t="s">
        <v>170</v>
      </c>
      <c r="M235" s="6" t="s">
        <v>217</v>
      </c>
      <c r="N235" s="6" t="s">
        <v>135</v>
      </c>
      <c r="O235" s="6" t="s">
        <v>136</v>
      </c>
      <c r="P235" s="19">
        <v>0</v>
      </c>
    </row>
    <row r="236" spans="8:16" ht="15.75" customHeight="1" x14ac:dyDescent="0.3">
      <c r="H236" s="6" t="s">
        <v>176</v>
      </c>
      <c r="I236" s="6" t="s">
        <v>72</v>
      </c>
      <c r="J236" s="6" t="s">
        <v>82</v>
      </c>
      <c r="K236" s="19">
        <v>5</v>
      </c>
      <c r="L236" s="6" t="s">
        <v>170</v>
      </c>
      <c r="M236" s="6" t="s">
        <v>217</v>
      </c>
      <c r="N236" s="6" t="s">
        <v>138</v>
      </c>
      <c r="O236" s="6" t="s">
        <v>139</v>
      </c>
      <c r="P236" s="19">
        <v>1</v>
      </c>
    </row>
    <row r="237" spans="8:16" ht="15.75" customHeight="1" x14ac:dyDescent="0.3">
      <c r="H237" s="6" t="s">
        <v>176</v>
      </c>
      <c r="I237" s="6" t="s">
        <v>85</v>
      </c>
      <c r="J237" s="6" t="s">
        <v>86</v>
      </c>
      <c r="K237" s="19">
        <v>4</v>
      </c>
      <c r="L237" s="6" t="s">
        <v>170</v>
      </c>
      <c r="M237" s="6" t="s">
        <v>217</v>
      </c>
      <c r="N237" s="6" t="s">
        <v>30</v>
      </c>
      <c r="O237" s="6" t="s">
        <v>148</v>
      </c>
      <c r="P237" s="17">
        <v>49.8962</v>
      </c>
    </row>
    <row r="238" spans="8:16" ht="15.75" customHeight="1" x14ac:dyDescent="0.3">
      <c r="H238" s="6" t="s">
        <v>176</v>
      </c>
      <c r="I238" s="6" t="s">
        <v>93</v>
      </c>
      <c r="J238" s="6" t="s">
        <v>94</v>
      </c>
      <c r="K238" s="19">
        <v>0</v>
      </c>
      <c r="L238" s="6" t="s">
        <v>170</v>
      </c>
      <c r="M238" s="6" t="s">
        <v>217</v>
      </c>
      <c r="N238" s="6" t="s">
        <v>156</v>
      </c>
      <c r="O238" s="6" t="s">
        <v>157</v>
      </c>
      <c r="P238" s="19">
        <v>1</v>
      </c>
    </row>
    <row r="239" spans="8:16" ht="15.75" customHeight="1" x14ac:dyDescent="0.3">
      <c r="H239" s="6" t="s">
        <v>176</v>
      </c>
      <c r="I239" s="6" t="s">
        <v>98</v>
      </c>
      <c r="J239" s="6" t="s">
        <v>99</v>
      </c>
      <c r="K239" s="19">
        <v>2</v>
      </c>
      <c r="L239" s="6" t="s">
        <v>170</v>
      </c>
      <c r="M239" s="6" t="s">
        <v>217</v>
      </c>
      <c r="N239" s="6" t="s">
        <v>158</v>
      </c>
      <c r="O239" s="6" t="s">
        <v>159</v>
      </c>
      <c r="P239" s="19">
        <v>9</v>
      </c>
    </row>
    <row r="240" spans="8:16" ht="15.75" customHeight="1" x14ac:dyDescent="0.3">
      <c r="H240" s="6" t="s">
        <v>176</v>
      </c>
      <c r="I240" s="6" t="s">
        <v>22</v>
      </c>
      <c r="J240" s="6" t="s">
        <v>103</v>
      </c>
      <c r="K240" s="19">
        <v>30</v>
      </c>
      <c r="L240" s="6" t="s">
        <v>170</v>
      </c>
      <c r="M240" s="6" t="s">
        <v>217</v>
      </c>
      <c r="N240" s="6" t="s">
        <v>160</v>
      </c>
      <c r="O240" s="6" t="s">
        <v>161</v>
      </c>
      <c r="P240" s="19">
        <v>10</v>
      </c>
    </row>
    <row r="241" spans="8:16" ht="15.75" customHeight="1" x14ac:dyDescent="0.3">
      <c r="H241" s="6" t="s">
        <v>176</v>
      </c>
      <c r="I241" s="6" t="s">
        <v>23</v>
      </c>
      <c r="J241" s="6" t="s">
        <v>106</v>
      </c>
      <c r="K241" s="17">
        <v>14268.0854</v>
      </c>
      <c r="L241" s="6" t="s">
        <v>170</v>
      </c>
      <c r="M241" s="6" t="s">
        <v>217</v>
      </c>
      <c r="N241" s="6" t="s">
        <v>162</v>
      </c>
      <c r="O241" s="6" t="s">
        <v>163</v>
      </c>
      <c r="P241" s="19">
        <v>4</v>
      </c>
    </row>
    <row r="242" spans="8:16" ht="15.75" customHeight="1" x14ac:dyDescent="0.3">
      <c r="H242" s="6" t="s">
        <v>176</v>
      </c>
      <c r="I242" s="6" t="s">
        <v>24</v>
      </c>
      <c r="J242" s="6" t="s">
        <v>108</v>
      </c>
      <c r="K242" s="17">
        <v>0.1961</v>
      </c>
      <c r="L242" s="6" t="s">
        <v>170</v>
      </c>
      <c r="M242" s="6" t="s">
        <v>217</v>
      </c>
      <c r="N242" s="6" t="s">
        <v>165</v>
      </c>
      <c r="O242" s="6" t="s">
        <v>166</v>
      </c>
      <c r="P242" s="19">
        <v>2</v>
      </c>
    </row>
    <row r="243" spans="8:16" ht="15.75" customHeight="1" x14ac:dyDescent="0.3">
      <c r="H243" s="6" t="s">
        <v>176</v>
      </c>
      <c r="I243" s="6" t="s">
        <v>25</v>
      </c>
      <c r="J243" s="6" t="s">
        <v>110</v>
      </c>
      <c r="K243" s="19">
        <v>96</v>
      </c>
      <c r="L243" s="6" t="s">
        <v>171</v>
      </c>
      <c r="M243" s="6" t="s">
        <v>218</v>
      </c>
      <c r="N243" s="6" t="s">
        <v>72</v>
      </c>
      <c r="O243" s="6" t="s">
        <v>75</v>
      </c>
      <c r="P243" s="19">
        <v>5</v>
      </c>
    </row>
    <row r="244" spans="8:16" ht="15.75" customHeight="1" x14ac:dyDescent="0.3">
      <c r="H244" s="6" t="s">
        <v>176</v>
      </c>
      <c r="I244" s="6" t="s">
        <v>26</v>
      </c>
      <c r="J244" s="6" t="s">
        <v>112</v>
      </c>
      <c r="K244" s="19">
        <v>31</v>
      </c>
      <c r="L244" s="6" t="s">
        <v>171</v>
      </c>
      <c r="M244" s="6" t="s">
        <v>218</v>
      </c>
      <c r="N244" s="6" t="s">
        <v>83</v>
      </c>
      <c r="O244" s="6" t="s">
        <v>84</v>
      </c>
      <c r="P244" s="19">
        <v>0</v>
      </c>
    </row>
    <row r="245" spans="8:16" ht="15.75" customHeight="1" x14ac:dyDescent="0.3">
      <c r="H245" s="6" t="s">
        <v>176</v>
      </c>
      <c r="I245" s="6" t="s">
        <v>27</v>
      </c>
      <c r="J245" s="6" t="s">
        <v>114</v>
      </c>
      <c r="K245" s="17">
        <v>475.6028</v>
      </c>
      <c r="L245" s="6" t="s">
        <v>171</v>
      </c>
      <c r="M245" s="6" t="s">
        <v>218</v>
      </c>
      <c r="N245" s="6" t="s">
        <v>88</v>
      </c>
      <c r="O245" s="6" t="s">
        <v>90</v>
      </c>
      <c r="P245" s="17">
        <v>0.5</v>
      </c>
    </row>
    <row r="246" spans="8:16" ht="15.75" customHeight="1" x14ac:dyDescent="0.3">
      <c r="H246" s="6" t="s">
        <v>176</v>
      </c>
      <c r="I246" s="6" t="s">
        <v>115</v>
      </c>
      <c r="J246" s="6" t="s">
        <v>121</v>
      </c>
      <c r="K246" s="19">
        <v>0</v>
      </c>
      <c r="L246" s="6" t="s">
        <v>171</v>
      </c>
      <c r="M246" s="6" t="s">
        <v>218</v>
      </c>
      <c r="N246" s="6" t="s">
        <v>96</v>
      </c>
      <c r="O246" s="6" t="s">
        <v>97</v>
      </c>
      <c r="P246" s="19">
        <v>6</v>
      </c>
    </row>
    <row r="247" spans="8:16" ht="15.75" customHeight="1" x14ac:dyDescent="0.3">
      <c r="H247" s="6" t="s">
        <v>176</v>
      </c>
      <c r="I247" s="6" t="s">
        <v>116</v>
      </c>
      <c r="J247" s="6" t="s">
        <v>132</v>
      </c>
      <c r="K247" s="19">
        <v>27</v>
      </c>
      <c r="L247" s="6" t="s">
        <v>171</v>
      </c>
      <c r="M247" s="6" t="s">
        <v>218</v>
      </c>
      <c r="N247" s="6" t="s">
        <v>100</v>
      </c>
      <c r="O247" s="6" t="s">
        <v>101</v>
      </c>
      <c r="P247" s="19">
        <v>1</v>
      </c>
    </row>
    <row r="248" spans="8:16" ht="15.75" customHeight="1" x14ac:dyDescent="0.3">
      <c r="H248" s="6" t="s">
        <v>176</v>
      </c>
      <c r="I248" s="6" t="s">
        <v>30</v>
      </c>
      <c r="J248" s="6" t="s">
        <v>137</v>
      </c>
      <c r="K248" s="17">
        <v>49.738500000000002</v>
      </c>
      <c r="L248" s="6" t="s">
        <v>171</v>
      </c>
      <c r="M248" s="6" t="s">
        <v>218</v>
      </c>
      <c r="N248" s="6" t="s">
        <v>22</v>
      </c>
      <c r="O248" s="6" t="s">
        <v>104</v>
      </c>
      <c r="P248" s="19">
        <v>27</v>
      </c>
    </row>
    <row r="249" spans="8:16" ht="15.75" customHeight="1" x14ac:dyDescent="0.3">
      <c r="H249" s="6" t="s">
        <v>176</v>
      </c>
      <c r="I249" s="6" t="s">
        <v>118</v>
      </c>
      <c r="J249" s="6" t="s">
        <v>140</v>
      </c>
      <c r="K249" s="19">
        <v>21</v>
      </c>
      <c r="L249" s="6" t="s">
        <v>171</v>
      </c>
      <c r="M249" s="6" t="s">
        <v>218</v>
      </c>
      <c r="N249" s="6" t="s">
        <v>23</v>
      </c>
      <c r="O249" s="6" t="s">
        <v>107</v>
      </c>
      <c r="P249" s="17">
        <v>12198.390299999999</v>
      </c>
    </row>
    <row r="250" spans="8:16" ht="15.75" customHeight="1" x14ac:dyDescent="0.3">
      <c r="H250" s="6" t="s">
        <v>176</v>
      </c>
      <c r="I250" s="6" t="s">
        <v>31</v>
      </c>
      <c r="J250" s="6" t="s">
        <v>141</v>
      </c>
      <c r="K250" s="19">
        <v>26</v>
      </c>
      <c r="L250" s="6" t="s">
        <v>171</v>
      </c>
      <c r="M250" s="6" t="s">
        <v>218</v>
      </c>
      <c r="N250" s="6" t="s">
        <v>24</v>
      </c>
      <c r="O250" s="6" t="s">
        <v>109</v>
      </c>
      <c r="P250" s="17">
        <v>0.17660000000000001</v>
      </c>
    </row>
    <row r="251" spans="8:16" ht="15.75" customHeight="1" x14ac:dyDescent="0.3">
      <c r="H251" s="6" t="s">
        <v>176</v>
      </c>
      <c r="I251" s="6" t="s">
        <v>119</v>
      </c>
      <c r="J251" s="6" t="s">
        <v>142</v>
      </c>
      <c r="K251" s="19">
        <v>0</v>
      </c>
      <c r="L251" s="6" t="s">
        <v>171</v>
      </c>
      <c r="M251" s="6" t="s">
        <v>218</v>
      </c>
      <c r="N251" s="6" t="s">
        <v>25</v>
      </c>
      <c r="O251" s="6" t="s">
        <v>111</v>
      </c>
      <c r="P251" s="19">
        <v>93</v>
      </c>
    </row>
    <row r="252" spans="8:16" ht="15.75" customHeight="1" x14ac:dyDescent="0.3">
      <c r="H252" s="6" t="s">
        <v>176</v>
      </c>
      <c r="I252" s="6" t="s">
        <v>120</v>
      </c>
      <c r="J252" s="6" t="s">
        <v>143</v>
      </c>
      <c r="K252" s="19">
        <v>0</v>
      </c>
      <c r="L252" s="6" t="s">
        <v>171</v>
      </c>
      <c r="M252" s="6" t="s">
        <v>218</v>
      </c>
      <c r="N252" s="6" t="s">
        <v>26</v>
      </c>
      <c r="O252" s="6" t="s">
        <v>113</v>
      </c>
      <c r="P252" s="19">
        <v>29</v>
      </c>
    </row>
    <row r="253" spans="8:16" ht="15.75" customHeight="1" x14ac:dyDescent="0.3">
      <c r="H253" s="6" t="s">
        <v>176</v>
      </c>
      <c r="I253" s="6" t="s">
        <v>122</v>
      </c>
      <c r="J253" s="6" t="s">
        <v>144</v>
      </c>
      <c r="K253" s="19">
        <v>10</v>
      </c>
      <c r="L253" s="6" t="s">
        <v>171</v>
      </c>
      <c r="M253" s="6" t="s">
        <v>218</v>
      </c>
      <c r="N253" s="6" t="s">
        <v>27</v>
      </c>
      <c r="O253" s="6" t="s">
        <v>117</v>
      </c>
      <c r="P253" s="17">
        <v>451.79219999999998</v>
      </c>
    </row>
    <row r="254" spans="8:16" ht="15.75" customHeight="1" x14ac:dyDescent="0.3">
      <c r="H254" s="6" t="s">
        <v>176</v>
      </c>
      <c r="I254" s="6" t="s">
        <v>123</v>
      </c>
      <c r="J254" s="6" t="s">
        <v>145</v>
      </c>
      <c r="K254" s="19">
        <v>55</v>
      </c>
      <c r="L254" s="6" t="s">
        <v>171</v>
      </c>
      <c r="M254" s="6" t="s">
        <v>218</v>
      </c>
      <c r="N254" s="6" t="s">
        <v>29</v>
      </c>
      <c r="O254" s="6" t="s">
        <v>125</v>
      </c>
      <c r="P254" s="19">
        <v>27</v>
      </c>
    </row>
    <row r="255" spans="8:16" ht="15.75" customHeight="1" x14ac:dyDescent="0.3">
      <c r="H255" s="6" t="s">
        <v>176</v>
      </c>
      <c r="I255" s="6" t="s">
        <v>124</v>
      </c>
      <c r="J255" s="6" t="s">
        <v>146</v>
      </c>
      <c r="K255" s="19">
        <v>0</v>
      </c>
      <c r="L255" s="6" t="s">
        <v>171</v>
      </c>
      <c r="M255" s="6" t="s">
        <v>218</v>
      </c>
      <c r="N255" s="6" t="s">
        <v>135</v>
      </c>
      <c r="O255" s="6" t="s">
        <v>136</v>
      </c>
      <c r="P255" s="19">
        <v>0</v>
      </c>
    </row>
    <row r="256" spans="8:16" ht="15.75" customHeight="1" x14ac:dyDescent="0.3">
      <c r="H256" s="6" t="s">
        <v>176</v>
      </c>
      <c r="I256" s="6" t="s">
        <v>126</v>
      </c>
      <c r="J256" s="6" t="s">
        <v>147</v>
      </c>
      <c r="K256" s="19">
        <v>1</v>
      </c>
      <c r="L256" s="6" t="s">
        <v>171</v>
      </c>
      <c r="M256" s="6" t="s">
        <v>218</v>
      </c>
      <c r="N256" s="6" t="s">
        <v>138</v>
      </c>
      <c r="O256" s="6" t="s">
        <v>139</v>
      </c>
      <c r="P256" s="19">
        <v>1</v>
      </c>
    </row>
    <row r="257" spans="8:16" ht="15.75" customHeight="1" x14ac:dyDescent="0.3">
      <c r="H257" s="6" t="s">
        <v>176</v>
      </c>
      <c r="I257" s="6" t="s">
        <v>127</v>
      </c>
      <c r="J257" s="6" t="s">
        <v>149</v>
      </c>
      <c r="K257" s="19">
        <v>51</v>
      </c>
      <c r="L257" s="6" t="s">
        <v>171</v>
      </c>
      <c r="M257" s="6" t="s">
        <v>218</v>
      </c>
      <c r="N257" s="6" t="s">
        <v>30</v>
      </c>
      <c r="O257" s="6" t="s">
        <v>148</v>
      </c>
      <c r="P257" s="17">
        <v>49.8962</v>
      </c>
    </row>
    <row r="258" spans="8:16" ht="15.75" customHeight="1" x14ac:dyDescent="0.3">
      <c r="H258" s="6" t="s">
        <v>176</v>
      </c>
      <c r="I258" s="6" t="s">
        <v>128</v>
      </c>
      <c r="J258" s="6" t="s">
        <v>150</v>
      </c>
      <c r="K258" s="19">
        <v>0</v>
      </c>
      <c r="L258" s="6" t="s">
        <v>171</v>
      </c>
      <c r="M258" s="6" t="s">
        <v>218</v>
      </c>
      <c r="N258" s="6" t="s">
        <v>156</v>
      </c>
      <c r="O258" s="6" t="s">
        <v>157</v>
      </c>
      <c r="P258" s="19">
        <v>1</v>
      </c>
    </row>
    <row r="259" spans="8:16" ht="15.75" customHeight="1" x14ac:dyDescent="0.3">
      <c r="H259" s="6" t="s">
        <v>176</v>
      </c>
      <c r="I259" s="6" t="s">
        <v>129</v>
      </c>
      <c r="J259" s="6" t="s">
        <v>151</v>
      </c>
      <c r="K259" s="19">
        <v>0</v>
      </c>
      <c r="L259" s="6" t="s">
        <v>171</v>
      </c>
      <c r="M259" s="6" t="s">
        <v>218</v>
      </c>
      <c r="N259" s="6" t="s">
        <v>158</v>
      </c>
      <c r="O259" s="6" t="s">
        <v>159</v>
      </c>
      <c r="P259" s="19">
        <v>9</v>
      </c>
    </row>
    <row r="260" spans="8:16" ht="15.75" customHeight="1" x14ac:dyDescent="0.3">
      <c r="H260" s="6" t="s">
        <v>176</v>
      </c>
      <c r="I260" s="6" t="s">
        <v>130</v>
      </c>
      <c r="J260" s="6" t="s">
        <v>152</v>
      </c>
      <c r="K260" s="19">
        <v>8</v>
      </c>
      <c r="L260" s="6" t="s">
        <v>171</v>
      </c>
      <c r="M260" s="6" t="s">
        <v>218</v>
      </c>
      <c r="N260" s="6" t="s">
        <v>160</v>
      </c>
      <c r="O260" s="6" t="s">
        <v>161</v>
      </c>
      <c r="P260" s="19">
        <v>10</v>
      </c>
    </row>
    <row r="261" spans="8:16" ht="15.75" customHeight="1" x14ac:dyDescent="0.3">
      <c r="H261" s="6" t="s">
        <v>176</v>
      </c>
      <c r="I261" s="6" t="s">
        <v>131</v>
      </c>
      <c r="J261" s="6" t="s">
        <v>153</v>
      </c>
      <c r="K261" s="19">
        <v>0</v>
      </c>
      <c r="L261" s="6" t="s">
        <v>171</v>
      </c>
      <c r="M261" s="6" t="s">
        <v>218</v>
      </c>
      <c r="N261" s="6" t="s">
        <v>162</v>
      </c>
      <c r="O261" s="6" t="s">
        <v>163</v>
      </c>
      <c r="P261" s="19">
        <v>4</v>
      </c>
    </row>
    <row r="262" spans="8:16" ht="15.75" customHeight="1" x14ac:dyDescent="0.3">
      <c r="H262" s="6" t="s">
        <v>176</v>
      </c>
      <c r="I262" s="6" t="s">
        <v>133</v>
      </c>
      <c r="J262" s="6" t="s">
        <v>154</v>
      </c>
      <c r="K262" s="19">
        <v>0</v>
      </c>
      <c r="L262" s="6" t="s">
        <v>171</v>
      </c>
      <c r="M262" s="6" t="s">
        <v>218</v>
      </c>
      <c r="N262" s="6" t="s">
        <v>165</v>
      </c>
      <c r="O262" s="6" t="s">
        <v>166</v>
      </c>
      <c r="P262" s="19">
        <v>2</v>
      </c>
    </row>
    <row r="263" spans="8:16" ht="15.75" customHeight="1" x14ac:dyDescent="0.3">
      <c r="H263" s="6" t="s">
        <v>176</v>
      </c>
      <c r="I263" s="6" t="s">
        <v>134</v>
      </c>
      <c r="J263" s="6" t="s">
        <v>155</v>
      </c>
      <c r="K263" s="19">
        <v>9</v>
      </c>
      <c r="L263" s="6" t="s">
        <v>172</v>
      </c>
      <c r="M263" s="6" t="s">
        <v>219</v>
      </c>
      <c r="N263" s="6" t="s">
        <v>72</v>
      </c>
      <c r="O263" s="6" t="s">
        <v>75</v>
      </c>
      <c r="P263" s="19">
        <v>0</v>
      </c>
    </row>
    <row r="264" spans="8:16" ht="15.75" customHeight="1" x14ac:dyDescent="0.3">
      <c r="H264" s="6" t="s">
        <v>177</v>
      </c>
      <c r="I264" s="6" t="s">
        <v>58</v>
      </c>
      <c r="J264" s="6" t="s">
        <v>60</v>
      </c>
      <c r="K264" s="19">
        <v>1</v>
      </c>
      <c r="L264" s="6" t="s">
        <v>172</v>
      </c>
      <c r="M264" s="6" t="s">
        <v>219</v>
      </c>
      <c r="N264" s="6" t="s">
        <v>83</v>
      </c>
      <c r="O264" s="6" t="s">
        <v>84</v>
      </c>
      <c r="P264" s="19">
        <v>0</v>
      </c>
    </row>
    <row r="265" spans="8:16" ht="15.75" customHeight="1" x14ac:dyDescent="0.3">
      <c r="H265" s="6" t="s">
        <v>177</v>
      </c>
      <c r="I265" s="6" t="s">
        <v>72</v>
      </c>
      <c r="J265" s="6" t="s">
        <v>82</v>
      </c>
      <c r="K265" s="19">
        <v>6</v>
      </c>
      <c r="L265" s="6" t="s">
        <v>172</v>
      </c>
      <c r="M265" s="6" t="s">
        <v>219</v>
      </c>
      <c r="N265" s="6" t="s">
        <v>88</v>
      </c>
      <c r="O265" s="6" t="s">
        <v>90</v>
      </c>
      <c r="P265" s="19">
        <v>0</v>
      </c>
    </row>
    <row r="266" spans="8:16" ht="15.75" customHeight="1" x14ac:dyDescent="0.3">
      <c r="H266" s="6" t="s">
        <v>177</v>
      </c>
      <c r="I266" s="6" t="s">
        <v>85</v>
      </c>
      <c r="J266" s="6" t="s">
        <v>86</v>
      </c>
      <c r="K266" s="19">
        <v>4</v>
      </c>
      <c r="L266" s="6" t="s">
        <v>172</v>
      </c>
      <c r="M266" s="6" t="s">
        <v>219</v>
      </c>
      <c r="N266" s="6" t="s">
        <v>96</v>
      </c>
      <c r="O266" s="6" t="s">
        <v>97</v>
      </c>
      <c r="P266" s="19">
        <v>0</v>
      </c>
    </row>
    <row r="267" spans="8:16" ht="15.75" customHeight="1" x14ac:dyDescent="0.3">
      <c r="H267" s="6" t="s">
        <v>177</v>
      </c>
      <c r="I267" s="6" t="s">
        <v>93</v>
      </c>
      <c r="J267" s="6" t="s">
        <v>94</v>
      </c>
      <c r="K267" s="19">
        <v>0</v>
      </c>
      <c r="L267" s="6" t="s">
        <v>172</v>
      </c>
      <c r="M267" s="6" t="s">
        <v>219</v>
      </c>
      <c r="N267" s="6" t="s">
        <v>100</v>
      </c>
      <c r="O267" s="6" t="s">
        <v>101</v>
      </c>
      <c r="P267" s="19">
        <v>0</v>
      </c>
    </row>
    <row r="268" spans="8:16" ht="15.75" customHeight="1" x14ac:dyDescent="0.3">
      <c r="H268" s="6" t="s">
        <v>177</v>
      </c>
      <c r="I268" s="6" t="s">
        <v>98</v>
      </c>
      <c r="J268" s="6" t="s">
        <v>99</v>
      </c>
      <c r="K268" s="19">
        <v>2</v>
      </c>
      <c r="L268" s="6" t="s">
        <v>172</v>
      </c>
      <c r="M268" s="6" t="s">
        <v>219</v>
      </c>
      <c r="N268" s="6" t="s">
        <v>22</v>
      </c>
      <c r="O268" s="6" t="s">
        <v>104</v>
      </c>
      <c r="P268" s="19">
        <v>1</v>
      </c>
    </row>
    <row r="269" spans="8:16" ht="15.75" customHeight="1" x14ac:dyDescent="0.3">
      <c r="H269" s="6" t="s">
        <v>177</v>
      </c>
      <c r="I269" s="6" t="s">
        <v>22</v>
      </c>
      <c r="J269" s="6" t="s">
        <v>103</v>
      </c>
      <c r="K269" s="19">
        <v>60</v>
      </c>
      <c r="L269" s="6" t="s">
        <v>172</v>
      </c>
      <c r="M269" s="6" t="s">
        <v>219</v>
      </c>
      <c r="N269" s="6" t="s">
        <v>23</v>
      </c>
      <c r="O269" s="6" t="s">
        <v>107</v>
      </c>
      <c r="P269" s="19">
        <v>8</v>
      </c>
    </row>
    <row r="270" spans="8:16" ht="15.75" customHeight="1" x14ac:dyDescent="0.3">
      <c r="H270" s="6" t="s">
        <v>177</v>
      </c>
      <c r="I270" s="6" t="s">
        <v>23</v>
      </c>
      <c r="J270" s="6" t="s">
        <v>106</v>
      </c>
      <c r="K270" s="17">
        <v>60989.296000000002</v>
      </c>
      <c r="L270" s="6" t="s">
        <v>172</v>
      </c>
      <c r="M270" s="6" t="s">
        <v>219</v>
      </c>
      <c r="N270" s="6" t="s">
        <v>24</v>
      </c>
      <c r="O270" s="6" t="s">
        <v>109</v>
      </c>
      <c r="P270" s="17">
        <v>1.2999999999999999E-3</v>
      </c>
    </row>
    <row r="271" spans="8:16" ht="15.75" customHeight="1" x14ac:dyDescent="0.3">
      <c r="H271" s="6" t="s">
        <v>177</v>
      </c>
      <c r="I271" s="6" t="s">
        <v>24</v>
      </c>
      <c r="J271" s="6" t="s">
        <v>108</v>
      </c>
      <c r="K271" s="17">
        <v>0.51649999999999996</v>
      </c>
      <c r="L271" s="6" t="s">
        <v>172</v>
      </c>
      <c r="M271" s="6" t="s">
        <v>219</v>
      </c>
      <c r="N271" s="6" t="s">
        <v>25</v>
      </c>
      <c r="O271" s="6" t="s">
        <v>111</v>
      </c>
      <c r="P271" s="19">
        <v>4</v>
      </c>
    </row>
    <row r="272" spans="8:16" ht="15.75" customHeight="1" x14ac:dyDescent="0.3">
      <c r="H272" s="6" t="s">
        <v>177</v>
      </c>
      <c r="I272" s="6" t="s">
        <v>25</v>
      </c>
      <c r="J272" s="6" t="s">
        <v>110</v>
      </c>
      <c r="K272" s="19">
        <v>191</v>
      </c>
      <c r="L272" s="6" t="s">
        <v>172</v>
      </c>
      <c r="M272" s="6" t="s">
        <v>219</v>
      </c>
      <c r="N272" s="6" t="s">
        <v>26</v>
      </c>
      <c r="O272" s="6" t="s">
        <v>113</v>
      </c>
      <c r="P272" s="19">
        <v>4</v>
      </c>
    </row>
    <row r="273" spans="8:16" ht="15.75" customHeight="1" x14ac:dyDescent="0.3">
      <c r="H273" s="6" t="s">
        <v>177</v>
      </c>
      <c r="I273" s="6" t="s">
        <v>26</v>
      </c>
      <c r="J273" s="6" t="s">
        <v>112</v>
      </c>
      <c r="K273" s="19">
        <v>40</v>
      </c>
      <c r="L273" s="6" t="s">
        <v>172</v>
      </c>
      <c r="M273" s="6" t="s">
        <v>219</v>
      </c>
      <c r="N273" s="6" t="s">
        <v>27</v>
      </c>
      <c r="O273" s="6" t="s">
        <v>117</v>
      </c>
      <c r="P273" s="19">
        <v>8</v>
      </c>
    </row>
    <row r="274" spans="8:16" ht="15.75" customHeight="1" x14ac:dyDescent="0.3">
      <c r="H274" s="6" t="s">
        <v>177</v>
      </c>
      <c r="I274" s="6" t="s">
        <v>27</v>
      </c>
      <c r="J274" s="6" t="s">
        <v>114</v>
      </c>
      <c r="K274" s="17">
        <v>1016.4883</v>
      </c>
      <c r="L274" s="6" t="s">
        <v>172</v>
      </c>
      <c r="M274" s="6" t="s">
        <v>219</v>
      </c>
      <c r="N274" s="6" t="s">
        <v>29</v>
      </c>
      <c r="O274" s="6" t="s">
        <v>125</v>
      </c>
      <c r="P274" s="19">
        <v>3</v>
      </c>
    </row>
    <row r="275" spans="8:16" ht="15.75" customHeight="1" x14ac:dyDescent="0.3">
      <c r="H275" s="6" t="s">
        <v>177</v>
      </c>
      <c r="I275" s="6" t="s">
        <v>115</v>
      </c>
      <c r="J275" s="6" t="s">
        <v>121</v>
      </c>
      <c r="K275" s="19">
        <v>4</v>
      </c>
      <c r="L275" s="6" t="s">
        <v>172</v>
      </c>
      <c r="M275" s="6" t="s">
        <v>219</v>
      </c>
      <c r="N275" s="6" t="s">
        <v>135</v>
      </c>
      <c r="O275" s="6" t="s">
        <v>136</v>
      </c>
      <c r="P275" s="19">
        <v>1</v>
      </c>
    </row>
    <row r="276" spans="8:16" ht="15.75" customHeight="1" x14ac:dyDescent="0.3">
      <c r="H276" s="6" t="s">
        <v>177</v>
      </c>
      <c r="I276" s="6" t="s">
        <v>116</v>
      </c>
      <c r="J276" s="6" t="s">
        <v>132</v>
      </c>
      <c r="K276" s="19">
        <v>72</v>
      </c>
      <c r="L276" s="6" t="s">
        <v>172</v>
      </c>
      <c r="M276" s="6" t="s">
        <v>219</v>
      </c>
      <c r="N276" s="6" t="s">
        <v>138</v>
      </c>
      <c r="O276" s="6" t="s">
        <v>139</v>
      </c>
      <c r="P276" s="19">
        <v>0</v>
      </c>
    </row>
    <row r="277" spans="8:16" ht="15.75" customHeight="1" x14ac:dyDescent="0.3">
      <c r="H277" s="6" t="s">
        <v>177</v>
      </c>
      <c r="I277" s="6" t="s">
        <v>30</v>
      </c>
      <c r="J277" s="6" t="s">
        <v>137</v>
      </c>
      <c r="K277" s="17">
        <v>38.0749</v>
      </c>
      <c r="L277" s="6" t="s">
        <v>172</v>
      </c>
      <c r="M277" s="6" t="s">
        <v>219</v>
      </c>
      <c r="N277" s="6" t="s">
        <v>30</v>
      </c>
      <c r="O277" s="6" t="s">
        <v>148</v>
      </c>
      <c r="P277" s="17">
        <v>83.268600000000006</v>
      </c>
    </row>
    <row r="278" spans="8:16" ht="15.75" customHeight="1" x14ac:dyDescent="0.3">
      <c r="H278" s="6" t="s">
        <v>177</v>
      </c>
      <c r="I278" s="6" t="s">
        <v>118</v>
      </c>
      <c r="J278" s="6" t="s">
        <v>140</v>
      </c>
      <c r="K278" s="19">
        <v>49</v>
      </c>
      <c r="L278" s="6" t="s">
        <v>172</v>
      </c>
      <c r="M278" s="6" t="s">
        <v>219</v>
      </c>
      <c r="N278" s="6" t="s">
        <v>156</v>
      </c>
      <c r="O278" s="6" t="s">
        <v>157</v>
      </c>
      <c r="P278" s="19">
        <v>0</v>
      </c>
    </row>
    <row r="279" spans="8:16" ht="15.75" customHeight="1" x14ac:dyDescent="0.3">
      <c r="H279" s="6" t="s">
        <v>177</v>
      </c>
      <c r="I279" s="6" t="s">
        <v>31</v>
      </c>
      <c r="J279" s="6" t="s">
        <v>141</v>
      </c>
      <c r="K279" s="19">
        <v>45</v>
      </c>
      <c r="L279" s="6" t="s">
        <v>172</v>
      </c>
      <c r="M279" s="6" t="s">
        <v>219</v>
      </c>
      <c r="N279" s="6" t="s">
        <v>158</v>
      </c>
      <c r="O279" s="6" t="s">
        <v>159</v>
      </c>
      <c r="P279" s="19">
        <v>1</v>
      </c>
    </row>
    <row r="280" spans="8:16" ht="15.75" customHeight="1" x14ac:dyDescent="0.3">
      <c r="H280" s="6" t="s">
        <v>177</v>
      </c>
      <c r="I280" s="6" t="s">
        <v>119</v>
      </c>
      <c r="J280" s="6" t="s">
        <v>142</v>
      </c>
      <c r="K280" s="19">
        <v>0</v>
      </c>
      <c r="L280" s="6" t="s">
        <v>172</v>
      </c>
      <c r="M280" s="6" t="s">
        <v>219</v>
      </c>
      <c r="N280" s="6" t="s">
        <v>160</v>
      </c>
      <c r="O280" s="6" t="s">
        <v>161</v>
      </c>
      <c r="P280" s="19">
        <v>2</v>
      </c>
    </row>
    <row r="281" spans="8:16" ht="15.75" customHeight="1" x14ac:dyDescent="0.3">
      <c r="H281" s="6" t="s">
        <v>177</v>
      </c>
      <c r="I281" s="6" t="s">
        <v>120</v>
      </c>
      <c r="J281" s="6" t="s">
        <v>143</v>
      </c>
      <c r="K281" s="19">
        <v>4</v>
      </c>
      <c r="L281" s="6" t="s">
        <v>172</v>
      </c>
      <c r="M281" s="6" t="s">
        <v>219</v>
      </c>
      <c r="N281" s="6" t="s">
        <v>162</v>
      </c>
      <c r="O281" s="6" t="s">
        <v>163</v>
      </c>
      <c r="P281" s="19">
        <v>0</v>
      </c>
    </row>
    <row r="282" spans="8:16" ht="15.75" customHeight="1" x14ac:dyDescent="0.3">
      <c r="H282" s="6" t="s">
        <v>177</v>
      </c>
      <c r="I282" s="6" t="s">
        <v>122</v>
      </c>
      <c r="J282" s="6" t="s">
        <v>144</v>
      </c>
      <c r="K282" s="19">
        <v>10</v>
      </c>
      <c r="L282" s="6" t="s">
        <v>172</v>
      </c>
      <c r="M282" s="6" t="s">
        <v>219</v>
      </c>
      <c r="N282" s="6" t="s">
        <v>165</v>
      </c>
      <c r="O282" s="6" t="s">
        <v>166</v>
      </c>
      <c r="P282" s="19">
        <v>1</v>
      </c>
    </row>
    <row r="283" spans="8:16" ht="15.75" customHeight="1" x14ac:dyDescent="0.3">
      <c r="H283" s="6" t="s">
        <v>177</v>
      </c>
      <c r="I283" s="6" t="s">
        <v>123</v>
      </c>
      <c r="J283" s="6" t="s">
        <v>145</v>
      </c>
      <c r="K283" s="19">
        <v>59</v>
      </c>
      <c r="L283" s="6" t="s">
        <v>172</v>
      </c>
      <c r="M283" s="6" t="s">
        <v>220</v>
      </c>
      <c r="N283" s="6" t="s">
        <v>72</v>
      </c>
      <c r="O283" s="6" t="s">
        <v>75</v>
      </c>
      <c r="P283" s="19">
        <v>0</v>
      </c>
    </row>
    <row r="284" spans="8:16" ht="15.75" customHeight="1" x14ac:dyDescent="0.3">
      <c r="H284" s="6" t="s">
        <v>177</v>
      </c>
      <c r="I284" s="6" t="s">
        <v>124</v>
      </c>
      <c r="J284" s="6" t="s">
        <v>146</v>
      </c>
      <c r="K284" s="19">
        <v>0</v>
      </c>
      <c r="L284" s="6" t="s">
        <v>172</v>
      </c>
      <c r="M284" s="6" t="s">
        <v>220</v>
      </c>
      <c r="N284" s="6" t="s">
        <v>83</v>
      </c>
      <c r="O284" s="6" t="s">
        <v>84</v>
      </c>
      <c r="P284" s="19">
        <v>0</v>
      </c>
    </row>
    <row r="285" spans="8:16" ht="15.75" customHeight="1" x14ac:dyDescent="0.3">
      <c r="H285" s="6" t="s">
        <v>177</v>
      </c>
      <c r="I285" s="6" t="s">
        <v>126</v>
      </c>
      <c r="J285" s="6" t="s">
        <v>147</v>
      </c>
      <c r="K285" s="19">
        <v>5</v>
      </c>
      <c r="L285" s="6" t="s">
        <v>172</v>
      </c>
      <c r="M285" s="6" t="s">
        <v>220</v>
      </c>
      <c r="N285" s="6" t="s">
        <v>88</v>
      </c>
      <c r="O285" s="6" t="s">
        <v>90</v>
      </c>
      <c r="P285" s="19">
        <v>0</v>
      </c>
    </row>
    <row r="286" spans="8:16" ht="15.75" customHeight="1" x14ac:dyDescent="0.3">
      <c r="H286" s="6" t="s">
        <v>177</v>
      </c>
      <c r="I286" s="6" t="s">
        <v>127</v>
      </c>
      <c r="J286" s="6" t="s">
        <v>149</v>
      </c>
      <c r="K286" s="19">
        <v>55</v>
      </c>
      <c r="L286" s="6" t="s">
        <v>172</v>
      </c>
      <c r="M286" s="6" t="s">
        <v>220</v>
      </c>
      <c r="N286" s="6" t="s">
        <v>96</v>
      </c>
      <c r="O286" s="6" t="s">
        <v>97</v>
      </c>
      <c r="P286" s="19">
        <v>0</v>
      </c>
    </row>
    <row r="287" spans="8:16" ht="15.75" customHeight="1" x14ac:dyDescent="0.3">
      <c r="H287" s="6" t="s">
        <v>177</v>
      </c>
      <c r="I287" s="6" t="s">
        <v>128</v>
      </c>
      <c r="J287" s="6" t="s">
        <v>150</v>
      </c>
      <c r="K287" s="19">
        <v>0</v>
      </c>
      <c r="L287" s="6" t="s">
        <v>172</v>
      </c>
      <c r="M287" s="6" t="s">
        <v>220</v>
      </c>
      <c r="N287" s="6" t="s">
        <v>100</v>
      </c>
      <c r="O287" s="6" t="s">
        <v>101</v>
      </c>
      <c r="P287" s="19">
        <v>0</v>
      </c>
    </row>
    <row r="288" spans="8:16" ht="15.75" customHeight="1" x14ac:dyDescent="0.3">
      <c r="H288" s="6" t="s">
        <v>177</v>
      </c>
      <c r="I288" s="6" t="s">
        <v>129</v>
      </c>
      <c r="J288" s="6" t="s">
        <v>151</v>
      </c>
      <c r="K288" s="19">
        <v>0</v>
      </c>
      <c r="L288" s="6" t="s">
        <v>172</v>
      </c>
      <c r="M288" s="6" t="s">
        <v>220</v>
      </c>
      <c r="N288" s="6" t="s">
        <v>22</v>
      </c>
      <c r="O288" s="6" t="s">
        <v>104</v>
      </c>
      <c r="P288" s="17">
        <v>1.5</v>
      </c>
    </row>
    <row r="289" spans="8:16" ht="15.75" customHeight="1" x14ac:dyDescent="0.3">
      <c r="H289" s="6" t="s">
        <v>177</v>
      </c>
      <c r="I289" s="6" t="s">
        <v>130</v>
      </c>
      <c r="J289" s="6" t="s">
        <v>152</v>
      </c>
      <c r="K289" s="19">
        <v>11</v>
      </c>
      <c r="L289" s="6" t="s">
        <v>172</v>
      </c>
      <c r="M289" s="6" t="s">
        <v>220</v>
      </c>
      <c r="N289" s="6" t="s">
        <v>23</v>
      </c>
      <c r="O289" s="6" t="s">
        <v>107</v>
      </c>
      <c r="P289" s="19">
        <v>12</v>
      </c>
    </row>
    <row r="290" spans="8:16" ht="15.75" customHeight="1" x14ac:dyDescent="0.3">
      <c r="H290" s="6" t="s">
        <v>177</v>
      </c>
      <c r="I290" s="6" t="s">
        <v>131</v>
      </c>
      <c r="J290" s="6" t="s">
        <v>153</v>
      </c>
      <c r="K290" s="19">
        <v>0</v>
      </c>
      <c r="L290" s="6" t="s">
        <v>172</v>
      </c>
      <c r="M290" s="6" t="s">
        <v>220</v>
      </c>
      <c r="N290" s="6" t="s">
        <v>24</v>
      </c>
      <c r="O290" s="6" t="s">
        <v>109</v>
      </c>
      <c r="P290" s="17">
        <v>1.6999999999999999E-3</v>
      </c>
    </row>
    <row r="291" spans="8:16" ht="15.75" customHeight="1" x14ac:dyDescent="0.3">
      <c r="H291" s="6" t="s">
        <v>177</v>
      </c>
      <c r="I291" s="6" t="s">
        <v>133</v>
      </c>
      <c r="J291" s="6" t="s">
        <v>154</v>
      </c>
      <c r="K291" s="19">
        <v>1</v>
      </c>
      <c r="L291" s="6" t="s">
        <v>172</v>
      </c>
      <c r="M291" s="6" t="s">
        <v>220</v>
      </c>
      <c r="N291" s="6" t="s">
        <v>25</v>
      </c>
      <c r="O291" s="6" t="s">
        <v>111</v>
      </c>
      <c r="P291" s="19">
        <v>4</v>
      </c>
    </row>
    <row r="292" spans="8:16" ht="15.75" customHeight="1" x14ac:dyDescent="0.3">
      <c r="H292" s="6" t="s">
        <v>177</v>
      </c>
      <c r="I292" s="6" t="s">
        <v>134</v>
      </c>
      <c r="J292" s="6" t="s">
        <v>155</v>
      </c>
      <c r="K292" s="19">
        <v>14</v>
      </c>
      <c r="L292" s="6" t="s">
        <v>172</v>
      </c>
      <c r="M292" s="6" t="s">
        <v>220</v>
      </c>
      <c r="N292" s="6" t="s">
        <v>26</v>
      </c>
      <c r="O292" s="6" t="s">
        <v>113</v>
      </c>
      <c r="P292" s="19">
        <v>4</v>
      </c>
    </row>
    <row r="293" spans="8:16" ht="15.75" customHeight="1" x14ac:dyDescent="0.3">
      <c r="H293" s="6" t="s">
        <v>178</v>
      </c>
      <c r="I293" s="6" t="s">
        <v>58</v>
      </c>
      <c r="J293" s="6" t="s">
        <v>60</v>
      </c>
      <c r="K293" s="19">
        <v>2</v>
      </c>
      <c r="L293" s="6" t="s">
        <v>172</v>
      </c>
      <c r="M293" s="6" t="s">
        <v>220</v>
      </c>
      <c r="N293" s="6" t="s">
        <v>27</v>
      </c>
      <c r="O293" s="6" t="s">
        <v>117</v>
      </c>
      <c r="P293" s="19">
        <v>8</v>
      </c>
    </row>
    <row r="294" spans="8:16" ht="15.75" customHeight="1" x14ac:dyDescent="0.3">
      <c r="H294" s="6" t="s">
        <v>178</v>
      </c>
      <c r="I294" s="6" t="s">
        <v>72</v>
      </c>
      <c r="J294" s="6" t="s">
        <v>82</v>
      </c>
      <c r="K294" s="19">
        <v>49</v>
      </c>
      <c r="L294" s="6" t="s">
        <v>172</v>
      </c>
      <c r="M294" s="6" t="s">
        <v>220</v>
      </c>
      <c r="N294" s="6" t="s">
        <v>29</v>
      </c>
      <c r="O294" s="6" t="s">
        <v>125</v>
      </c>
      <c r="P294" s="19">
        <v>6</v>
      </c>
    </row>
    <row r="295" spans="8:16" ht="15.75" customHeight="1" x14ac:dyDescent="0.3">
      <c r="H295" s="6" t="s">
        <v>178</v>
      </c>
      <c r="I295" s="6" t="s">
        <v>85</v>
      </c>
      <c r="J295" s="6" t="s">
        <v>86</v>
      </c>
      <c r="K295" s="19">
        <v>16</v>
      </c>
      <c r="L295" s="6" t="s">
        <v>172</v>
      </c>
      <c r="M295" s="6" t="s">
        <v>220</v>
      </c>
      <c r="N295" s="6" t="s">
        <v>135</v>
      </c>
      <c r="O295" s="6" t="s">
        <v>136</v>
      </c>
      <c r="P295" s="19">
        <v>1</v>
      </c>
    </row>
    <row r="296" spans="8:16" ht="15.75" customHeight="1" x14ac:dyDescent="0.3">
      <c r="H296" s="6" t="s">
        <v>178</v>
      </c>
      <c r="I296" s="6" t="s">
        <v>93</v>
      </c>
      <c r="J296" s="6" t="s">
        <v>94</v>
      </c>
      <c r="K296" s="19">
        <v>3</v>
      </c>
      <c r="L296" s="6" t="s">
        <v>172</v>
      </c>
      <c r="M296" s="6" t="s">
        <v>220</v>
      </c>
      <c r="N296" s="6" t="s">
        <v>138</v>
      </c>
      <c r="O296" s="6" t="s">
        <v>139</v>
      </c>
      <c r="P296" s="19">
        <v>0</v>
      </c>
    </row>
    <row r="297" spans="8:16" ht="15.75" customHeight="1" x14ac:dyDescent="0.3">
      <c r="H297" s="6" t="s">
        <v>178</v>
      </c>
      <c r="I297" s="6" t="s">
        <v>98</v>
      </c>
      <c r="J297" s="6" t="s">
        <v>99</v>
      </c>
      <c r="K297" s="19">
        <v>1</v>
      </c>
      <c r="L297" s="6" t="s">
        <v>172</v>
      </c>
      <c r="M297" s="6" t="s">
        <v>220</v>
      </c>
      <c r="N297" s="6" t="s">
        <v>30</v>
      </c>
      <c r="O297" s="6" t="s">
        <v>148</v>
      </c>
      <c r="P297" s="17">
        <v>76.701999999999998</v>
      </c>
    </row>
    <row r="298" spans="8:16" ht="15.75" customHeight="1" x14ac:dyDescent="0.3">
      <c r="H298" s="6" t="s">
        <v>178</v>
      </c>
      <c r="I298" s="6" t="s">
        <v>22</v>
      </c>
      <c r="J298" s="6" t="s">
        <v>103</v>
      </c>
      <c r="K298" s="17">
        <v>135.84909999999999</v>
      </c>
      <c r="L298" s="6" t="s">
        <v>172</v>
      </c>
      <c r="M298" s="6" t="s">
        <v>220</v>
      </c>
      <c r="N298" s="6" t="s">
        <v>156</v>
      </c>
      <c r="O298" s="6" t="s">
        <v>157</v>
      </c>
      <c r="P298" s="19">
        <v>0</v>
      </c>
    </row>
    <row r="299" spans="8:16" ht="15.75" customHeight="1" x14ac:dyDescent="0.3">
      <c r="H299" s="6" t="s">
        <v>178</v>
      </c>
      <c r="I299" s="6" t="s">
        <v>23</v>
      </c>
      <c r="J299" s="6" t="s">
        <v>106</v>
      </c>
      <c r="K299" s="17">
        <v>799890.52500000002</v>
      </c>
      <c r="L299" s="6" t="s">
        <v>172</v>
      </c>
      <c r="M299" s="6" t="s">
        <v>220</v>
      </c>
      <c r="N299" s="6" t="s">
        <v>158</v>
      </c>
      <c r="O299" s="6" t="s">
        <v>159</v>
      </c>
      <c r="P299" s="19">
        <v>1</v>
      </c>
    </row>
    <row r="300" spans="8:16" ht="15.75" customHeight="1" x14ac:dyDescent="0.3">
      <c r="H300" s="6" t="s">
        <v>178</v>
      </c>
      <c r="I300" s="6" t="s">
        <v>24</v>
      </c>
      <c r="J300" s="6" t="s">
        <v>108</v>
      </c>
      <c r="K300" s="17">
        <v>2.8723000000000001</v>
      </c>
      <c r="L300" s="6" t="s">
        <v>172</v>
      </c>
      <c r="M300" s="6" t="s">
        <v>220</v>
      </c>
      <c r="N300" s="6" t="s">
        <v>160</v>
      </c>
      <c r="O300" s="6" t="s">
        <v>161</v>
      </c>
      <c r="P300" s="19">
        <v>1</v>
      </c>
    </row>
    <row r="301" spans="8:16" ht="15.75" customHeight="1" x14ac:dyDescent="0.3">
      <c r="H301" s="6" t="s">
        <v>178</v>
      </c>
      <c r="I301" s="6" t="s">
        <v>25</v>
      </c>
      <c r="J301" s="6" t="s">
        <v>110</v>
      </c>
      <c r="K301" s="19">
        <v>781</v>
      </c>
      <c r="L301" s="6" t="s">
        <v>172</v>
      </c>
      <c r="M301" s="6" t="s">
        <v>220</v>
      </c>
      <c r="N301" s="6" t="s">
        <v>162</v>
      </c>
      <c r="O301" s="6" t="s">
        <v>163</v>
      </c>
      <c r="P301" s="19">
        <v>0</v>
      </c>
    </row>
    <row r="302" spans="8:16" ht="15.75" customHeight="1" x14ac:dyDescent="0.3">
      <c r="H302" s="6" t="s">
        <v>178</v>
      </c>
      <c r="I302" s="6" t="s">
        <v>26</v>
      </c>
      <c r="J302" s="6" t="s">
        <v>112</v>
      </c>
      <c r="K302" s="19">
        <v>186</v>
      </c>
      <c r="L302" s="6" t="s">
        <v>172</v>
      </c>
      <c r="M302" s="6" t="s">
        <v>220</v>
      </c>
      <c r="N302" s="6" t="s">
        <v>165</v>
      </c>
      <c r="O302" s="6" t="s">
        <v>166</v>
      </c>
      <c r="P302" s="19">
        <v>0</v>
      </c>
    </row>
    <row r="303" spans="8:16" ht="15.75" customHeight="1" x14ac:dyDescent="0.3">
      <c r="H303" s="6" t="s">
        <v>178</v>
      </c>
      <c r="I303" s="6" t="s">
        <v>27</v>
      </c>
      <c r="J303" s="6" t="s">
        <v>114</v>
      </c>
      <c r="K303" s="17">
        <v>5888.0829999999996</v>
      </c>
      <c r="L303" s="6" t="s">
        <v>172</v>
      </c>
      <c r="M303" s="6" t="s">
        <v>221</v>
      </c>
      <c r="N303" s="6" t="s">
        <v>72</v>
      </c>
      <c r="O303" s="6" t="s">
        <v>75</v>
      </c>
      <c r="P303" s="19">
        <v>0</v>
      </c>
    </row>
    <row r="304" spans="8:16" ht="15.75" customHeight="1" x14ac:dyDescent="0.3">
      <c r="H304" s="6" t="s">
        <v>178</v>
      </c>
      <c r="I304" s="6" t="s">
        <v>115</v>
      </c>
      <c r="J304" s="6" t="s">
        <v>121</v>
      </c>
      <c r="K304" s="19">
        <v>1</v>
      </c>
      <c r="L304" s="6" t="s">
        <v>172</v>
      </c>
      <c r="M304" s="6" t="s">
        <v>221</v>
      </c>
      <c r="N304" s="6" t="s">
        <v>83</v>
      </c>
      <c r="O304" s="6" t="s">
        <v>84</v>
      </c>
      <c r="P304" s="19">
        <v>0</v>
      </c>
    </row>
    <row r="305" spans="8:16" ht="15.75" customHeight="1" x14ac:dyDescent="0.3">
      <c r="H305" s="6" t="s">
        <v>178</v>
      </c>
      <c r="I305" s="6" t="s">
        <v>116</v>
      </c>
      <c r="J305" s="6" t="s">
        <v>132</v>
      </c>
      <c r="K305" s="19">
        <v>359</v>
      </c>
      <c r="L305" s="6" t="s">
        <v>172</v>
      </c>
      <c r="M305" s="6" t="s">
        <v>221</v>
      </c>
      <c r="N305" s="6" t="s">
        <v>88</v>
      </c>
      <c r="O305" s="6" t="s">
        <v>90</v>
      </c>
      <c r="P305" s="19">
        <v>0</v>
      </c>
    </row>
    <row r="306" spans="8:16" ht="15.75" customHeight="1" x14ac:dyDescent="0.3">
      <c r="H306" s="6" t="s">
        <v>178</v>
      </c>
      <c r="I306" s="6" t="s">
        <v>30</v>
      </c>
      <c r="J306" s="6" t="s">
        <v>137</v>
      </c>
      <c r="K306" s="17">
        <v>17.296399999999998</v>
      </c>
      <c r="L306" s="6" t="s">
        <v>172</v>
      </c>
      <c r="M306" s="6" t="s">
        <v>221</v>
      </c>
      <c r="N306" s="6" t="s">
        <v>96</v>
      </c>
      <c r="O306" s="6" t="s">
        <v>97</v>
      </c>
      <c r="P306" s="19">
        <v>0</v>
      </c>
    </row>
    <row r="307" spans="8:16" ht="15.75" customHeight="1" x14ac:dyDescent="0.3">
      <c r="H307" s="6" t="s">
        <v>178</v>
      </c>
      <c r="I307" s="6" t="s">
        <v>118</v>
      </c>
      <c r="J307" s="6" t="s">
        <v>140</v>
      </c>
      <c r="K307" s="19">
        <v>117</v>
      </c>
      <c r="L307" s="6" t="s">
        <v>172</v>
      </c>
      <c r="M307" s="6" t="s">
        <v>221</v>
      </c>
      <c r="N307" s="6" t="s">
        <v>100</v>
      </c>
      <c r="O307" s="6" t="s">
        <v>101</v>
      </c>
      <c r="P307" s="19">
        <v>0</v>
      </c>
    </row>
    <row r="308" spans="8:16" ht="15.75" customHeight="1" x14ac:dyDescent="0.3">
      <c r="H308" s="6" t="s">
        <v>178</v>
      </c>
      <c r="I308" s="6" t="s">
        <v>31</v>
      </c>
      <c r="J308" s="6" t="s">
        <v>141</v>
      </c>
      <c r="K308" s="19">
        <v>215</v>
      </c>
      <c r="L308" s="6" t="s">
        <v>172</v>
      </c>
      <c r="M308" s="6" t="s">
        <v>221</v>
      </c>
      <c r="N308" s="6" t="s">
        <v>22</v>
      </c>
      <c r="O308" s="6" t="s">
        <v>104</v>
      </c>
      <c r="P308" s="19">
        <v>0</v>
      </c>
    </row>
    <row r="309" spans="8:16" ht="15.75" customHeight="1" x14ac:dyDescent="0.3">
      <c r="H309" s="6" t="s">
        <v>178</v>
      </c>
      <c r="I309" s="6" t="s">
        <v>119</v>
      </c>
      <c r="J309" s="6" t="s">
        <v>142</v>
      </c>
      <c r="K309" s="19">
        <v>4</v>
      </c>
      <c r="L309" s="6" t="s">
        <v>172</v>
      </c>
      <c r="M309" s="6" t="s">
        <v>221</v>
      </c>
      <c r="N309" s="6" t="s">
        <v>23</v>
      </c>
      <c r="O309" s="6" t="s">
        <v>107</v>
      </c>
      <c r="P309" s="25" t="s">
        <v>222</v>
      </c>
    </row>
    <row r="310" spans="8:16" ht="15.75" customHeight="1" x14ac:dyDescent="0.3">
      <c r="H310" s="6" t="s">
        <v>178</v>
      </c>
      <c r="I310" s="6" t="s">
        <v>120</v>
      </c>
      <c r="J310" s="6" t="s">
        <v>143</v>
      </c>
      <c r="K310" s="19">
        <v>23</v>
      </c>
      <c r="L310" s="6" t="s">
        <v>172</v>
      </c>
      <c r="M310" s="6" t="s">
        <v>221</v>
      </c>
      <c r="N310" s="6" t="s">
        <v>24</v>
      </c>
      <c r="O310" s="6" t="s">
        <v>109</v>
      </c>
      <c r="P310" s="25" t="s">
        <v>222</v>
      </c>
    </row>
    <row r="311" spans="8:16" ht="15.75" customHeight="1" x14ac:dyDescent="0.3">
      <c r="H311" s="6" t="s">
        <v>178</v>
      </c>
      <c r="I311" s="6" t="s">
        <v>122</v>
      </c>
      <c r="J311" s="6" t="s">
        <v>144</v>
      </c>
      <c r="K311" s="19">
        <v>16</v>
      </c>
      <c r="L311" s="6" t="s">
        <v>172</v>
      </c>
      <c r="M311" s="6" t="s">
        <v>221</v>
      </c>
      <c r="N311" s="6" t="s">
        <v>25</v>
      </c>
      <c r="O311" s="6" t="s">
        <v>111</v>
      </c>
      <c r="P311" s="19">
        <v>0</v>
      </c>
    </row>
    <row r="312" spans="8:16" ht="15.75" customHeight="1" x14ac:dyDescent="0.3">
      <c r="H312" s="6" t="s">
        <v>178</v>
      </c>
      <c r="I312" s="6" t="s">
        <v>123</v>
      </c>
      <c r="J312" s="6" t="s">
        <v>145</v>
      </c>
      <c r="K312" s="19">
        <v>70</v>
      </c>
      <c r="L312" s="6" t="s">
        <v>172</v>
      </c>
      <c r="M312" s="6" t="s">
        <v>221</v>
      </c>
      <c r="N312" s="6" t="s">
        <v>26</v>
      </c>
      <c r="O312" s="6" t="s">
        <v>113</v>
      </c>
      <c r="P312" s="19">
        <v>0</v>
      </c>
    </row>
    <row r="313" spans="8:16" ht="15.75" customHeight="1" x14ac:dyDescent="0.3">
      <c r="H313" s="6" t="s">
        <v>178</v>
      </c>
      <c r="I313" s="6" t="s">
        <v>124</v>
      </c>
      <c r="J313" s="6" t="s">
        <v>146</v>
      </c>
      <c r="K313" s="19">
        <v>0</v>
      </c>
      <c r="L313" s="6" t="s">
        <v>172</v>
      </c>
      <c r="M313" s="6" t="s">
        <v>221</v>
      </c>
      <c r="N313" s="6" t="s">
        <v>27</v>
      </c>
      <c r="O313" s="6" t="s">
        <v>117</v>
      </c>
      <c r="P313" s="25" t="s">
        <v>222</v>
      </c>
    </row>
    <row r="314" spans="8:16" ht="15.75" customHeight="1" x14ac:dyDescent="0.3">
      <c r="H314" s="6" t="s">
        <v>178</v>
      </c>
      <c r="I314" s="6" t="s">
        <v>126</v>
      </c>
      <c r="J314" s="6" t="s">
        <v>147</v>
      </c>
      <c r="K314" s="19">
        <v>24</v>
      </c>
      <c r="L314" s="6" t="s">
        <v>172</v>
      </c>
      <c r="M314" s="6" t="s">
        <v>221</v>
      </c>
      <c r="N314" s="6" t="s">
        <v>29</v>
      </c>
      <c r="O314" s="6" t="s">
        <v>125</v>
      </c>
      <c r="P314" s="19">
        <v>0</v>
      </c>
    </row>
    <row r="315" spans="8:16" ht="15.75" customHeight="1" x14ac:dyDescent="0.3">
      <c r="H315" s="6" t="s">
        <v>178</v>
      </c>
      <c r="I315" s="6" t="s">
        <v>127</v>
      </c>
      <c r="J315" s="6" t="s">
        <v>149</v>
      </c>
      <c r="K315" s="19">
        <v>54</v>
      </c>
      <c r="L315" s="6" t="s">
        <v>172</v>
      </c>
      <c r="M315" s="6" t="s">
        <v>221</v>
      </c>
      <c r="N315" s="6" t="s">
        <v>135</v>
      </c>
      <c r="O315" s="6" t="s">
        <v>136</v>
      </c>
      <c r="P315" s="19">
        <v>0</v>
      </c>
    </row>
    <row r="316" spans="8:16" ht="15.75" customHeight="1" x14ac:dyDescent="0.3">
      <c r="H316" s="6" t="s">
        <v>178</v>
      </c>
      <c r="I316" s="6" t="s">
        <v>128</v>
      </c>
      <c r="J316" s="6" t="s">
        <v>150</v>
      </c>
      <c r="K316" s="19">
        <v>0</v>
      </c>
      <c r="L316" s="6" t="s">
        <v>172</v>
      </c>
      <c r="M316" s="6" t="s">
        <v>221</v>
      </c>
      <c r="N316" s="6" t="s">
        <v>138</v>
      </c>
      <c r="O316" s="6" t="s">
        <v>139</v>
      </c>
      <c r="P316" s="19">
        <v>0</v>
      </c>
    </row>
    <row r="317" spans="8:16" ht="15.75" customHeight="1" x14ac:dyDescent="0.3">
      <c r="H317" s="6" t="s">
        <v>178</v>
      </c>
      <c r="I317" s="6" t="s">
        <v>129</v>
      </c>
      <c r="J317" s="6" t="s">
        <v>151</v>
      </c>
      <c r="K317" s="19">
        <v>0</v>
      </c>
      <c r="L317" s="6" t="s">
        <v>172</v>
      </c>
      <c r="M317" s="6" t="s">
        <v>221</v>
      </c>
      <c r="N317" s="6" t="s">
        <v>30</v>
      </c>
      <c r="O317" s="6" t="s">
        <v>148</v>
      </c>
      <c r="P317" s="19">
        <v>0</v>
      </c>
    </row>
    <row r="318" spans="8:16" ht="15.75" customHeight="1" x14ac:dyDescent="0.3">
      <c r="H318" s="6" t="s">
        <v>178</v>
      </c>
      <c r="I318" s="6" t="s">
        <v>130</v>
      </c>
      <c r="J318" s="6" t="s">
        <v>152</v>
      </c>
      <c r="K318" s="19">
        <v>80</v>
      </c>
      <c r="L318" s="6" t="s">
        <v>172</v>
      </c>
      <c r="M318" s="6" t="s">
        <v>221</v>
      </c>
      <c r="N318" s="6" t="s">
        <v>156</v>
      </c>
      <c r="O318" s="6" t="s">
        <v>157</v>
      </c>
      <c r="P318" s="19">
        <v>-1</v>
      </c>
    </row>
    <row r="319" spans="8:16" ht="15.75" customHeight="1" x14ac:dyDescent="0.3">
      <c r="H319" s="6" t="s">
        <v>178</v>
      </c>
      <c r="I319" s="6" t="s">
        <v>131</v>
      </c>
      <c r="J319" s="6" t="s">
        <v>153</v>
      </c>
      <c r="K319" s="17">
        <v>0.16600000000000001</v>
      </c>
      <c r="L319" s="6" t="s">
        <v>172</v>
      </c>
      <c r="M319" s="6" t="s">
        <v>221</v>
      </c>
      <c r="N319" s="6" t="s">
        <v>158</v>
      </c>
      <c r="O319" s="6" t="s">
        <v>159</v>
      </c>
      <c r="P319" s="19">
        <v>1</v>
      </c>
    </row>
    <row r="320" spans="8:16" ht="15.75" customHeight="1" x14ac:dyDescent="0.3">
      <c r="H320" s="6" t="s">
        <v>178</v>
      </c>
      <c r="I320" s="6" t="s">
        <v>133</v>
      </c>
      <c r="J320" s="6" t="s">
        <v>154</v>
      </c>
      <c r="K320" s="17">
        <v>0.82609999999999995</v>
      </c>
      <c r="L320" s="6" t="s">
        <v>172</v>
      </c>
      <c r="M320" s="6" t="s">
        <v>221</v>
      </c>
      <c r="N320" s="6" t="s">
        <v>160</v>
      </c>
      <c r="O320" s="6" t="s">
        <v>161</v>
      </c>
      <c r="P320" s="19">
        <v>0</v>
      </c>
    </row>
    <row r="321" spans="8:16" ht="15.75" customHeight="1" x14ac:dyDescent="0.3">
      <c r="H321" s="6" t="s">
        <v>178</v>
      </c>
      <c r="I321" s="6" t="s">
        <v>134</v>
      </c>
      <c r="J321" s="6" t="s">
        <v>155</v>
      </c>
      <c r="K321" s="19">
        <v>69</v>
      </c>
      <c r="L321" s="6" t="s">
        <v>172</v>
      </c>
      <c r="M321" s="6" t="s">
        <v>221</v>
      </c>
      <c r="N321" s="6" t="s">
        <v>162</v>
      </c>
      <c r="O321" s="6" t="s">
        <v>163</v>
      </c>
      <c r="P321" s="19">
        <v>0</v>
      </c>
    </row>
    <row r="322" spans="8:16" ht="15.75" customHeight="1" x14ac:dyDescent="0.3">
      <c r="H322" s="6" t="s">
        <v>180</v>
      </c>
      <c r="I322" s="6" t="s">
        <v>58</v>
      </c>
      <c r="J322" s="6" t="s">
        <v>60</v>
      </c>
      <c r="K322" s="19">
        <v>4</v>
      </c>
      <c r="L322" s="6" t="s">
        <v>172</v>
      </c>
      <c r="M322" s="6" t="s">
        <v>221</v>
      </c>
      <c r="N322" s="6" t="s">
        <v>165</v>
      </c>
      <c r="O322" s="6" t="s">
        <v>166</v>
      </c>
      <c r="P322" s="19">
        <v>1</v>
      </c>
    </row>
    <row r="323" spans="8:16" ht="15.75" customHeight="1" x14ac:dyDescent="0.3">
      <c r="H323" s="6" t="s">
        <v>180</v>
      </c>
      <c r="I323" s="6" t="s">
        <v>72</v>
      </c>
      <c r="J323" s="6" t="s">
        <v>82</v>
      </c>
      <c r="K323" s="19">
        <v>10</v>
      </c>
      <c r="L323" s="6" t="s">
        <v>172</v>
      </c>
      <c r="M323" s="6" t="s">
        <v>223</v>
      </c>
      <c r="N323" s="6" t="s">
        <v>72</v>
      </c>
      <c r="O323" s="6" t="s">
        <v>75</v>
      </c>
      <c r="P323" s="19">
        <v>0</v>
      </c>
    </row>
    <row r="324" spans="8:16" ht="15.75" customHeight="1" x14ac:dyDescent="0.3">
      <c r="H324" s="6" t="s">
        <v>180</v>
      </c>
      <c r="I324" s="6" t="s">
        <v>85</v>
      </c>
      <c r="J324" s="6" t="s">
        <v>86</v>
      </c>
      <c r="K324" s="19">
        <v>5</v>
      </c>
      <c r="L324" s="6" t="s">
        <v>172</v>
      </c>
      <c r="M324" s="6" t="s">
        <v>223</v>
      </c>
      <c r="N324" s="6" t="s">
        <v>83</v>
      </c>
      <c r="O324" s="6" t="s">
        <v>84</v>
      </c>
      <c r="P324" s="19">
        <v>0</v>
      </c>
    </row>
    <row r="325" spans="8:16" ht="15.75" customHeight="1" x14ac:dyDescent="0.3">
      <c r="H325" s="6" t="s">
        <v>180</v>
      </c>
      <c r="I325" s="6" t="s">
        <v>93</v>
      </c>
      <c r="J325" s="6" t="s">
        <v>94</v>
      </c>
      <c r="K325" s="19">
        <v>0</v>
      </c>
      <c r="L325" s="6" t="s">
        <v>172</v>
      </c>
      <c r="M325" s="6" t="s">
        <v>223</v>
      </c>
      <c r="N325" s="6" t="s">
        <v>88</v>
      </c>
      <c r="O325" s="6" t="s">
        <v>90</v>
      </c>
      <c r="P325" s="19">
        <v>0</v>
      </c>
    </row>
    <row r="326" spans="8:16" ht="15.75" customHeight="1" x14ac:dyDescent="0.3">
      <c r="H326" s="6" t="s">
        <v>180</v>
      </c>
      <c r="I326" s="6" t="s">
        <v>98</v>
      </c>
      <c r="J326" s="6" t="s">
        <v>99</v>
      </c>
      <c r="K326" s="19">
        <v>1</v>
      </c>
      <c r="L326" s="6" t="s">
        <v>172</v>
      </c>
      <c r="M326" s="6" t="s">
        <v>223</v>
      </c>
      <c r="N326" s="6" t="s">
        <v>96</v>
      </c>
      <c r="O326" s="6" t="s">
        <v>97</v>
      </c>
      <c r="P326" s="19">
        <v>0</v>
      </c>
    </row>
    <row r="327" spans="8:16" ht="15.75" customHeight="1" x14ac:dyDescent="0.3">
      <c r="H327" s="6" t="s">
        <v>180</v>
      </c>
      <c r="I327" s="6" t="s">
        <v>22</v>
      </c>
      <c r="J327" s="6" t="s">
        <v>103</v>
      </c>
      <c r="K327" s="17">
        <v>54.576300000000003</v>
      </c>
      <c r="L327" s="6" t="s">
        <v>172</v>
      </c>
      <c r="M327" s="6" t="s">
        <v>223</v>
      </c>
      <c r="N327" s="6" t="s">
        <v>100</v>
      </c>
      <c r="O327" s="6" t="s">
        <v>101</v>
      </c>
      <c r="P327" s="19">
        <v>0</v>
      </c>
    </row>
    <row r="328" spans="8:16" ht="15.75" customHeight="1" x14ac:dyDescent="0.3">
      <c r="H328" s="6" t="s">
        <v>180</v>
      </c>
      <c r="I328" s="6" t="s">
        <v>23</v>
      </c>
      <c r="J328" s="6" t="s">
        <v>106</v>
      </c>
      <c r="K328" s="17">
        <v>88917.114499999996</v>
      </c>
      <c r="L328" s="6" t="s">
        <v>172</v>
      </c>
      <c r="M328" s="6" t="s">
        <v>223</v>
      </c>
      <c r="N328" s="6" t="s">
        <v>22</v>
      </c>
      <c r="O328" s="6" t="s">
        <v>104</v>
      </c>
      <c r="P328" s="19">
        <v>0</v>
      </c>
    </row>
    <row r="329" spans="8:16" ht="15.75" customHeight="1" x14ac:dyDescent="0.3">
      <c r="H329" s="6" t="s">
        <v>180</v>
      </c>
      <c r="I329" s="6" t="s">
        <v>24</v>
      </c>
      <c r="J329" s="6" t="s">
        <v>108</v>
      </c>
      <c r="K329" s="17">
        <v>0.66410000000000002</v>
      </c>
      <c r="L329" s="6" t="s">
        <v>172</v>
      </c>
      <c r="M329" s="6" t="s">
        <v>223</v>
      </c>
      <c r="N329" s="6" t="s">
        <v>23</v>
      </c>
      <c r="O329" s="6" t="s">
        <v>107</v>
      </c>
      <c r="P329" s="25" t="s">
        <v>222</v>
      </c>
    </row>
    <row r="330" spans="8:16" ht="15.75" customHeight="1" x14ac:dyDescent="0.3">
      <c r="H330" s="6" t="s">
        <v>180</v>
      </c>
      <c r="I330" s="6" t="s">
        <v>25</v>
      </c>
      <c r="J330" s="6" t="s">
        <v>110</v>
      </c>
      <c r="K330" s="19">
        <v>238</v>
      </c>
      <c r="L330" s="6" t="s">
        <v>172</v>
      </c>
      <c r="M330" s="6" t="s">
        <v>223</v>
      </c>
      <c r="N330" s="6" t="s">
        <v>24</v>
      </c>
      <c r="O330" s="6" t="s">
        <v>109</v>
      </c>
      <c r="P330" s="25" t="s">
        <v>222</v>
      </c>
    </row>
    <row r="331" spans="8:16" ht="15.75" customHeight="1" x14ac:dyDescent="0.3">
      <c r="H331" s="6" t="s">
        <v>180</v>
      </c>
      <c r="I331" s="6" t="s">
        <v>26</v>
      </c>
      <c r="J331" s="6" t="s">
        <v>112</v>
      </c>
      <c r="K331" s="19">
        <v>115</v>
      </c>
      <c r="L331" s="6" t="s">
        <v>172</v>
      </c>
      <c r="M331" s="6" t="s">
        <v>223</v>
      </c>
      <c r="N331" s="6" t="s">
        <v>25</v>
      </c>
      <c r="O331" s="6" t="s">
        <v>111</v>
      </c>
      <c r="P331" s="19">
        <v>0</v>
      </c>
    </row>
    <row r="332" spans="8:16" ht="15.75" customHeight="1" x14ac:dyDescent="0.3">
      <c r="H332" s="6" t="s">
        <v>180</v>
      </c>
      <c r="I332" s="6" t="s">
        <v>27</v>
      </c>
      <c r="J332" s="6" t="s">
        <v>114</v>
      </c>
      <c r="K332" s="17">
        <v>1629.2266</v>
      </c>
      <c r="L332" s="6" t="s">
        <v>172</v>
      </c>
      <c r="M332" s="6" t="s">
        <v>223</v>
      </c>
      <c r="N332" s="6" t="s">
        <v>26</v>
      </c>
      <c r="O332" s="6" t="s">
        <v>113</v>
      </c>
      <c r="P332" s="19">
        <v>0</v>
      </c>
    </row>
    <row r="333" spans="8:16" ht="15.75" customHeight="1" x14ac:dyDescent="0.3">
      <c r="H333" s="6" t="s">
        <v>180</v>
      </c>
      <c r="I333" s="6" t="s">
        <v>115</v>
      </c>
      <c r="J333" s="6" t="s">
        <v>121</v>
      </c>
      <c r="K333" s="19">
        <v>1</v>
      </c>
      <c r="L333" s="6" t="s">
        <v>172</v>
      </c>
      <c r="M333" s="6" t="s">
        <v>223</v>
      </c>
      <c r="N333" s="6" t="s">
        <v>27</v>
      </c>
      <c r="O333" s="6" t="s">
        <v>117</v>
      </c>
      <c r="P333" s="25" t="s">
        <v>222</v>
      </c>
    </row>
    <row r="334" spans="8:16" ht="15.75" customHeight="1" x14ac:dyDescent="0.3">
      <c r="H334" s="6" t="s">
        <v>180</v>
      </c>
      <c r="I334" s="6" t="s">
        <v>116</v>
      </c>
      <c r="J334" s="6" t="s">
        <v>132</v>
      </c>
      <c r="K334" s="19">
        <v>74</v>
      </c>
      <c r="L334" s="6" t="s">
        <v>172</v>
      </c>
      <c r="M334" s="6" t="s">
        <v>223</v>
      </c>
      <c r="N334" s="6" t="s">
        <v>29</v>
      </c>
      <c r="O334" s="6" t="s">
        <v>125</v>
      </c>
      <c r="P334" s="19">
        <v>0</v>
      </c>
    </row>
    <row r="335" spans="8:16" ht="15.75" customHeight="1" x14ac:dyDescent="0.3">
      <c r="H335" s="6" t="s">
        <v>180</v>
      </c>
      <c r="I335" s="6" t="s">
        <v>30</v>
      </c>
      <c r="J335" s="6" t="s">
        <v>137</v>
      </c>
      <c r="K335" s="17">
        <v>36.361800000000002</v>
      </c>
      <c r="L335" s="6" t="s">
        <v>172</v>
      </c>
      <c r="M335" s="6" t="s">
        <v>223</v>
      </c>
      <c r="N335" s="6" t="s">
        <v>135</v>
      </c>
      <c r="O335" s="6" t="s">
        <v>136</v>
      </c>
      <c r="P335" s="19">
        <v>0</v>
      </c>
    </row>
    <row r="336" spans="8:16" ht="15.75" customHeight="1" x14ac:dyDescent="0.3">
      <c r="H336" s="6" t="s">
        <v>180</v>
      </c>
      <c r="I336" s="6" t="s">
        <v>118</v>
      </c>
      <c r="J336" s="6" t="s">
        <v>140</v>
      </c>
      <c r="K336" s="19">
        <v>52</v>
      </c>
      <c r="L336" s="6" t="s">
        <v>172</v>
      </c>
      <c r="M336" s="6" t="s">
        <v>223</v>
      </c>
      <c r="N336" s="6" t="s">
        <v>138</v>
      </c>
      <c r="O336" s="6" t="s">
        <v>139</v>
      </c>
      <c r="P336" s="19">
        <v>0</v>
      </c>
    </row>
    <row r="337" spans="8:16" ht="15.75" customHeight="1" x14ac:dyDescent="0.3">
      <c r="H337" s="6" t="s">
        <v>180</v>
      </c>
      <c r="I337" s="6" t="s">
        <v>31</v>
      </c>
      <c r="J337" s="6" t="s">
        <v>141</v>
      </c>
      <c r="K337" s="19">
        <v>63</v>
      </c>
      <c r="L337" s="6" t="s">
        <v>172</v>
      </c>
      <c r="M337" s="6" t="s">
        <v>223</v>
      </c>
      <c r="N337" s="6" t="s">
        <v>30</v>
      </c>
      <c r="O337" s="6" t="s">
        <v>148</v>
      </c>
      <c r="P337" s="19">
        <v>0</v>
      </c>
    </row>
    <row r="338" spans="8:16" ht="15.75" customHeight="1" x14ac:dyDescent="0.3">
      <c r="H338" s="6" t="s">
        <v>180</v>
      </c>
      <c r="I338" s="6" t="s">
        <v>119</v>
      </c>
      <c r="J338" s="6" t="s">
        <v>142</v>
      </c>
      <c r="K338" s="19">
        <v>0</v>
      </c>
      <c r="L338" s="6" t="s">
        <v>172</v>
      </c>
      <c r="M338" s="6" t="s">
        <v>223</v>
      </c>
      <c r="N338" s="6" t="s">
        <v>156</v>
      </c>
      <c r="O338" s="6" t="s">
        <v>157</v>
      </c>
      <c r="P338" s="19">
        <v>-1</v>
      </c>
    </row>
    <row r="339" spans="8:16" ht="15.75" customHeight="1" x14ac:dyDescent="0.3">
      <c r="H339" s="6" t="s">
        <v>180</v>
      </c>
      <c r="I339" s="6" t="s">
        <v>120</v>
      </c>
      <c r="J339" s="6" t="s">
        <v>143</v>
      </c>
      <c r="K339" s="19">
        <v>5</v>
      </c>
      <c r="L339" s="6" t="s">
        <v>172</v>
      </c>
      <c r="M339" s="6" t="s">
        <v>223</v>
      </c>
      <c r="N339" s="6" t="s">
        <v>158</v>
      </c>
      <c r="O339" s="6" t="s">
        <v>159</v>
      </c>
      <c r="P339" s="19">
        <v>1</v>
      </c>
    </row>
    <row r="340" spans="8:16" ht="15.75" customHeight="1" x14ac:dyDescent="0.3">
      <c r="H340" s="6" t="s">
        <v>180</v>
      </c>
      <c r="I340" s="6" t="s">
        <v>122</v>
      </c>
      <c r="J340" s="6" t="s">
        <v>144</v>
      </c>
      <c r="K340" s="19">
        <v>2</v>
      </c>
      <c r="L340" s="6" t="s">
        <v>172</v>
      </c>
      <c r="M340" s="6" t="s">
        <v>223</v>
      </c>
      <c r="N340" s="6" t="s">
        <v>160</v>
      </c>
      <c r="O340" s="6" t="s">
        <v>161</v>
      </c>
      <c r="P340" s="19">
        <v>0</v>
      </c>
    </row>
    <row r="341" spans="8:16" ht="15.75" customHeight="1" x14ac:dyDescent="0.3">
      <c r="H341" s="6" t="s">
        <v>180</v>
      </c>
      <c r="I341" s="6" t="s">
        <v>123</v>
      </c>
      <c r="J341" s="6" t="s">
        <v>145</v>
      </c>
      <c r="K341" s="19">
        <v>21</v>
      </c>
      <c r="L341" s="6" t="s">
        <v>172</v>
      </c>
      <c r="M341" s="6" t="s">
        <v>223</v>
      </c>
      <c r="N341" s="6" t="s">
        <v>162</v>
      </c>
      <c r="O341" s="6" t="s">
        <v>163</v>
      </c>
      <c r="P341" s="19">
        <v>0</v>
      </c>
    </row>
    <row r="342" spans="8:16" ht="15.75" customHeight="1" x14ac:dyDescent="0.3">
      <c r="H342" s="6" t="s">
        <v>180</v>
      </c>
      <c r="I342" s="6" t="s">
        <v>124</v>
      </c>
      <c r="J342" s="6" t="s">
        <v>146</v>
      </c>
      <c r="K342" s="25" t="s">
        <v>169</v>
      </c>
      <c r="L342" s="6" t="s">
        <v>172</v>
      </c>
      <c r="M342" s="6" t="s">
        <v>223</v>
      </c>
      <c r="N342" s="6" t="s">
        <v>165</v>
      </c>
      <c r="O342" s="6" t="s">
        <v>166</v>
      </c>
      <c r="P342" s="19">
        <v>0</v>
      </c>
    </row>
    <row r="343" spans="8:16" ht="15.75" customHeight="1" x14ac:dyDescent="0.3">
      <c r="H343" s="6" t="s">
        <v>180</v>
      </c>
      <c r="I343" s="6" t="s">
        <v>126</v>
      </c>
      <c r="J343" s="6" t="s">
        <v>147</v>
      </c>
      <c r="K343" s="19">
        <v>6</v>
      </c>
      <c r="L343" s="6" t="s">
        <v>174</v>
      </c>
      <c r="M343" s="6" t="s">
        <v>224</v>
      </c>
      <c r="N343" s="6" t="s">
        <v>72</v>
      </c>
      <c r="O343" s="6" t="s">
        <v>75</v>
      </c>
      <c r="P343" s="19">
        <v>0</v>
      </c>
    </row>
    <row r="344" spans="8:16" ht="15.75" customHeight="1" x14ac:dyDescent="0.3">
      <c r="H344" s="6" t="s">
        <v>180</v>
      </c>
      <c r="I344" s="6" t="s">
        <v>127</v>
      </c>
      <c r="J344" s="6" t="s">
        <v>149</v>
      </c>
      <c r="K344" s="19">
        <v>19</v>
      </c>
      <c r="L344" s="6" t="s">
        <v>174</v>
      </c>
      <c r="M344" s="6" t="s">
        <v>224</v>
      </c>
      <c r="N344" s="6" t="s">
        <v>83</v>
      </c>
      <c r="O344" s="6" t="s">
        <v>84</v>
      </c>
      <c r="P344" s="19">
        <v>0</v>
      </c>
    </row>
    <row r="345" spans="8:16" ht="15.75" customHeight="1" x14ac:dyDescent="0.3">
      <c r="H345" s="6" t="s">
        <v>180</v>
      </c>
      <c r="I345" s="6" t="s">
        <v>128</v>
      </c>
      <c r="J345" s="6" t="s">
        <v>150</v>
      </c>
      <c r="K345" s="19">
        <v>0</v>
      </c>
      <c r="L345" s="6" t="s">
        <v>174</v>
      </c>
      <c r="M345" s="6" t="s">
        <v>224</v>
      </c>
      <c r="N345" s="6" t="s">
        <v>88</v>
      </c>
      <c r="O345" s="6" t="s">
        <v>90</v>
      </c>
      <c r="P345" s="19">
        <v>0</v>
      </c>
    </row>
    <row r="346" spans="8:16" ht="15.75" customHeight="1" x14ac:dyDescent="0.3">
      <c r="H346" s="6" t="s">
        <v>180</v>
      </c>
      <c r="I346" s="6" t="s">
        <v>129</v>
      </c>
      <c r="J346" s="6" t="s">
        <v>151</v>
      </c>
      <c r="K346" s="19">
        <v>0</v>
      </c>
      <c r="L346" s="6" t="s">
        <v>174</v>
      </c>
      <c r="M346" s="6" t="s">
        <v>224</v>
      </c>
      <c r="N346" s="6" t="s">
        <v>96</v>
      </c>
      <c r="O346" s="6" t="s">
        <v>97</v>
      </c>
      <c r="P346" s="19">
        <v>0</v>
      </c>
    </row>
    <row r="347" spans="8:16" ht="15.75" customHeight="1" x14ac:dyDescent="0.3">
      <c r="H347" s="6" t="s">
        <v>180</v>
      </c>
      <c r="I347" s="6" t="s">
        <v>130</v>
      </c>
      <c r="J347" s="6" t="s">
        <v>152</v>
      </c>
      <c r="K347" s="19">
        <v>41</v>
      </c>
      <c r="L347" s="6" t="s">
        <v>174</v>
      </c>
      <c r="M347" s="6" t="s">
        <v>224</v>
      </c>
      <c r="N347" s="6" t="s">
        <v>100</v>
      </c>
      <c r="O347" s="6" t="s">
        <v>101</v>
      </c>
      <c r="P347" s="19">
        <v>0</v>
      </c>
    </row>
    <row r="348" spans="8:16" ht="15.75" customHeight="1" x14ac:dyDescent="0.3">
      <c r="H348" s="6" t="s">
        <v>180</v>
      </c>
      <c r="I348" s="6" t="s">
        <v>131</v>
      </c>
      <c r="J348" s="6" t="s">
        <v>153</v>
      </c>
      <c r="K348" s="19">
        <v>0</v>
      </c>
      <c r="L348" s="6" t="s">
        <v>174</v>
      </c>
      <c r="M348" s="6" t="s">
        <v>224</v>
      </c>
      <c r="N348" s="6" t="s">
        <v>22</v>
      </c>
      <c r="O348" s="6" t="s">
        <v>104</v>
      </c>
      <c r="P348" s="19">
        <v>1</v>
      </c>
    </row>
    <row r="349" spans="8:16" ht="15.75" customHeight="1" x14ac:dyDescent="0.3">
      <c r="H349" s="6" t="s">
        <v>180</v>
      </c>
      <c r="I349" s="6" t="s">
        <v>133</v>
      </c>
      <c r="J349" s="6" t="s">
        <v>154</v>
      </c>
      <c r="K349" s="19">
        <v>1</v>
      </c>
      <c r="L349" s="6" t="s">
        <v>174</v>
      </c>
      <c r="M349" s="6" t="s">
        <v>224</v>
      </c>
      <c r="N349" s="6" t="s">
        <v>23</v>
      </c>
      <c r="O349" s="6" t="s">
        <v>107</v>
      </c>
      <c r="P349" s="19">
        <v>8</v>
      </c>
    </row>
    <row r="350" spans="8:16" ht="15.75" customHeight="1" x14ac:dyDescent="0.3">
      <c r="H350" s="6" t="s">
        <v>180</v>
      </c>
      <c r="I350" s="6" t="s">
        <v>134</v>
      </c>
      <c r="J350" s="6" t="s">
        <v>155</v>
      </c>
      <c r="K350" s="19">
        <v>16</v>
      </c>
      <c r="L350" s="6" t="s">
        <v>174</v>
      </c>
      <c r="M350" s="6" t="s">
        <v>224</v>
      </c>
      <c r="N350" s="6" t="s">
        <v>24</v>
      </c>
      <c r="O350" s="6" t="s">
        <v>109</v>
      </c>
      <c r="P350" s="17">
        <v>1.2999999999999999E-3</v>
      </c>
    </row>
    <row r="351" spans="8:16" ht="15.75" customHeight="1" x14ac:dyDescent="0.3">
      <c r="H351" s="6" t="s">
        <v>181</v>
      </c>
      <c r="I351" s="6" t="s">
        <v>58</v>
      </c>
      <c r="J351" s="6" t="s">
        <v>60</v>
      </c>
      <c r="K351" s="19">
        <v>1</v>
      </c>
      <c r="L351" s="6" t="s">
        <v>174</v>
      </c>
      <c r="M351" s="6" t="s">
        <v>224</v>
      </c>
      <c r="N351" s="6" t="s">
        <v>25</v>
      </c>
      <c r="O351" s="6" t="s">
        <v>111</v>
      </c>
      <c r="P351" s="19">
        <v>4</v>
      </c>
    </row>
    <row r="352" spans="8:16" ht="15.75" customHeight="1" x14ac:dyDescent="0.3">
      <c r="H352" s="6" t="s">
        <v>181</v>
      </c>
      <c r="I352" s="6" t="s">
        <v>72</v>
      </c>
      <c r="J352" s="6" t="s">
        <v>82</v>
      </c>
      <c r="K352" s="19">
        <v>5</v>
      </c>
      <c r="L352" s="6" t="s">
        <v>174</v>
      </c>
      <c r="M352" s="6" t="s">
        <v>224</v>
      </c>
      <c r="N352" s="6" t="s">
        <v>26</v>
      </c>
      <c r="O352" s="6" t="s">
        <v>113</v>
      </c>
      <c r="P352" s="19">
        <v>4</v>
      </c>
    </row>
    <row r="353" spans="8:16" ht="15.75" customHeight="1" x14ac:dyDescent="0.3">
      <c r="H353" s="6" t="s">
        <v>181</v>
      </c>
      <c r="I353" s="6" t="s">
        <v>85</v>
      </c>
      <c r="J353" s="6" t="s">
        <v>86</v>
      </c>
      <c r="K353" s="19">
        <v>7</v>
      </c>
      <c r="L353" s="6" t="s">
        <v>174</v>
      </c>
      <c r="M353" s="6" t="s">
        <v>224</v>
      </c>
      <c r="N353" s="6" t="s">
        <v>27</v>
      </c>
      <c r="O353" s="6" t="s">
        <v>117</v>
      </c>
      <c r="P353" s="19">
        <v>8</v>
      </c>
    </row>
    <row r="354" spans="8:16" ht="15.75" customHeight="1" x14ac:dyDescent="0.3">
      <c r="H354" s="6" t="s">
        <v>181</v>
      </c>
      <c r="I354" s="6" t="s">
        <v>93</v>
      </c>
      <c r="J354" s="6" t="s">
        <v>94</v>
      </c>
      <c r="K354" s="19">
        <v>5</v>
      </c>
      <c r="L354" s="6" t="s">
        <v>174</v>
      </c>
      <c r="M354" s="6" t="s">
        <v>224</v>
      </c>
      <c r="N354" s="6" t="s">
        <v>29</v>
      </c>
      <c r="O354" s="6" t="s">
        <v>125</v>
      </c>
      <c r="P354" s="19">
        <v>9</v>
      </c>
    </row>
    <row r="355" spans="8:16" ht="15.75" customHeight="1" x14ac:dyDescent="0.3">
      <c r="H355" s="6" t="s">
        <v>181</v>
      </c>
      <c r="I355" s="6" t="s">
        <v>98</v>
      </c>
      <c r="J355" s="6" t="s">
        <v>99</v>
      </c>
      <c r="K355" s="19">
        <v>1</v>
      </c>
      <c r="L355" s="6" t="s">
        <v>174</v>
      </c>
      <c r="M355" s="6" t="s">
        <v>224</v>
      </c>
      <c r="N355" s="6" t="s">
        <v>135</v>
      </c>
      <c r="O355" s="6" t="s">
        <v>136</v>
      </c>
      <c r="P355" s="19">
        <v>1</v>
      </c>
    </row>
    <row r="356" spans="8:16" ht="15.75" customHeight="1" x14ac:dyDescent="0.3">
      <c r="H356" s="6" t="s">
        <v>181</v>
      </c>
      <c r="I356" s="6" t="s">
        <v>22</v>
      </c>
      <c r="J356" s="6" t="s">
        <v>103</v>
      </c>
      <c r="K356" s="17">
        <v>55.137099999999997</v>
      </c>
      <c r="L356" s="6" t="s">
        <v>174</v>
      </c>
      <c r="M356" s="6" t="s">
        <v>224</v>
      </c>
      <c r="N356" s="6" t="s">
        <v>138</v>
      </c>
      <c r="O356" s="6" t="s">
        <v>139</v>
      </c>
      <c r="P356" s="19">
        <v>0</v>
      </c>
    </row>
    <row r="357" spans="8:16" ht="15.75" customHeight="1" x14ac:dyDescent="0.3">
      <c r="H357" s="6" t="s">
        <v>181</v>
      </c>
      <c r="I357" s="6" t="s">
        <v>23</v>
      </c>
      <c r="J357" s="6" t="s">
        <v>106</v>
      </c>
      <c r="K357" s="17">
        <v>100021.71859999999</v>
      </c>
      <c r="L357" s="6" t="s">
        <v>174</v>
      </c>
      <c r="M357" s="6" t="s">
        <v>224</v>
      </c>
      <c r="N357" s="6" t="s">
        <v>30</v>
      </c>
      <c r="O357" s="6" t="s">
        <v>148</v>
      </c>
      <c r="P357" s="17">
        <v>72.860699999999994</v>
      </c>
    </row>
    <row r="358" spans="8:16" ht="15.75" customHeight="1" x14ac:dyDescent="0.3">
      <c r="H358" s="6" t="s">
        <v>181</v>
      </c>
      <c r="I358" s="6" t="s">
        <v>24</v>
      </c>
      <c r="J358" s="6" t="s">
        <v>108</v>
      </c>
      <c r="K358" s="17">
        <v>0.71819999999999995</v>
      </c>
      <c r="L358" s="6" t="s">
        <v>174</v>
      </c>
      <c r="M358" s="6" t="s">
        <v>224</v>
      </c>
      <c r="N358" s="6" t="s">
        <v>156</v>
      </c>
      <c r="O358" s="6" t="s">
        <v>157</v>
      </c>
      <c r="P358" s="19">
        <v>0</v>
      </c>
    </row>
    <row r="359" spans="8:16" ht="15.75" customHeight="1" x14ac:dyDescent="0.3">
      <c r="H359" s="6" t="s">
        <v>181</v>
      </c>
      <c r="I359" s="6" t="s">
        <v>25</v>
      </c>
      <c r="J359" s="6" t="s">
        <v>110</v>
      </c>
      <c r="K359" s="19">
        <v>265</v>
      </c>
      <c r="L359" s="6" t="s">
        <v>174</v>
      </c>
      <c r="M359" s="6" t="s">
        <v>224</v>
      </c>
      <c r="N359" s="6" t="s">
        <v>158</v>
      </c>
      <c r="O359" s="6" t="s">
        <v>159</v>
      </c>
      <c r="P359" s="19">
        <v>1</v>
      </c>
    </row>
    <row r="360" spans="8:16" ht="15.75" customHeight="1" x14ac:dyDescent="0.3">
      <c r="H360" s="6" t="s">
        <v>181</v>
      </c>
      <c r="I360" s="6" t="s">
        <v>26</v>
      </c>
      <c r="J360" s="6" t="s">
        <v>112</v>
      </c>
      <c r="K360" s="19">
        <v>115</v>
      </c>
      <c r="L360" s="6" t="s">
        <v>174</v>
      </c>
      <c r="M360" s="6" t="s">
        <v>224</v>
      </c>
      <c r="N360" s="6" t="s">
        <v>160</v>
      </c>
      <c r="O360" s="6" t="s">
        <v>161</v>
      </c>
      <c r="P360" s="19">
        <v>2</v>
      </c>
    </row>
    <row r="361" spans="8:16" ht="15.75" customHeight="1" x14ac:dyDescent="0.3">
      <c r="H361" s="6" t="s">
        <v>181</v>
      </c>
      <c r="I361" s="6" t="s">
        <v>27</v>
      </c>
      <c r="J361" s="6" t="s">
        <v>114</v>
      </c>
      <c r="K361" s="17">
        <v>1814.0549000000001</v>
      </c>
      <c r="L361" s="6" t="s">
        <v>174</v>
      </c>
      <c r="M361" s="6" t="s">
        <v>224</v>
      </c>
      <c r="N361" s="6" t="s">
        <v>162</v>
      </c>
      <c r="O361" s="6" t="s">
        <v>163</v>
      </c>
      <c r="P361" s="19">
        <v>0</v>
      </c>
    </row>
    <row r="362" spans="8:16" ht="15.75" customHeight="1" x14ac:dyDescent="0.3">
      <c r="H362" s="6" t="s">
        <v>181</v>
      </c>
      <c r="I362" s="6" t="s">
        <v>115</v>
      </c>
      <c r="J362" s="6" t="s">
        <v>121</v>
      </c>
      <c r="K362" s="19">
        <v>3</v>
      </c>
      <c r="L362" s="6" t="s">
        <v>174</v>
      </c>
      <c r="M362" s="6" t="s">
        <v>224</v>
      </c>
      <c r="N362" s="6" t="s">
        <v>165</v>
      </c>
      <c r="O362" s="6" t="s">
        <v>166</v>
      </c>
      <c r="P362" s="19">
        <v>1</v>
      </c>
    </row>
    <row r="363" spans="8:16" ht="15.75" customHeight="1" x14ac:dyDescent="0.3">
      <c r="H363" s="6" t="s">
        <v>181</v>
      </c>
      <c r="I363" s="6" t="s">
        <v>116</v>
      </c>
      <c r="J363" s="6" t="s">
        <v>132</v>
      </c>
      <c r="K363" s="19">
        <v>81</v>
      </c>
      <c r="L363" s="6" t="s">
        <v>174</v>
      </c>
      <c r="M363" s="6" t="s">
        <v>225</v>
      </c>
      <c r="N363" s="6" t="s">
        <v>72</v>
      </c>
      <c r="O363" s="6" t="s">
        <v>75</v>
      </c>
      <c r="P363" s="19">
        <v>1</v>
      </c>
    </row>
    <row r="364" spans="8:16" ht="15.75" customHeight="1" x14ac:dyDescent="0.3">
      <c r="H364" s="6" t="s">
        <v>181</v>
      </c>
      <c r="I364" s="6" t="s">
        <v>30</v>
      </c>
      <c r="J364" s="6" t="s">
        <v>137</v>
      </c>
      <c r="K364" s="17">
        <v>35.217100000000002</v>
      </c>
      <c r="L364" s="6" t="s">
        <v>174</v>
      </c>
      <c r="M364" s="6" t="s">
        <v>225</v>
      </c>
      <c r="N364" s="6" t="s">
        <v>83</v>
      </c>
      <c r="O364" s="6" t="s">
        <v>84</v>
      </c>
      <c r="P364" s="19">
        <v>0</v>
      </c>
    </row>
    <row r="365" spans="8:16" ht="15.75" customHeight="1" x14ac:dyDescent="0.3">
      <c r="H365" s="6" t="s">
        <v>181</v>
      </c>
      <c r="I365" s="6" t="s">
        <v>118</v>
      </c>
      <c r="J365" s="6" t="s">
        <v>140</v>
      </c>
      <c r="K365" s="19">
        <v>3</v>
      </c>
      <c r="L365" s="6" t="s">
        <v>174</v>
      </c>
      <c r="M365" s="6" t="s">
        <v>225</v>
      </c>
      <c r="N365" s="6" t="s">
        <v>88</v>
      </c>
      <c r="O365" s="6" t="s">
        <v>90</v>
      </c>
      <c r="P365" s="19">
        <v>0</v>
      </c>
    </row>
    <row r="366" spans="8:16" ht="15.75" customHeight="1" x14ac:dyDescent="0.3">
      <c r="H366" s="6" t="s">
        <v>181</v>
      </c>
      <c r="I366" s="6" t="s">
        <v>31</v>
      </c>
      <c r="J366" s="6" t="s">
        <v>141</v>
      </c>
      <c r="K366" s="19">
        <v>56</v>
      </c>
      <c r="L366" s="6" t="s">
        <v>174</v>
      </c>
      <c r="M366" s="6" t="s">
        <v>225</v>
      </c>
      <c r="N366" s="6" t="s">
        <v>96</v>
      </c>
      <c r="O366" s="6" t="s">
        <v>97</v>
      </c>
      <c r="P366" s="19">
        <v>0</v>
      </c>
    </row>
    <row r="367" spans="8:16" ht="15.75" customHeight="1" x14ac:dyDescent="0.3">
      <c r="H367" s="6" t="s">
        <v>181</v>
      </c>
      <c r="I367" s="6" t="s">
        <v>119</v>
      </c>
      <c r="J367" s="6" t="s">
        <v>142</v>
      </c>
      <c r="K367" s="19">
        <v>0</v>
      </c>
      <c r="L367" s="6" t="s">
        <v>174</v>
      </c>
      <c r="M367" s="6" t="s">
        <v>225</v>
      </c>
      <c r="N367" s="6" t="s">
        <v>100</v>
      </c>
      <c r="O367" s="6" t="s">
        <v>101</v>
      </c>
      <c r="P367" s="19">
        <v>0</v>
      </c>
    </row>
    <row r="368" spans="8:16" ht="15.75" customHeight="1" x14ac:dyDescent="0.3">
      <c r="H368" s="6" t="s">
        <v>181</v>
      </c>
      <c r="I368" s="6" t="s">
        <v>120</v>
      </c>
      <c r="J368" s="6" t="s">
        <v>143</v>
      </c>
      <c r="K368" s="19">
        <v>6</v>
      </c>
      <c r="L368" s="6" t="s">
        <v>174</v>
      </c>
      <c r="M368" s="6" t="s">
        <v>225</v>
      </c>
      <c r="N368" s="6" t="s">
        <v>22</v>
      </c>
      <c r="O368" s="6" t="s">
        <v>104</v>
      </c>
      <c r="P368" s="17">
        <v>5.0909000000000004</v>
      </c>
    </row>
    <row r="369" spans="8:16" ht="15.75" customHeight="1" x14ac:dyDescent="0.3">
      <c r="H369" s="6" t="s">
        <v>181</v>
      </c>
      <c r="I369" s="6" t="s">
        <v>122</v>
      </c>
      <c r="J369" s="6" t="s">
        <v>144</v>
      </c>
      <c r="K369" s="19">
        <v>7</v>
      </c>
      <c r="L369" s="6" t="s">
        <v>174</v>
      </c>
      <c r="M369" s="6" t="s">
        <v>225</v>
      </c>
      <c r="N369" s="6" t="s">
        <v>23</v>
      </c>
      <c r="O369" s="6" t="s">
        <v>107</v>
      </c>
      <c r="P369" s="17">
        <v>615.63260000000002</v>
      </c>
    </row>
    <row r="370" spans="8:16" ht="15.75" customHeight="1" x14ac:dyDescent="0.3">
      <c r="H370" s="6" t="s">
        <v>181</v>
      </c>
      <c r="I370" s="6" t="s">
        <v>123</v>
      </c>
      <c r="J370" s="6" t="s">
        <v>145</v>
      </c>
      <c r="K370" s="19">
        <v>27</v>
      </c>
      <c r="L370" s="6" t="s">
        <v>174</v>
      </c>
      <c r="M370" s="6" t="s">
        <v>225</v>
      </c>
      <c r="N370" s="6" t="s">
        <v>24</v>
      </c>
      <c r="O370" s="6" t="s">
        <v>109</v>
      </c>
      <c r="P370" s="17">
        <v>2.41E-2</v>
      </c>
    </row>
    <row r="371" spans="8:16" ht="15.75" customHeight="1" x14ac:dyDescent="0.3">
      <c r="H371" s="6" t="s">
        <v>181</v>
      </c>
      <c r="I371" s="6" t="s">
        <v>124</v>
      </c>
      <c r="J371" s="6" t="s">
        <v>146</v>
      </c>
      <c r="K371" s="19">
        <v>0</v>
      </c>
      <c r="L371" s="6" t="s">
        <v>174</v>
      </c>
      <c r="M371" s="6" t="s">
        <v>225</v>
      </c>
      <c r="N371" s="6" t="s">
        <v>25</v>
      </c>
      <c r="O371" s="6" t="s">
        <v>111</v>
      </c>
      <c r="P371" s="19">
        <v>29</v>
      </c>
    </row>
    <row r="372" spans="8:16" ht="15.75" customHeight="1" x14ac:dyDescent="0.3">
      <c r="H372" s="6" t="s">
        <v>181</v>
      </c>
      <c r="I372" s="6" t="s">
        <v>126</v>
      </c>
      <c r="J372" s="6" t="s">
        <v>147</v>
      </c>
      <c r="K372" s="19">
        <v>7</v>
      </c>
      <c r="L372" s="6" t="s">
        <v>174</v>
      </c>
      <c r="M372" s="6" t="s">
        <v>225</v>
      </c>
      <c r="N372" s="6" t="s">
        <v>26</v>
      </c>
      <c r="O372" s="6" t="s">
        <v>113</v>
      </c>
      <c r="P372" s="19">
        <v>18</v>
      </c>
    </row>
    <row r="373" spans="8:16" ht="15.75" customHeight="1" x14ac:dyDescent="0.3">
      <c r="H373" s="6" t="s">
        <v>181</v>
      </c>
      <c r="I373" s="6" t="s">
        <v>127</v>
      </c>
      <c r="J373" s="6" t="s">
        <v>149</v>
      </c>
      <c r="K373" s="19">
        <v>20</v>
      </c>
      <c r="L373" s="6" t="s">
        <v>174</v>
      </c>
      <c r="M373" s="6" t="s">
        <v>225</v>
      </c>
      <c r="N373" s="6" t="s">
        <v>27</v>
      </c>
      <c r="O373" s="6" t="s">
        <v>117</v>
      </c>
      <c r="P373" s="17">
        <v>120.9278</v>
      </c>
    </row>
    <row r="374" spans="8:16" ht="15.75" customHeight="1" x14ac:dyDescent="0.3">
      <c r="H374" s="6" t="s">
        <v>181</v>
      </c>
      <c r="I374" s="6" t="s">
        <v>128</v>
      </c>
      <c r="J374" s="6" t="s">
        <v>150</v>
      </c>
      <c r="K374" s="19">
        <v>0</v>
      </c>
      <c r="L374" s="6" t="s">
        <v>174</v>
      </c>
      <c r="M374" s="6" t="s">
        <v>225</v>
      </c>
      <c r="N374" s="6" t="s">
        <v>29</v>
      </c>
      <c r="O374" s="6" t="s">
        <v>125</v>
      </c>
      <c r="P374" s="19">
        <v>28</v>
      </c>
    </row>
    <row r="375" spans="8:16" ht="15.75" customHeight="1" x14ac:dyDescent="0.3">
      <c r="H375" s="6" t="s">
        <v>181</v>
      </c>
      <c r="I375" s="6" t="s">
        <v>129</v>
      </c>
      <c r="J375" s="6" t="s">
        <v>151</v>
      </c>
      <c r="K375" s="19">
        <v>0</v>
      </c>
      <c r="L375" s="6" t="s">
        <v>174</v>
      </c>
      <c r="M375" s="6" t="s">
        <v>225</v>
      </c>
      <c r="N375" s="6" t="s">
        <v>135</v>
      </c>
      <c r="O375" s="6" t="s">
        <v>136</v>
      </c>
      <c r="P375" s="19">
        <v>1</v>
      </c>
    </row>
    <row r="376" spans="8:16" ht="15.75" customHeight="1" x14ac:dyDescent="0.3">
      <c r="H376" s="6" t="s">
        <v>181</v>
      </c>
      <c r="I376" s="6" t="s">
        <v>130</v>
      </c>
      <c r="J376" s="6" t="s">
        <v>152</v>
      </c>
      <c r="K376" s="19">
        <v>45</v>
      </c>
      <c r="L376" s="6" t="s">
        <v>174</v>
      </c>
      <c r="M376" s="6" t="s">
        <v>225</v>
      </c>
      <c r="N376" s="6" t="s">
        <v>138</v>
      </c>
      <c r="O376" s="6" t="s">
        <v>139</v>
      </c>
      <c r="P376" s="19">
        <v>0</v>
      </c>
    </row>
    <row r="377" spans="8:16" ht="15.75" customHeight="1" x14ac:dyDescent="0.3">
      <c r="H377" s="6" t="s">
        <v>181</v>
      </c>
      <c r="I377" s="6" t="s">
        <v>131</v>
      </c>
      <c r="J377" s="6" t="s">
        <v>153</v>
      </c>
      <c r="K377" s="17">
        <v>0.2</v>
      </c>
      <c r="L377" s="6" t="s">
        <v>174</v>
      </c>
      <c r="M377" s="6" t="s">
        <v>225</v>
      </c>
      <c r="N377" s="6" t="s">
        <v>30</v>
      </c>
      <c r="O377" s="6" t="s">
        <v>148</v>
      </c>
      <c r="P377" s="17">
        <v>53.632300000000001</v>
      </c>
    </row>
    <row r="378" spans="8:16" ht="15.75" customHeight="1" x14ac:dyDescent="0.3">
      <c r="H378" s="6" t="s">
        <v>181</v>
      </c>
      <c r="I378" s="6" t="s">
        <v>133</v>
      </c>
      <c r="J378" s="6" t="s">
        <v>154</v>
      </c>
      <c r="K378" s="19">
        <v>1</v>
      </c>
      <c r="L378" s="6" t="s">
        <v>174</v>
      </c>
      <c r="M378" s="6" t="s">
        <v>225</v>
      </c>
      <c r="N378" s="6" t="s">
        <v>156</v>
      </c>
      <c r="O378" s="6" t="s">
        <v>157</v>
      </c>
      <c r="P378" s="19">
        <v>1</v>
      </c>
    </row>
    <row r="379" spans="8:16" ht="15.75" customHeight="1" x14ac:dyDescent="0.3">
      <c r="H379" s="6" t="s">
        <v>181</v>
      </c>
      <c r="I379" s="6" t="s">
        <v>134</v>
      </c>
      <c r="J379" s="6" t="s">
        <v>155</v>
      </c>
      <c r="K379" s="19">
        <v>12</v>
      </c>
      <c r="L379" s="6" t="s">
        <v>174</v>
      </c>
      <c r="M379" s="6" t="s">
        <v>225</v>
      </c>
      <c r="N379" s="6" t="s">
        <v>158</v>
      </c>
      <c r="O379" s="6" t="s">
        <v>159</v>
      </c>
      <c r="P379" s="19">
        <v>6</v>
      </c>
    </row>
    <row r="380" spans="8:16" ht="15.75" customHeight="1" x14ac:dyDescent="0.3">
      <c r="H380" s="6" t="s">
        <v>182</v>
      </c>
      <c r="I380" s="6" t="s">
        <v>58</v>
      </c>
      <c r="J380" s="6" t="s">
        <v>60</v>
      </c>
      <c r="K380" s="19">
        <v>1</v>
      </c>
      <c r="L380" s="6" t="s">
        <v>174</v>
      </c>
      <c r="M380" s="6" t="s">
        <v>225</v>
      </c>
      <c r="N380" s="6" t="s">
        <v>160</v>
      </c>
      <c r="O380" s="6" t="s">
        <v>161</v>
      </c>
      <c r="P380" s="19">
        <v>6</v>
      </c>
    </row>
    <row r="381" spans="8:16" ht="15.75" customHeight="1" x14ac:dyDescent="0.3">
      <c r="H381" s="6" t="s">
        <v>182</v>
      </c>
      <c r="I381" s="6" t="s">
        <v>72</v>
      </c>
      <c r="J381" s="6" t="s">
        <v>82</v>
      </c>
      <c r="K381" s="19">
        <v>0</v>
      </c>
      <c r="L381" s="6" t="s">
        <v>174</v>
      </c>
      <c r="M381" s="6" t="s">
        <v>225</v>
      </c>
      <c r="N381" s="6" t="s">
        <v>162</v>
      </c>
      <c r="O381" s="6" t="s">
        <v>163</v>
      </c>
      <c r="P381" s="19">
        <v>0</v>
      </c>
    </row>
    <row r="382" spans="8:16" ht="15.75" customHeight="1" x14ac:dyDescent="0.3">
      <c r="H382" s="6" t="s">
        <v>182</v>
      </c>
      <c r="I382" s="6" t="s">
        <v>85</v>
      </c>
      <c r="J382" s="6" t="s">
        <v>86</v>
      </c>
      <c r="K382" s="19">
        <v>3</v>
      </c>
      <c r="L382" s="6" t="s">
        <v>174</v>
      </c>
      <c r="M382" s="6" t="s">
        <v>225</v>
      </c>
      <c r="N382" s="6" t="s">
        <v>165</v>
      </c>
      <c r="O382" s="6" t="s">
        <v>166</v>
      </c>
      <c r="P382" s="19">
        <v>1</v>
      </c>
    </row>
    <row r="383" spans="8:16" ht="15.75" customHeight="1" x14ac:dyDescent="0.3">
      <c r="H383" s="6" t="s">
        <v>182</v>
      </c>
      <c r="I383" s="6" t="s">
        <v>93</v>
      </c>
      <c r="J383" s="6" t="s">
        <v>94</v>
      </c>
      <c r="K383" s="19">
        <v>1</v>
      </c>
      <c r="L383" s="6" t="s">
        <v>174</v>
      </c>
      <c r="M383" s="6" t="s">
        <v>226</v>
      </c>
      <c r="N383" s="6" t="s">
        <v>72</v>
      </c>
      <c r="O383" s="6" t="s">
        <v>75</v>
      </c>
      <c r="P383" s="19">
        <v>0</v>
      </c>
    </row>
    <row r="384" spans="8:16" ht="15.75" customHeight="1" x14ac:dyDescent="0.3">
      <c r="H384" s="6" t="s">
        <v>182</v>
      </c>
      <c r="I384" s="6" t="s">
        <v>98</v>
      </c>
      <c r="J384" s="6" t="s">
        <v>99</v>
      </c>
      <c r="K384" s="19">
        <v>2</v>
      </c>
      <c r="L384" s="6" t="s">
        <v>174</v>
      </c>
      <c r="M384" s="6" t="s">
        <v>226</v>
      </c>
      <c r="N384" s="6" t="s">
        <v>83</v>
      </c>
      <c r="O384" s="6" t="s">
        <v>84</v>
      </c>
      <c r="P384" s="19">
        <v>0</v>
      </c>
    </row>
    <row r="385" spans="8:16" ht="15.75" customHeight="1" x14ac:dyDescent="0.3">
      <c r="H385" s="6" t="s">
        <v>182</v>
      </c>
      <c r="I385" s="6" t="s">
        <v>22</v>
      </c>
      <c r="J385" s="6" t="s">
        <v>103</v>
      </c>
      <c r="K385" s="17">
        <v>13.8125</v>
      </c>
      <c r="L385" s="6" t="s">
        <v>174</v>
      </c>
      <c r="M385" s="6" t="s">
        <v>226</v>
      </c>
      <c r="N385" s="6" t="s">
        <v>88</v>
      </c>
      <c r="O385" s="6" t="s">
        <v>90</v>
      </c>
      <c r="P385" s="19">
        <v>0</v>
      </c>
    </row>
    <row r="386" spans="8:16" ht="15.75" customHeight="1" x14ac:dyDescent="0.3">
      <c r="H386" s="6" t="s">
        <v>182</v>
      </c>
      <c r="I386" s="6" t="s">
        <v>23</v>
      </c>
      <c r="J386" s="6" t="s">
        <v>106</v>
      </c>
      <c r="K386" s="17">
        <v>2366.0864999999999</v>
      </c>
      <c r="L386" s="6" t="s">
        <v>174</v>
      </c>
      <c r="M386" s="6" t="s">
        <v>226</v>
      </c>
      <c r="N386" s="6" t="s">
        <v>96</v>
      </c>
      <c r="O386" s="6" t="s">
        <v>97</v>
      </c>
      <c r="P386" s="19">
        <v>0</v>
      </c>
    </row>
    <row r="387" spans="8:16" ht="15.75" customHeight="1" x14ac:dyDescent="0.3">
      <c r="H387" s="6" t="s">
        <v>182</v>
      </c>
      <c r="I387" s="6" t="s">
        <v>24</v>
      </c>
      <c r="J387" s="6" t="s">
        <v>108</v>
      </c>
      <c r="K387" s="17">
        <v>5.9200000000000003E-2</v>
      </c>
      <c r="L387" s="6" t="s">
        <v>174</v>
      </c>
      <c r="M387" s="6" t="s">
        <v>226</v>
      </c>
      <c r="N387" s="6" t="s">
        <v>100</v>
      </c>
      <c r="O387" s="6" t="s">
        <v>101</v>
      </c>
      <c r="P387" s="19">
        <v>0</v>
      </c>
    </row>
    <row r="388" spans="8:16" ht="15.75" customHeight="1" x14ac:dyDescent="0.3">
      <c r="H388" s="6" t="s">
        <v>182</v>
      </c>
      <c r="I388" s="6" t="s">
        <v>25</v>
      </c>
      <c r="J388" s="6" t="s">
        <v>110</v>
      </c>
      <c r="K388" s="19">
        <v>39</v>
      </c>
      <c r="L388" s="6" t="s">
        <v>174</v>
      </c>
      <c r="M388" s="6" t="s">
        <v>226</v>
      </c>
      <c r="N388" s="6" t="s">
        <v>22</v>
      </c>
      <c r="O388" s="6" t="s">
        <v>104</v>
      </c>
      <c r="P388" s="17">
        <v>1.5</v>
      </c>
    </row>
    <row r="389" spans="8:16" ht="15.75" customHeight="1" x14ac:dyDescent="0.3">
      <c r="H389" s="6" t="s">
        <v>182</v>
      </c>
      <c r="I389" s="6" t="s">
        <v>26</v>
      </c>
      <c r="J389" s="6" t="s">
        <v>112</v>
      </c>
      <c r="K389" s="19">
        <v>21</v>
      </c>
      <c r="L389" s="6" t="s">
        <v>174</v>
      </c>
      <c r="M389" s="6" t="s">
        <v>226</v>
      </c>
      <c r="N389" s="6" t="s">
        <v>23</v>
      </c>
      <c r="O389" s="6" t="s">
        <v>107</v>
      </c>
      <c r="P389" s="19">
        <v>12</v>
      </c>
    </row>
    <row r="390" spans="8:16" ht="15.75" customHeight="1" x14ac:dyDescent="0.3">
      <c r="H390" s="6" t="s">
        <v>182</v>
      </c>
      <c r="I390" s="6" t="s">
        <v>27</v>
      </c>
      <c r="J390" s="6" t="s">
        <v>114</v>
      </c>
      <c r="K390" s="17">
        <v>171.3004</v>
      </c>
      <c r="L390" s="6" t="s">
        <v>174</v>
      </c>
      <c r="M390" s="6" t="s">
        <v>226</v>
      </c>
      <c r="N390" s="6" t="s">
        <v>24</v>
      </c>
      <c r="O390" s="6" t="s">
        <v>109</v>
      </c>
      <c r="P390" s="17">
        <v>1.6999999999999999E-3</v>
      </c>
    </row>
    <row r="391" spans="8:16" ht="15.75" customHeight="1" x14ac:dyDescent="0.3">
      <c r="H391" s="6" t="s">
        <v>182</v>
      </c>
      <c r="I391" s="6" t="s">
        <v>115</v>
      </c>
      <c r="J391" s="6" t="s">
        <v>121</v>
      </c>
      <c r="K391" s="19">
        <v>2</v>
      </c>
      <c r="L391" s="6" t="s">
        <v>174</v>
      </c>
      <c r="M391" s="6" t="s">
        <v>226</v>
      </c>
      <c r="N391" s="6" t="s">
        <v>25</v>
      </c>
      <c r="O391" s="6" t="s">
        <v>111</v>
      </c>
      <c r="P391" s="19">
        <v>4</v>
      </c>
    </row>
    <row r="392" spans="8:16" ht="15.75" customHeight="1" x14ac:dyDescent="0.3">
      <c r="H392" s="6" t="s">
        <v>182</v>
      </c>
      <c r="I392" s="6" t="s">
        <v>116</v>
      </c>
      <c r="J392" s="6" t="s">
        <v>132</v>
      </c>
      <c r="K392" s="19">
        <v>16</v>
      </c>
      <c r="L392" s="6" t="s">
        <v>174</v>
      </c>
      <c r="M392" s="6" t="s">
        <v>226</v>
      </c>
      <c r="N392" s="6" t="s">
        <v>26</v>
      </c>
      <c r="O392" s="6" t="s">
        <v>113</v>
      </c>
      <c r="P392" s="19">
        <v>4</v>
      </c>
    </row>
    <row r="393" spans="8:16" ht="15.75" customHeight="1" x14ac:dyDescent="0.3">
      <c r="H393" s="6" t="s">
        <v>182</v>
      </c>
      <c r="I393" s="6" t="s">
        <v>30</v>
      </c>
      <c r="J393" s="6" t="s">
        <v>137</v>
      </c>
      <c r="K393" s="17">
        <v>57.881399999999999</v>
      </c>
      <c r="L393" s="6" t="s">
        <v>174</v>
      </c>
      <c r="M393" s="6" t="s">
        <v>226</v>
      </c>
      <c r="N393" s="6" t="s">
        <v>27</v>
      </c>
      <c r="O393" s="6" t="s">
        <v>117</v>
      </c>
      <c r="P393" s="19">
        <v>8</v>
      </c>
    </row>
    <row r="394" spans="8:16" ht="15.75" customHeight="1" x14ac:dyDescent="0.3">
      <c r="H394" s="6" t="s">
        <v>182</v>
      </c>
      <c r="I394" s="6" t="s">
        <v>118</v>
      </c>
      <c r="J394" s="6" t="s">
        <v>140</v>
      </c>
      <c r="K394" s="19">
        <v>3</v>
      </c>
      <c r="L394" s="6" t="s">
        <v>174</v>
      </c>
      <c r="M394" s="6" t="s">
        <v>226</v>
      </c>
      <c r="N394" s="6" t="s">
        <v>29</v>
      </c>
      <c r="O394" s="6" t="s">
        <v>125</v>
      </c>
      <c r="P394" s="19">
        <v>9</v>
      </c>
    </row>
    <row r="395" spans="8:16" ht="15.75" customHeight="1" x14ac:dyDescent="0.3">
      <c r="H395" s="6" t="s">
        <v>182</v>
      </c>
      <c r="I395" s="6" t="s">
        <v>31</v>
      </c>
      <c r="J395" s="6" t="s">
        <v>141</v>
      </c>
      <c r="K395" s="19">
        <v>5</v>
      </c>
      <c r="L395" s="6" t="s">
        <v>174</v>
      </c>
      <c r="M395" s="6" t="s">
        <v>226</v>
      </c>
      <c r="N395" s="6" t="s">
        <v>135</v>
      </c>
      <c r="O395" s="6" t="s">
        <v>136</v>
      </c>
      <c r="P395" s="19">
        <v>1</v>
      </c>
    </row>
    <row r="396" spans="8:16" ht="15.75" customHeight="1" x14ac:dyDescent="0.3">
      <c r="H396" s="6" t="s">
        <v>182</v>
      </c>
      <c r="I396" s="6" t="s">
        <v>119</v>
      </c>
      <c r="J396" s="6" t="s">
        <v>142</v>
      </c>
      <c r="K396" s="19">
        <v>3</v>
      </c>
      <c r="L396" s="6" t="s">
        <v>174</v>
      </c>
      <c r="M396" s="6" t="s">
        <v>226</v>
      </c>
      <c r="N396" s="6" t="s">
        <v>138</v>
      </c>
      <c r="O396" s="6" t="s">
        <v>139</v>
      </c>
      <c r="P396" s="19">
        <v>0</v>
      </c>
    </row>
    <row r="397" spans="8:16" ht="15.75" customHeight="1" x14ac:dyDescent="0.3">
      <c r="H397" s="6" t="s">
        <v>182</v>
      </c>
      <c r="I397" s="6" t="s">
        <v>120</v>
      </c>
      <c r="J397" s="6" t="s">
        <v>143</v>
      </c>
      <c r="K397" s="19">
        <v>4</v>
      </c>
      <c r="L397" s="6" t="s">
        <v>174</v>
      </c>
      <c r="M397" s="6" t="s">
        <v>226</v>
      </c>
      <c r="N397" s="6" t="s">
        <v>30</v>
      </c>
      <c r="O397" s="6" t="s">
        <v>148</v>
      </c>
      <c r="P397" s="17">
        <v>72.860699999999994</v>
      </c>
    </row>
    <row r="398" spans="8:16" ht="15.75" customHeight="1" x14ac:dyDescent="0.3">
      <c r="H398" s="6" t="s">
        <v>182</v>
      </c>
      <c r="I398" s="6" t="s">
        <v>122</v>
      </c>
      <c r="J398" s="6" t="s">
        <v>144</v>
      </c>
      <c r="K398" s="19">
        <v>2</v>
      </c>
      <c r="L398" s="6" t="s">
        <v>174</v>
      </c>
      <c r="M398" s="6" t="s">
        <v>226</v>
      </c>
      <c r="N398" s="6" t="s">
        <v>156</v>
      </c>
      <c r="O398" s="6" t="s">
        <v>157</v>
      </c>
      <c r="P398" s="19">
        <v>0</v>
      </c>
    </row>
    <row r="399" spans="8:16" ht="15.75" customHeight="1" x14ac:dyDescent="0.3">
      <c r="H399" s="6" t="s">
        <v>182</v>
      </c>
      <c r="I399" s="6" t="s">
        <v>123</v>
      </c>
      <c r="J399" s="6" t="s">
        <v>145</v>
      </c>
      <c r="K399" s="19">
        <v>27</v>
      </c>
      <c r="L399" s="6" t="s">
        <v>174</v>
      </c>
      <c r="M399" s="6" t="s">
        <v>226</v>
      </c>
      <c r="N399" s="6" t="s">
        <v>158</v>
      </c>
      <c r="O399" s="6" t="s">
        <v>159</v>
      </c>
      <c r="P399" s="19">
        <v>1</v>
      </c>
    </row>
    <row r="400" spans="8:16" ht="15.75" customHeight="1" x14ac:dyDescent="0.3">
      <c r="H400" s="6" t="s">
        <v>182</v>
      </c>
      <c r="I400" s="6" t="s">
        <v>124</v>
      </c>
      <c r="J400" s="6" t="s">
        <v>146</v>
      </c>
      <c r="K400" s="25" t="s">
        <v>169</v>
      </c>
      <c r="L400" s="6" t="s">
        <v>174</v>
      </c>
      <c r="M400" s="6" t="s">
        <v>226</v>
      </c>
      <c r="N400" s="6" t="s">
        <v>160</v>
      </c>
      <c r="O400" s="6" t="s">
        <v>161</v>
      </c>
      <c r="P400" s="19">
        <v>1</v>
      </c>
    </row>
    <row r="401" spans="8:16" ht="15.75" customHeight="1" x14ac:dyDescent="0.3">
      <c r="H401" s="6" t="s">
        <v>182</v>
      </c>
      <c r="I401" s="6" t="s">
        <v>126</v>
      </c>
      <c r="J401" s="6" t="s">
        <v>147</v>
      </c>
      <c r="K401" s="19">
        <v>5</v>
      </c>
      <c r="L401" s="6" t="s">
        <v>174</v>
      </c>
      <c r="M401" s="6" t="s">
        <v>226</v>
      </c>
      <c r="N401" s="6" t="s">
        <v>162</v>
      </c>
      <c r="O401" s="6" t="s">
        <v>163</v>
      </c>
      <c r="P401" s="19">
        <v>0</v>
      </c>
    </row>
    <row r="402" spans="8:16" ht="15.75" customHeight="1" x14ac:dyDescent="0.3">
      <c r="H402" s="6" t="s">
        <v>182</v>
      </c>
      <c r="I402" s="6" t="s">
        <v>127</v>
      </c>
      <c r="J402" s="6" t="s">
        <v>149</v>
      </c>
      <c r="K402" s="19">
        <v>25</v>
      </c>
      <c r="L402" s="6" t="s">
        <v>174</v>
      </c>
      <c r="M402" s="6" t="s">
        <v>226</v>
      </c>
      <c r="N402" s="6" t="s">
        <v>165</v>
      </c>
      <c r="O402" s="6" t="s">
        <v>166</v>
      </c>
      <c r="P402" s="19">
        <v>0</v>
      </c>
    </row>
    <row r="403" spans="8:16" ht="15.75" customHeight="1" x14ac:dyDescent="0.3">
      <c r="H403" s="6" t="s">
        <v>182</v>
      </c>
      <c r="I403" s="6" t="s">
        <v>128</v>
      </c>
      <c r="J403" s="6" t="s">
        <v>150</v>
      </c>
      <c r="K403" s="19">
        <v>0</v>
      </c>
      <c r="L403" s="6" t="s">
        <v>174</v>
      </c>
      <c r="M403" s="6" t="s">
        <v>227</v>
      </c>
      <c r="N403" s="6" t="s">
        <v>72</v>
      </c>
      <c r="O403" s="6" t="s">
        <v>75</v>
      </c>
      <c r="P403" s="19">
        <v>0</v>
      </c>
    </row>
    <row r="404" spans="8:16" ht="15.75" customHeight="1" x14ac:dyDescent="0.3">
      <c r="H404" s="6" t="s">
        <v>182</v>
      </c>
      <c r="I404" s="6" t="s">
        <v>129</v>
      </c>
      <c r="J404" s="6" t="s">
        <v>151</v>
      </c>
      <c r="K404" s="19">
        <v>0</v>
      </c>
      <c r="L404" s="6" t="s">
        <v>174</v>
      </c>
      <c r="M404" s="6" t="s">
        <v>227</v>
      </c>
      <c r="N404" s="6" t="s">
        <v>83</v>
      </c>
      <c r="O404" s="6" t="s">
        <v>84</v>
      </c>
      <c r="P404" s="19">
        <v>0</v>
      </c>
    </row>
    <row r="405" spans="8:16" ht="15.75" customHeight="1" x14ac:dyDescent="0.3">
      <c r="H405" s="6" t="s">
        <v>182</v>
      </c>
      <c r="I405" s="6" t="s">
        <v>130</v>
      </c>
      <c r="J405" s="6" t="s">
        <v>152</v>
      </c>
      <c r="K405" s="19">
        <v>8</v>
      </c>
      <c r="L405" s="6" t="s">
        <v>174</v>
      </c>
      <c r="M405" s="6" t="s">
        <v>227</v>
      </c>
      <c r="N405" s="6" t="s">
        <v>88</v>
      </c>
      <c r="O405" s="6" t="s">
        <v>90</v>
      </c>
      <c r="P405" s="17">
        <v>0.5</v>
      </c>
    </row>
    <row r="406" spans="8:16" ht="15.75" customHeight="1" x14ac:dyDescent="0.3">
      <c r="H406" s="6" t="s">
        <v>182</v>
      </c>
      <c r="I406" s="6" t="s">
        <v>131</v>
      </c>
      <c r="J406" s="6" t="s">
        <v>153</v>
      </c>
      <c r="K406" s="17">
        <v>0.5</v>
      </c>
      <c r="L406" s="6" t="s">
        <v>174</v>
      </c>
      <c r="M406" s="6" t="s">
        <v>227</v>
      </c>
      <c r="N406" s="6" t="s">
        <v>96</v>
      </c>
      <c r="O406" s="6" t="s">
        <v>97</v>
      </c>
      <c r="P406" s="19">
        <v>1</v>
      </c>
    </row>
    <row r="407" spans="8:16" ht="15.75" customHeight="1" x14ac:dyDescent="0.3">
      <c r="H407" s="6" t="s">
        <v>182</v>
      </c>
      <c r="I407" s="6" t="s">
        <v>133</v>
      </c>
      <c r="J407" s="6" t="s">
        <v>154</v>
      </c>
      <c r="K407" s="17">
        <v>0.25</v>
      </c>
      <c r="L407" s="6" t="s">
        <v>174</v>
      </c>
      <c r="M407" s="6" t="s">
        <v>227</v>
      </c>
      <c r="N407" s="6" t="s">
        <v>100</v>
      </c>
      <c r="O407" s="6" t="s">
        <v>101</v>
      </c>
      <c r="P407" s="19">
        <v>1</v>
      </c>
    </row>
    <row r="408" spans="8:16" ht="15.75" customHeight="1" x14ac:dyDescent="0.3">
      <c r="H408" s="6" t="s">
        <v>182</v>
      </c>
      <c r="I408" s="6" t="s">
        <v>134</v>
      </c>
      <c r="J408" s="6" t="s">
        <v>155</v>
      </c>
      <c r="K408" s="19">
        <v>5</v>
      </c>
      <c r="L408" s="6" t="s">
        <v>174</v>
      </c>
      <c r="M408" s="6" t="s">
        <v>227</v>
      </c>
      <c r="N408" s="6" t="s">
        <v>22</v>
      </c>
      <c r="O408" s="6" t="s">
        <v>104</v>
      </c>
      <c r="P408" s="17">
        <v>4.6666999999999996</v>
      </c>
    </row>
    <row r="409" spans="8:16" ht="15.75" customHeight="1" x14ac:dyDescent="0.3">
      <c r="H409" s="6" t="s">
        <v>183</v>
      </c>
      <c r="I409" s="6" t="s">
        <v>58</v>
      </c>
      <c r="J409" s="6" t="s">
        <v>60</v>
      </c>
      <c r="K409" s="19">
        <v>1</v>
      </c>
      <c r="L409" s="6" t="s">
        <v>174</v>
      </c>
      <c r="M409" s="6" t="s">
        <v>227</v>
      </c>
      <c r="N409" s="6" t="s">
        <v>23</v>
      </c>
      <c r="O409" s="6" t="s">
        <v>107</v>
      </c>
      <c r="P409" s="17">
        <v>186.02799999999999</v>
      </c>
    </row>
    <row r="410" spans="8:16" ht="15.75" customHeight="1" x14ac:dyDescent="0.3">
      <c r="H410" s="6" t="s">
        <v>183</v>
      </c>
      <c r="I410" s="6" t="s">
        <v>72</v>
      </c>
      <c r="J410" s="6" t="s">
        <v>82</v>
      </c>
      <c r="K410" s="19">
        <v>3</v>
      </c>
      <c r="L410" s="6" t="s">
        <v>174</v>
      </c>
      <c r="M410" s="6" t="s">
        <v>227</v>
      </c>
      <c r="N410" s="6" t="s">
        <v>24</v>
      </c>
      <c r="O410" s="6" t="s">
        <v>109</v>
      </c>
      <c r="P410" s="17">
        <v>1.09E-2</v>
      </c>
    </row>
    <row r="411" spans="8:16" ht="15.75" customHeight="1" x14ac:dyDescent="0.3">
      <c r="H411" s="6" t="s">
        <v>183</v>
      </c>
      <c r="I411" s="6" t="s">
        <v>85</v>
      </c>
      <c r="J411" s="6" t="s">
        <v>86</v>
      </c>
      <c r="K411" s="19">
        <v>2</v>
      </c>
      <c r="L411" s="6" t="s">
        <v>174</v>
      </c>
      <c r="M411" s="6" t="s">
        <v>227</v>
      </c>
      <c r="N411" s="6" t="s">
        <v>25</v>
      </c>
      <c r="O411" s="6" t="s">
        <v>111</v>
      </c>
      <c r="P411" s="19">
        <v>12</v>
      </c>
    </row>
    <row r="412" spans="8:16" ht="15.75" customHeight="1" x14ac:dyDescent="0.3">
      <c r="H412" s="6" t="s">
        <v>183</v>
      </c>
      <c r="I412" s="6" t="s">
        <v>93</v>
      </c>
      <c r="J412" s="6" t="s">
        <v>94</v>
      </c>
      <c r="K412" s="19">
        <v>2</v>
      </c>
      <c r="L412" s="6" t="s">
        <v>174</v>
      </c>
      <c r="M412" s="6" t="s">
        <v>227</v>
      </c>
      <c r="N412" s="6" t="s">
        <v>26</v>
      </c>
      <c r="O412" s="6" t="s">
        <v>113</v>
      </c>
      <c r="P412" s="19">
        <v>10</v>
      </c>
    </row>
    <row r="413" spans="8:16" ht="15.75" customHeight="1" x14ac:dyDescent="0.3">
      <c r="H413" s="6" t="s">
        <v>183</v>
      </c>
      <c r="I413" s="6" t="s">
        <v>98</v>
      </c>
      <c r="J413" s="6" t="s">
        <v>99</v>
      </c>
      <c r="K413" s="19">
        <v>1</v>
      </c>
      <c r="L413" s="6" t="s">
        <v>174</v>
      </c>
      <c r="M413" s="6" t="s">
        <v>227</v>
      </c>
      <c r="N413" s="6" t="s">
        <v>27</v>
      </c>
      <c r="O413" s="6" t="s">
        <v>117</v>
      </c>
      <c r="P413" s="17">
        <v>39.863100000000003</v>
      </c>
    </row>
    <row r="414" spans="8:16" ht="15.75" customHeight="1" x14ac:dyDescent="0.3">
      <c r="H414" s="6" t="s">
        <v>183</v>
      </c>
      <c r="I414" s="6" t="s">
        <v>22</v>
      </c>
      <c r="J414" s="6" t="s">
        <v>103</v>
      </c>
      <c r="K414" s="17">
        <v>16.5</v>
      </c>
      <c r="L414" s="6" t="s">
        <v>174</v>
      </c>
      <c r="M414" s="6" t="s">
        <v>227</v>
      </c>
      <c r="N414" s="6" t="s">
        <v>29</v>
      </c>
      <c r="O414" s="6" t="s">
        <v>125</v>
      </c>
      <c r="P414" s="19">
        <v>10</v>
      </c>
    </row>
    <row r="415" spans="8:16" ht="15.75" customHeight="1" x14ac:dyDescent="0.3">
      <c r="H415" s="6" t="s">
        <v>183</v>
      </c>
      <c r="I415" s="6" t="s">
        <v>23</v>
      </c>
      <c r="J415" s="6" t="s">
        <v>106</v>
      </c>
      <c r="K415" s="17">
        <v>4372.0394999999999</v>
      </c>
      <c r="L415" s="6" t="s">
        <v>174</v>
      </c>
      <c r="M415" s="6" t="s">
        <v>227</v>
      </c>
      <c r="N415" s="6" t="s">
        <v>135</v>
      </c>
      <c r="O415" s="6" t="s">
        <v>136</v>
      </c>
      <c r="P415" s="19">
        <v>0</v>
      </c>
    </row>
    <row r="416" spans="8:16" ht="15.75" customHeight="1" x14ac:dyDescent="0.3">
      <c r="H416" s="6" t="s">
        <v>183</v>
      </c>
      <c r="I416" s="6" t="s">
        <v>24</v>
      </c>
      <c r="J416" s="6" t="s">
        <v>108</v>
      </c>
      <c r="K416" s="17">
        <v>8.9099999999999999E-2</v>
      </c>
      <c r="L416" s="6" t="s">
        <v>174</v>
      </c>
      <c r="M416" s="6" t="s">
        <v>227</v>
      </c>
      <c r="N416" s="6" t="s">
        <v>138</v>
      </c>
      <c r="O416" s="6" t="s">
        <v>139</v>
      </c>
      <c r="P416" s="19">
        <v>0</v>
      </c>
    </row>
    <row r="417" spans="8:16" ht="15.75" customHeight="1" x14ac:dyDescent="0.3">
      <c r="H417" s="6" t="s">
        <v>183</v>
      </c>
      <c r="I417" s="6" t="s">
        <v>25</v>
      </c>
      <c r="J417" s="6" t="s">
        <v>110</v>
      </c>
      <c r="K417" s="19">
        <v>54</v>
      </c>
      <c r="L417" s="6" t="s">
        <v>174</v>
      </c>
      <c r="M417" s="6" t="s">
        <v>227</v>
      </c>
      <c r="N417" s="6" t="s">
        <v>30</v>
      </c>
      <c r="O417" s="6" t="s">
        <v>148</v>
      </c>
      <c r="P417" s="17">
        <v>67.045400000000001</v>
      </c>
    </row>
    <row r="418" spans="8:16" ht="15.75" customHeight="1" x14ac:dyDescent="0.3">
      <c r="H418" s="6" t="s">
        <v>183</v>
      </c>
      <c r="I418" s="6" t="s">
        <v>26</v>
      </c>
      <c r="J418" s="6" t="s">
        <v>112</v>
      </c>
      <c r="K418" s="19">
        <v>30</v>
      </c>
      <c r="L418" s="6" t="s">
        <v>174</v>
      </c>
      <c r="M418" s="6" t="s">
        <v>227</v>
      </c>
      <c r="N418" s="6" t="s">
        <v>156</v>
      </c>
      <c r="O418" s="6" t="s">
        <v>157</v>
      </c>
      <c r="P418" s="19">
        <v>0</v>
      </c>
    </row>
    <row r="419" spans="8:16" ht="15.75" customHeight="1" x14ac:dyDescent="0.3">
      <c r="H419" s="6" t="s">
        <v>183</v>
      </c>
      <c r="I419" s="6" t="s">
        <v>27</v>
      </c>
      <c r="J419" s="6" t="s">
        <v>114</v>
      </c>
      <c r="K419" s="17">
        <v>264.97210000000001</v>
      </c>
      <c r="L419" s="6" t="s">
        <v>174</v>
      </c>
      <c r="M419" s="6" t="s">
        <v>227</v>
      </c>
      <c r="N419" s="6" t="s">
        <v>158</v>
      </c>
      <c r="O419" s="6" t="s">
        <v>159</v>
      </c>
      <c r="P419" s="19">
        <v>1</v>
      </c>
    </row>
    <row r="420" spans="8:16" ht="15.75" customHeight="1" x14ac:dyDescent="0.3">
      <c r="H420" s="6" t="s">
        <v>183</v>
      </c>
      <c r="I420" s="6" t="s">
        <v>115</v>
      </c>
      <c r="J420" s="6" t="s">
        <v>121</v>
      </c>
      <c r="K420" s="19">
        <v>1</v>
      </c>
      <c r="L420" s="6" t="s">
        <v>174</v>
      </c>
      <c r="M420" s="6" t="s">
        <v>227</v>
      </c>
      <c r="N420" s="6" t="s">
        <v>160</v>
      </c>
      <c r="O420" s="6" t="s">
        <v>161</v>
      </c>
      <c r="P420" s="19">
        <v>3</v>
      </c>
    </row>
    <row r="421" spans="8:16" ht="15.75" customHeight="1" x14ac:dyDescent="0.3">
      <c r="H421" s="6" t="s">
        <v>183</v>
      </c>
      <c r="I421" s="6" t="s">
        <v>116</v>
      </c>
      <c r="J421" s="6" t="s">
        <v>132</v>
      </c>
      <c r="K421" s="19">
        <v>38</v>
      </c>
      <c r="L421" s="6" t="s">
        <v>174</v>
      </c>
      <c r="M421" s="6" t="s">
        <v>227</v>
      </c>
      <c r="N421" s="6" t="s">
        <v>162</v>
      </c>
      <c r="O421" s="6" t="s">
        <v>163</v>
      </c>
      <c r="P421" s="19">
        <v>0</v>
      </c>
    </row>
    <row r="422" spans="8:16" ht="15.75" customHeight="1" x14ac:dyDescent="0.3">
      <c r="H422" s="6" t="s">
        <v>183</v>
      </c>
      <c r="I422" s="6" t="s">
        <v>30</v>
      </c>
      <c r="J422" s="6" t="s">
        <v>137</v>
      </c>
      <c r="K422" s="17">
        <v>48.3416</v>
      </c>
      <c r="L422" s="6" t="s">
        <v>174</v>
      </c>
      <c r="M422" s="6" t="s">
        <v>227</v>
      </c>
      <c r="N422" s="6" t="s">
        <v>165</v>
      </c>
      <c r="O422" s="6" t="s">
        <v>166</v>
      </c>
      <c r="P422" s="19">
        <v>0</v>
      </c>
    </row>
    <row r="423" spans="8:16" ht="15.75" customHeight="1" x14ac:dyDescent="0.3">
      <c r="H423" s="6" t="s">
        <v>183</v>
      </c>
      <c r="I423" s="6" t="s">
        <v>118</v>
      </c>
      <c r="J423" s="6" t="s">
        <v>140</v>
      </c>
      <c r="K423" s="19">
        <v>10</v>
      </c>
      <c r="L423" s="6" t="s">
        <v>174</v>
      </c>
      <c r="M423" s="6" t="s">
        <v>229</v>
      </c>
      <c r="N423" s="6" t="s">
        <v>72</v>
      </c>
      <c r="O423" s="6" t="s">
        <v>75</v>
      </c>
      <c r="P423" s="19">
        <v>0</v>
      </c>
    </row>
    <row r="424" spans="8:16" ht="15.75" customHeight="1" x14ac:dyDescent="0.3">
      <c r="H424" s="6" t="s">
        <v>183</v>
      </c>
      <c r="I424" s="6" t="s">
        <v>31</v>
      </c>
      <c r="J424" s="6" t="s">
        <v>141</v>
      </c>
      <c r="K424" s="19">
        <v>12</v>
      </c>
      <c r="L424" s="6" t="s">
        <v>174</v>
      </c>
      <c r="M424" s="6" t="s">
        <v>229</v>
      </c>
      <c r="N424" s="6" t="s">
        <v>83</v>
      </c>
      <c r="O424" s="6" t="s">
        <v>84</v>
      </c>
      <c r="P424" s="19">
        <v>0</v>
      </c>
    </row>
    <row r="425" spans="8:16" ht="15.75" customHeight="1" x14ac:dyDescent="0.3">
      <c r="H425" s="6" t="s">
        <v>183</v>
      </c>
      <c r="I425" s="6" t="s">
        <v>119</v>
      </c>
      <c r="J425" s="6" t="s">
        <v>142</v>
      </c>
      <c r="K425" s="19">
        <v>0</v>
      </c>
      <c r="L425" s="6" t="s">
        <v>174</v>
      </c>
      <c r="M425" s="6" t="s">
        <v>229</v>
      </c>
      <c r="N425" s="6" t="s">
        <v>88</v>
      </c>
      <c r="O425" s="6" t="s">
        <v>90</v>
      </c>
      <c r="P425" s="19">
        <v>0</v>
      </c>
    </row>
    <row r="426" spans="8:16" ht="15.75" customHeight="1" x14ac:dyDescent="0.3">
      <c r="H426" s="6" t="s">
        <v>183</v>
      </c>
      <c r="I426" s="6" t="s">
        <v>120</v>
      </c>
      <c r="J426" s="6" t="s">
        <v>143</v>
      </c>
      <c r="K426" s="19">
        <v>3</v>
      </c>
      <c r="L426" s="6" t="s">
        <v>174</v>
      </c>
      <c r="M426" s="6" t="s">
        <v>229</v>
      </c>
      <c r="N426" s="6" t="s">
        <v>96</v>
      </c>
      <c r="O426" s="6" t="s">
        <v>97</v>
      </c>
      <c r="P426" s="19">
        <v>0</v>
      </c>
    </row>
    <row r="427" spans="8:16" ht="15.75" customHeight="1" x14ac:dyDescent="0.3">
      <c r="H427" s="6" t="s">
        <v>183</v>
      </c>
      <c r="I427" s="6" t="s">
        <v>122</v>
      </c>
      <c r="J427" s="6" t="s">
        <v>144</v>
      </c>
      <c r="K427" s="19">
        <v>2</v>
      </c>
      <c r="L427" s="6" t="s">
        <v>174</v>
      </c>
      <c r="M427" s="6" t="s">
        <v>229</v>
      </c>
      <c r="N427" s="6" t="s">
        <v>100</v>
      </c>
      <c r="O427" s="6" t="s">
        <v>101</v>
      </c>
      <c r="P427" s="19">
        <v>0</v>
      </c>
    </row>
    <row r="428" spans="8:16" ht="15.75" customHeight="1" x14ac:dyDescent="0.3">
      <c r="H428" s="6" t="s">
        <v>183</v>
      </c>
      <c r="I428" s="6" t="s">
        <v>123</v>
      </c>
      <c r="J428" s="6" t="s">
        <v>145</v>
      </c>
      <c r="K428" s="19">
        <v>19</v>
      </c>
      <c r="L428" s="6" t="s">
        <v>174</v>
      </c>
      <c r="M428" s="6" t="s">
        <v>229</v>
      </c>
      <c r="N428" s="6" t="s">
        <v>22</v>
      </c>
      <c r="O428" s="6" t="s">
        <v>104</v>
      </c>
      <c r="P428" s="17">
        <v>1.5</v>
      </c>
    </row>
    <row r="429" spans="8:16" ht="15.75" customHeight="1" x14ac:dyDescent="0.3">
      <c r="H429" s="6" t="s">
        <v>183</v>
      </c>
      <c r="I429" s="6" t="s">
        <v>124</v>
      </c>
      <c r="J429" s="6" t="s">
        <v>146</v>
      </c>
      <c r="K429" s="19">
        <v>0</v>
      </c>
      <c r="L429" s="6" t="s">
        <v>174</v>
      </c>
      <c r="M429" s="6" t="s">
        <v>229</v>
      </c>
      <c r="N429" s="6" t="s">
        <v>23</v>
      </c>
      <c r="O429" s="6" t="s">
        <v>107</v>
      </c>
      <c r="P429" s="17">
        <v>17.4145</v>
      </c>
    </row>
    <row r="430" spans="8:16" ht="15.75" customHeight="1" x14ac:dyDescent="0.3">
      <c r="H430" s="6" t="s">
        <v>183</v>
      </c>
      <c r="I430" s="6" t="s">
        <v>126</v>
      </c>
      <c r="J430" s="6" t="s">
        <v>147</v>
      </c>
      <c r="K430" s="19">
        <v>4</v>
      </c>
      <c r="L430" s="6" t="s">
        <v>174</v>
      </c>
      <c r="M430" s="6" t="s">
        <v>229</v>
      </c>
      <c r="N430" s="6" t="s">
        <v>24</v>
      </c>
      <c r="O430" s="6" t="s">
        <v>109</v>
      </c>
      <c r="P430" s="17">
        <v>2.2000000000000001E-3</v>
      </c>
    </row>
    <row r="431" spans="8:16" ht="15.75" customHeight="1" x14ac:dyDescent="0.3">
      <c r="H431" s="6" t="s">
        <v>183</v>
      </c>
      <c r="I431" s="6" t="s">
        <v>127</v>
      </c>
      <c r="J431" s="6" t="s">
        <v>149</v>
      </c>
      <c r="K431" s="19">
        <v>17</v>
      </c>
      <c r="L431" s="6" t="s">
        <v>174</v>
      </c>
      <c r="M431" s="6" t="s">
        <v>229</v>
      </c>
      <c r="N431" s="6" t="s">
        <v>25</v>
      </c>
      <c r="O431" s="6" t="s">
        <v>111</v>
      </c>
      <c r="P431" s="19">
        <v>5</v>
      </c>
    </row>
    <row r="432" spans="8:16" ht="15.75" customHeight="1" x14ac:dyDescent="0.3">
      <c r="H432" s="6" t="s">
        <v>183</v>
      </c>
      <c r="I432" s="6" t="s">
        <v>128</v>
      </c>
      <c r="J432" s="6" t="s">
        <v>150</v>
      </c>
      <c r="K432" s="19">
        <v>0</v>
      </c>
      <c r="L432" s="6" t="s">
        <v>174</v>
      </c>
      <c r="M432" s="6" t="s">
        <v>229</v>
      </c>
      <c r="N432" s="6" t="s">
        <v>26</v>
      </c>
      <c r="O432" s="6" t="s">
        <v>113</v>
      </c>
      <c r="P432" s="19">
        <v>5</v>
      </c>
    </row>
    <row r="433" spans="8:16" ht="15.75" customHeight="1" x14ac:dyDescent="0.3">
      <c r="H433" s="6" t="s">
        <v>183</v>
      </c>
      <c r="I433" s="6" t="s">
        <v>129</v>
      </c>
      <c r="J433" s="6" t="s">
        <v>151</v>
      </c>
      <c r="K433" s="19">
        <v>0</v>
      </c>
      <c r="L433" s="6" t="s">
        <v>174</v>
      </c>
      <c r="M433" s="6" t="s">
        <v>229</v>
      </c>
      <c r="N433" s="6" t="s">
        <v>27</v>
      </c>
      <c r="O433" s="6" t="s">
        <v>117</v>
      </c>
      <c r="P433" s="17">
        <v>11.6096</v>
      </c>
    </row>
    <row r="434" spans="8:16" ht="15.75" customHeight="1" x14ac:dyDescent="0.3">
      <c r="H434" s="6" t="s">
        <v>183</v>
      </c>
      <c r="I434" s="6" t="s">
        <v>130</v>
      </c>
      <c r="J434" s="6" t="s">
        <v>152</v>
      </c>
      <c r="K434" s="19">
        <v>12</v>
      </c>
      <c r="L434" s="6" t="s">
        <v>174</v>
      </c>
      <c r="M434" s="6" t="s">
        <v>229</v>
      </c>
      <c r="N434" s="6" t="s">
        <v>29</v>
      </c>
      <c r="O434" s="6" t="s">
        <v>125</v>
      </c>
      <c r="P434" s="19">
        <v>10</v>
      </c>
    </row>
    <row r="435" spans="8:16" ht="15.75" customHeight="1" x14ac:dyDescent="0.3">
      <c r="H435" s="6" t="s">
        <v>183</v>
      </c>
      <c r="I435" s="6" t="s">
        <v>131</v>
      </c>
      <c r="J435" s="6" t="s">
        <v>153</v>
      </c>
      <c r="K435" s="19">
        <v>1</v>
      </c>
      <c r="L435" s="6" t="s">
        <v>174</v>
      </c>
      <c r="M435" s="6" t="s">
        <v>229</v>
      </c>
      <c r="N435" s="6" t="s">
        <v>135</v>
      </c>
      <c r="O435" s="6" t="s">
        <v>136</v>
      </c>
      <c r="P435" s="19">
        <v>1</v>
      </c>
    </row>
    <row r="436" spans="8:16" ht="15.75" customHeight="1" x14ac:dyDescent="0.3">
      <c r="H436" s="6" t="s">
        <v>183</v>
      </c>
      <c r="I436" s="6" t="s">
        <v>133</v>
      </c>
      <c r="J436" s="6" t="s">
        <v>154</v>
      </c>
      <c r="K436" s="19">
        <v>1</v>
      </c>
      <c r="L436" s="6" t="s">
        <v>174</v>
      </c>
      <c r="M436" s="6" t="s">
        <v>229</v>
      </c>
      <c r="N436" s="6" t="s">
        <v>138</v>
      </c>
      <c r="O436" s="6" t="s">
        <v>139</v>
      </c>
      <c r="P436" s="19">
        <v>0</v>
      </c>
    </row>
    <row r="437" spans="8:16" ht="15.75" customHeight="1" x14ac:dyDescent="0.3">
      <c r="H437" s="6" t="s">
        <v>183</v>
      </c>
      <c r="I437" s="6" t="s">
        <v>134</v>
      </c>
      <c r="J437" s="6" t="s">
        <v>155</v>
      </c>
      <c r="K437" s="19">
        <v>6</v>
      </c>
      <c r="L437" s="6" t="s">
        <v>174</v>
      </c>
      <c r="M437" s="6" t="s">
        <v>229</v>
      </c>
      <c r="N437" s="6" t="s">
        <v>30</v>
      </c>
      <c r="O437" s="6" t="s">
        <v>148</v>
      </c>
      <c r="P437" s="17">
        <v>70.894199999999998</v>
      </c>
    </row>
    <row r="438" spans="8:16" ht="15.75" customHeight="1" x14ac:dyDescent="0.3">
      <c r="H438" s="6" t="s">
        <v>184</v>
      </c>
      <c r="I438" s="6" t="s">
        <v>58</v>
      </c>
      <c r="J438" s="6" t="s">
        <v>60</v>
      </c>
      <c r="K438" s="25" t="s">
        <v>169</v>
      </c>
      <c r="L438" s="6" t="s">
        <v>174</v>
      </c>
      <c r="M438" s="6" t="s">
        <v>229</v>
      </c>
      <c r="N438" s="6" t="s">
        <v>156</v>
      </c>
      <c r="O438" s="6" t="s">
        <v>157</v>
      </c>
      <c r="P438" s="19">
        <v>0</v>
      </c>
    </row>
    <row r="439" spans="8:16" ht="15.75" customHeight="1" x14ac:dyDescent="0.3">
      <c r="H439" s="6" t="s">
        <v>184</v>
      </c>
      <c r="I439" s="6" t="s">
        <v>72</v>
      </c>
      <c r="J439" s="6" t="s">
        <v>82</v>
      </c>
      <c r="K439" s="19">
        <v>0</v>
      </c>
      <c r="L439" s="6" t="s">
        <v>174</v>
      </c>
      <c r="M439" s="6" t="s">
        <v>229</v>
      </c>
      <c r="N439" s="6" t="s">
        <v>158</v>
      </c>
      <c r="O439" s="6" t="s">
        <v>159</v>
      </c>
      <c r="P439" s="19">
        <v>1</v>
      </c>
    </row>
    <row r="440" spans="8:16" ht="15.75" customHeight="1" x14ac:dyDescent="0.3">
      <c r="H440" s="6" t="s">
        <v>184</v>
      </c>
      <c r="I440" s="6" t="s">
        <v>85</v>
      </c>
      <c r="J440" s="6" t="s">
        <v>86</v>
      </c>
      <c r="K440" s="25" t="s">
        <v>169</v>
      </c>
      <c r="L440" s="6" t="s">
        <v>174</v>
      </c>
      <c r="M440" s="6" t="s">
        <v>229</v>
      </c>
      <c r="N440" s="6" t="s">
        <v>160</v>
      </c>
      <c r="O440" s="6" t="s">
        <v>161</v>
      </c>
      <c r="P440" s="19">
        <v>1</v>
      </c>
    </row>
    <row r="441" spans="8:16" ht="15.75" customHeight="1" x14ac:dyDescent="0.3">
      <c r="H441" s="6" t="s">
        <v>184</v>
      </c>
      <c r="I441" s="6" t="s">
        <v>93</v>
      </c>
      <c r="J441" s="6" t="s">
        <v>94</v>
      </c>
      <c r="K441" s="25" t="s">
        <v>169</v>
      </c>
      <c r="L441" s="6" t="s">
        <v>174</v>
      </c>
      <c r="M441" s="6" t="s">
        <v>229</v>
      </c>
      <c r="N441" s="6" t="s">
        <v>162</v>
      </c>
      <c r="O441" s="6" t="s">
        <v>163</v>
      </c>
      <c r="P441" s="19">
        <v>0</v>
      </c>
    </row>
    <row r="442" spans="8:16" ht="15.75" customHeight="1" x14ac:dyDescent="0.3">
      <c r="H442" s="6" t="s">
        <v>184</v>
      </c>
      <c r="I442" s="6" t="s">
        <v>98</v>
      </c>
      <c r="J442" s="6" t="s">
        <v>99</v>
      </c>
      <c r="K442" s="25" t="s">
        <v>169</v>
      </c>
      <c r="L442" s="6" t="s">
        <v>174</v>
      </c>
      <c r="M442" s="6" t="s">
        <v>229</v>
      </c>
      <c r="N442" s="6" t="s">
        <v>165</v>
      </c>
      <c r="O442" s="6" t="s">
        <v>166</v>
      </c>
      <c r="P442" s="19">
        <v>0</v>
      </c>
    </row>
    <row r="443" spans="8:16" ht="15.75" customHeight="1" x14ac:dyDescent="0.3">
      <c r="H443" s="6" t="s">
        <v>184</v>
      </c>
      <c r="I443" s="6" t="s">
        <v>22</v>
      </c>
      <c r="J443" s="6" t="s">
        <v>103</v>
      </c>
      <c r="K443" s="25" t="s">
        <v>169</v>
      </c>
      <c r="L443" s="6" t="s">
        <v>174</v>
      </c>
      <c r="M443" s="6" t="s">
        <v>221</v>
      </c>
      <c r="N443" s="6" t="s">
        <v>72</v>
      </c>
      <c r="O443" s="6" t="s">
        <v>75</v>
      </c>
      <c r="P443" s="19">
        <v>0</v>
      </c>
    </row>
    <row r="444" spans="8:16" ht="15.75" customHeight="1" x14ac:dyDescent="0.3">
      <c r="H444" s="6" t="s">
        <v>184</v>
      </c>
      <c r="I444" s="6" t="s">
        <v>23</v>
      </c>
      <c r="J444" s="6" t="s">
        <v>106</v>
      </c>
      <c r="K444" s="25" t="s">
        <v>169</v>
      </c>
      <c r="L444" s="6" t="s">
        <v>174</v>
      </c>
      <c r="M444" s="6" t="s">
        <v>221</v>
      </c>
      <c r="N444" s="6" t="s">
        <v>83</v>
      </c>
      <c r="O444" s="6" t="s">
        <v>84</v>
      </c>
      <c r="P444" s="19">
        <v>0</v>
      </c>
    </row>
    <row r="445" spans="8:16" ht="15.75" customHeight="1" x14ac:dyDescent="0.3">
      <c r="H445" s="6" t="s">
        <v>184</v>
      </c>
      <c r="I445" s="6" t="s">
        <v>24</v>
      </c>
      <c r="J445" s="6" t="s">
        <v>108</v>
      </c>
      <c r="K445" s="25" t="s">
        <v>169</v>
      </c>
      <c r="L445" s="6" t="s">
        <v>174</v>
      </c>
      <c r="M445" s="6" t="s">
        <v>221</v>
      </c>
      <c r="N445" s="6" t="s">
        <v>88</v>
      </c>
      <c r="O445" s="6" t="s">
        <v>90</v>
      </c>
      <c r="P445" s="19">
        <v>0</v>
      </c>
    </row>
    <row r="446" spans="8:16" ht="15.75" customHeight="1" x14ac:dyDescent="0.3">
      <c r="H446" s="6" t="s">
        <v>184</v>
      </c>
      <c r="I446" s="6" t="s">
        <v>25</v>
      </c>
      <c r="J446" s="6" t="s">
        <v>110</v>
      </c>
      <c r="K446" s="25" t="s">
        <v>169</v>
      </c>
      <c r="L446" s="6" t="s">
        <v>174</v>
      </c>
      <c r="M446" s="6" t="s">
        <v>221</v>
      </c>
      <c r="N446" s="6" t="s">
        <v>96</v>
      </c>
      <c r="O446" s="6" t="s">
        <v>97</v>
      </c>
      <c r="P446" s="19">
        <v>0</v>
      </c>
    </row>
    <row r="447" spans="8:16" ht="15.75" customHeight="1" x14ac:dyDescent="0.3">
      <c r="H447" s="6" t="s">
        <v>184</v>
      </c>
      <c r="I447" s="6" t="s">
        <v>26</v>
      </c>
      <c r="J447" s="6" t="s">
        <v>112</v>
      </c>
      <c r="K447" s="25" t="s">
        <v>169</v>
      </c>
      <c r="L447" s="6" t="s">
        <v>174</v>
      </c>
      <c r="M447" s="6" t="s">
        <v>221</v>
      </c>
      <c r="N447" s="6" t="s">
        <v>100</v>
      </c>
      <c r="O447" s="6" t="s">
        <v>101</v>
      </c>
      <c r="P447" s="19">
        <v>0</v>
      </c>
    </row>
    <row r="448" spans="8:16" ht="15.75" customHeight="1" x14ac:dyDescent="0.3">
      <c r="H448" s="6" t="s">
        <v>184</v>
      </c>
      <c r="I448" s="6" t="s">
        <v>27</v>
      </c>
      <c r="J448" s="6" t="s">
        <v>114</v>
      </c>
      <c r="K448" s="25" t="s">
        <v>169</v>
      </c>
      <c r="L448" s="6" t="s">
        <v>174</v>
      </c>
      <c r="M448" s="6" t="s">
        <v>221</v>
      </c>
      <c r="N448" s="6" t="s">
        <v>22</v>
      </c>
      <c r="O448" s="6" t="s">
        <v>104</v>
      </c>
      <c r="P448" s="19">
        <v>0</v>
      </c>
    </row>
    <row r="449" spans="8:16" ht="15.75" customHeight="1" x14ac:dyDescent="0.3">
      <c r="H449" s="6" t="s">
        <v>184</v>
      </c>
      <c r="I449" s="6" t="s">
        <v>115</v>
      </c>
      <c r="J449" s="6" t="s">
        <v>121</v>
      </c>
      <c r="K449" s="25" t="s">
        <v>169</v>
      </c>
      <c r="L449" s="6" t="s">
        <v>174</v>
      </c>
      <c r="M449" s="6" t="s">
        <v>221</v>
      </c>
      <c r="N449" s="6" t="s">
        <v>23</v>
      </c>
      <c r="O449" s="6" t="s">
        <v>107</v>
      </c>
      <c r="P449" s="25" t="s">
        <v>222</v>
      </c>
    </row>
    <row r="450" spans="8:16" ht="15.75" customHeight="1" x14ac:dyDescent="0.3">
      <c r="H450" s="6" t="s">
        <v>184</v>
      </c>
      <c r="I450" s="6" t="s">
        <v>116</v>
      </c>
      <c r="J450" s="6" t="s">
        <v>132</v>
      </c>
      <c r="K450" s="19">
        <v>0</v>
      </c>
      <c r="L450" s="6" t="s">
        <v>174</v>
      </c>
      <c r="M450" s="6" t="s">
        <v>221</v>
      </c>
      <c r="N450" s="6" t="s">
        <v>24</v>
      </c>
      <c r="O450" s="6" t="s">
        <v>109</v>
      </c>
      <c r="P450" s="25" t="s">
        <v>222</v>
      </c>
    </row>
    <row r="451" spans="8:16" ht="15.75" customHeight="1" x14ac:dyDescent="0.3">
      <c r="H451" s="6" t="s">
        <v>184</v>
      </c>
      <c r="I451" s="6" t="s">
        <v>30</v>
      </c>
      <c r="J451" s="6" t="s">
        <v>137</v>
      </c>
      <c r="K451" s="19">
        <v>0</v>
      </c>
      <c r="L451" s="6" t="s">
        <v>174</v>
      </c>
      <c r="M451" s="6" t="s">
        <v>221</v>
      </c>
      <c r="N451" s="6" t="s">
        <v>25</v>
      </c>
      <c r="O451" s="6" t="s">
        <v>111</v>
      </c>
      <c r="P451" s="19">
        <v>0</v>
      </c>
    </row>
    <row r="452" spans="8:16" ht="15.75" customHeight="1" x14ac:dyDescent="0.3">
      <c r="H452" s="6" t="s">
        <v>184</v>
      </c>
      <c r="I452" s="6" t="s">
        <v>118</v>
      </c>
      <c r="J452" s="6" t="s">
        <v>140</v>
      </c>
      <c r="K452" s="25" t="s">
        <v>169</v>
      </c>
      <c r="L452" s="6" t="s">
        <v>174</v>
      </c>
      <c r="M452" s="6" t="s">
        <v>221</v>
      </c>
      <c r="N452" s="6" t="s">
        <v>26</v>
      </c>
      <c r="O452" s="6" t="s">
        <v>113</v>
      </c>
      <c r="P452" s="19">
        <v>0</v>
      </c>
    </row>
    <row r="453" spans="8:16" ht="15.75" customHeight="1" x14ac:dyDescent="0.3">
      <c r="H453" s="6" t="s">
        <v>184</v>
      </c>
      <c r="I453" s="6" t="s">
        <v>31</v>
      </c>
      <c r="J453" s="6" t="s">
        <v>141</v>
      </c>
      <c r="K453" s="25" t="s">
        <v>169</v>
      </c>
      <c r="L453" s="6" t="s">
        <v>174</v>
      </c>
      <c r="M453" s="6" t="s">
        <v>221</v>
      </c>
      <c r="N453" s="6" t="s">
        <v>27</v>
      </c>
      <c r="O453" s="6" t="s">
        <v>117</v>
      </c>
      <c r="P453" s="25" t="s">
        <v>222</v>
      </c>
    </row>
    <row r="454" spans="8:16" ht="15.75" customHeight="1" x14ac:dyDescent="0.3">
      <c r="H454" s="6" t="s">
        <v>184</v>
      </c>
      <c r="I454" s="6" t="s">
        <v>119</v>
      </c>
      <c r="J454" s="6" t="s">
        <v>142</v>
      </c>
      <c r="K454" s="25" t="s">
        <v>169</v>
      </c>
      <c r="L454" s="6" t="s">
        <v>174</v>
      </c>
      <c r="M454" s="6" t="s">
        <v>221</v>
      </c>
      <c r="N454" s="6" t="s">
        <v>29</v>
      </c>
      <c r="O454" s="6" t="s">
        <v>125</v>
      </c>
      <c r="P454" s="19">
        <v>0</v>
      </c>
    </row>
    <row r="455" spans="8:16" ht="15.75" customHeight="1" x14ac:dyDescent="0.3">
      <c r="H455" s="6" t="s">
        <v>184</v>
      </c>
      <c r="I455" s="6" t="s">
        <v>120</v>
      </c>
      <c r="J455" s="6" t="s">
        <v>143</v>
      </c>
      <c r="K455" s="25" t="s">
        <v>169</v>
      </c>
      <c r="L455" s="6" t="s">
        <v>174</v>
      </c>
      <c r="M455" s="6" t="s">
        <v>221</v>
      </c>
      <c r="N455" s="6" t="s">
        <v>135</v>
      </c>
      <c r="O455" s="6" t="s">
        <v>136</v>
      </c>
      <c r="P455" s="19">
        <v>0</v>
      </c>
    </row>
    <row r="456" spans="8:16" ht="15.75" customHeight="1" x14ac:dyDescent="0.3">
      <c r="H456" s="6" t="s">
        <v>184</v>
      </c>
      <c r="I456" s="6" t="s">
        <v>122</v>
      </c>
      <c r="J456" s="6" t="s">
        <v>144</v>
      </c>
      <c r="K456" s="25" t="s">
        <v>169</v>
      </c>
      <c r="L456" s="6" t="s">
        <v>174</v>
      </c>
      <c r="M456" s="6" t="s">
        <v>221</v>
      </c>
      <c r="N456" s="6" t="s">
        <v>138</v>
      </c>
      <c r="O456" s="6" t="s">
        <v>139</v>
      </c>
      <c r="P456" s="19">
        <v>0</v>
      </c>
    </row>
    <row r="457" spans="8:16" ht="15.75" customHeight="1" x14ac:dyDescent="0.3">
      <c r="H457" s="6" t="s">
        <v>184</v>
      </c>
      <c r="I457" s="6" t="s">
        <v>123</v>
      </c>
      <c r="J457" s="6" t="s">
        <v>145</v>
      </c>
      <c r="K457" s="25" t="s">
        <v>169</v>
      </c>
      <c r="L457" s="6" t="s">
        <v>174</v>
      </c>
      <c r="M457" s="6" t="s">
        <v>221</v>
      </c>
      <c r="N457" s="6" t="s">
        <v>30</v>
      </c>
      <c r="O457" s="6" t="s">
        <v>148</v>
      </c>
      <c r="P457" s="19">
        <v>0</v>
      </c>
    </row>
    <row r="458" spans="8:16" ht="15.75" customHeight="1" x14ac:dyDescent="0.3">
      <c r="H458" s="6" t="s">
        <v>184</v>
      </c>
      <c r="I458" s="6" t="s">
        <v>124</v>
      </c>
      <c r="J458" s="6" t="s">
        <v>146</v>
      </c>
      <c r="K458" s="25" t="s">
        <v>169</v>
      </c>
      <c r="L458" s="6" t="s">
        <v>174</v>
      </c>
      <c r="M458" s="6" t="s">
        <v>221</v>
      </c>
      <c r="N458" s="6" t="s">
        <v>156</v>
      </c>
      <c r="O458" s="6" t="s">
        <v>157</v>
      </c>
      <c r="P458" s="19">
        <v>-1</v>
      </c>
    </row>
    <row r="459" spans="8:16" ht="15.75" customHeight="1" x14ac:dyDescent="0.3">
      <c r="H459" s="6" t="s">
        <v>184</v>
      </c>
      <c r="I459" s="6" t="s">
        <v>126</v>
      </c>
      <c r="J459" s="6" t="s">
        <v>147</v>
      </c>
      <c r="K459" s="25" t="s">
        <v>169</v>
      </c>
      <c r="L459" s="6" t="s">
        <v>174</v>
      </c>
      <c r="M459" s="6" t="s">
        <v>221</v>
      </c>
      <c r="N459" s="6" t="s">
        <v>158</v>
      </c>
      <c r="O459" s="6" t="s">
        <v>159</v>
      </c>
      <c r="P459" s="19">
        <v>1</v>
      </c>
    </row>
    <row r="460" spans="8:16" ht="15.75" customHeight="1" x14ac:dyDescent="0.3">
      <c r="H460" s="6" t="s">
        <v>184</v>
      </c>
      <c r="I460" s="6" t="s">
        <v>127</v>
      </c>
      <c r="J460" s="6" t="s">
        <v>149</v>
      </c>
      <c r="K460" s="25" t="s">
        <v>169</v>
      </c>
      <c r="L460" s="6" t="s">
        <v>174</v>
      </c>
      <c r="M460" s="6" t="s">
        <v>221</v>
      </c>
      <c r="N460" s="6" t="s">
        <v>160</v>
      </c>
      <c r="O460" s="6" t="s">
        <v>161</v>
      </c>
      <c r="P460" s="19">
        <v>0</v>
      </c>
    </row>
    <row r="461" spans="8:16" ht="15.75" customHeight="1" x14ac:dyDescent="0.3">
      <c r="H461" s="6" t="s">
        <v>184</v>
      </c>
      <c r="I461" s="6" t="s">
        <v>128</v>
      </c>
      <c r="J461" s="6" t="s">
        <v>150</v>
      </c>
      <c r="K461" s="25" t="s">
        <v>169</v>
      </c>
      <c r="L461" s="6" t="s">
        <v>174</v>
      </c>
      <c r="M461" s="6" t="s">
        <v>221</v>
      </c>
      <c r="N461" s="6" t="s">
        <v>162</v>
      </c>
      <c r="O461" s="6" t="s">
        <v>163</v>
      </c>
      <c r="P461" s="19">
        <v>0</v>
      </c>
    </row>
    <row r="462" spans="8:16" ht="15.75" customHeight="1" x14ac:dyDescent="0.3">
      <c r="H462" s="6" t="s">
        <v>184</v>
      </c>
      <c r="I462" s="6" t="s">
        <v>129</v>
      </c>
      <c r="J462" s="6" t="s">
        <v>151</v>
      </c>
      <c r="K462" s="25" t="s">
        <v>169</v>
      </c>
      <c r="L462" s="6" t="s">
        <v>174</v>
      </c>
      <c r="M462" s="6" t="s">
        <v>221</v>
      </c>
      <c r="N462" s="6" t="s">
        <v>165</v>
      </c>
      <c r="O462" s="6" t="s">
        <v>166</v>
      </c>
      <c r="P462" s="19">
        <v>1</v>
      </c>
    </row>
    <row r="463" spans="8:16" ht="15.75" customHeight="1" x14ac:dyDescent="0.3">
      <c r="H463" s="6" t="s">
        <v>184</v>
      </c>
      <c r="I463" s="6" t="s">
        <v>130</v>
      </c>
      <c r="J463" s="6" t="s">
        <v>152</v>
      </c>
      <c r="K463" s="25" t="s">
        <v>169</v>
      </c>
      <c r="L463" s="6" t="s">
        <v>174</v>
      </c>
      <c r="M463" s="6" t="s">
        <v>223</v>
      </c>
      <c r="N463" s="6" t="s">
        <v>72</v>
      </c>
      <c r="O463" s="6" t="s">
        <v>75</v>
      </c>
      <c r="P463" s="19">
        <v>0</v>
      </c>
    </row>
    <row r="464" spans="8:16" ht="15.75" customHeight="1" x14ac:dyDescent="0.3">
      <c r="H464" s="6" t="s">
        <v>184</v>
      </c>
      <c r="I464" s="6" t="s">
        <v>131</v>
      </c>
      <c r="J464" s="6" t="s">
        <v>153</v>
      </c>
      <c r="K464" s="25" t="s">
        <v>169</v>
      </c>
      <c r="L464" s="6" t="s">
        <v>174</v>
      </c>
      <c r="M464" s="6" t="s">
        <v>223</v>
      </c>
      <c r="N464" s="6" t="s">
        <v>83</v>
      </c>
      <c r="O464" s="6" t="s">
        <v>84</v>
      </c>
      <c r="P464" s="19">
        <v>0</v>
      </c>
    </row>
    <row r="465" spans="8:16" ht="15.75" customHeight="1" x14ac:dyDescent="0.3">
      <c r="H465" s="6" t="s">
        <v>184</v>
      </c>
      <c r="I465" s="6" t="s">
        <v>133</v>
      </c>
      <c r="J465" s="6" t="s">
        <v>154</v>
      </c>
      <c r="K465" s="25" t="s">
        <v>169</v>
      </c>
      <c r="L465" s="6" t="s">
        <v>174</v>
      </c>
      <c r="M465" s="6" t="s">
        <v>223</v>
      </c>
      <c r="N465" s="6" t="s">
        <v>88</v>
      </c>
      <c r="O465" s="6" t="s">
        <v>90</v>
      </c>
      <c r="P465" s="19">
        <v>0</v>
      </c>
    </row>
    <row r="466" spans="8:16" ht="15.75" customHeight="1" x14ac:dyDescent="0.3">
      <c r="H466" s="6" t="s">
        <v>184</v>
      </c>
      <c r="I466" s="6" t="s">
        <v>134</v>
      </c>
      <c r="J466" s="6" t="s">
        <v>155</v>
      </c>
      <c r="K466" s="25" t="s">
        <v>169</v>
      </c>
      <c r="L466" s="6" t="s">
        <v>174</v>
      </c>
      <c r="M466" s="6" t="s">
        <v>223</v>
      </c>
      <c r="N466" s="6" t="s">
        <v>96</v>
      </c>
      <c r="O466" s="6" t="s">
        <v>97</v>
      </c>
      <c r="P466" s="19">
        <v>0</v>
      </c>
    </row>
    <row r="467" spans="8:16" ht="15.75" customHeight="1" x14ac:dyDescent="0.3">
      <c r="H467" s="6" t="s">
        <v>185</v>
      </c>
      <c r="I467" s="6" t="s">
        <v>58</v>
      </c>
      <c r="J467" s="6" t="s">
        <v>60</v>
      </c>
      <c r="K467" s="25" t="s">
        <v>169</v>
      </c>
      <c r="L467" s="6" t="s">
        <v>174</v>
      </c>
      <c r="M467" s="6" t="s">
        <v>223</v>
      </c>
      <c r="N467" s="6" t="s">
        <v>100</v>
      </c>
      <c r="O467" s="6" t="s">
        <v>101</v>
      </c>
      <c r="P467" s="19">
        <v>0</v>
      </c>
    </row>
    <row r="468" spans="8:16" ht="15.75" customHeight="1" x14ac:dyDescent="0.3">
      <c r="H468" s="6" t="s">
        <v>185</v>
      </c>
      <c r="I468" s="6" t="s">
        <v>72</v>
      </c>
      <c r="J468" s="6" t="s">
        <v>82</v>
      </c>
      <c r="K468" s="19">
        <v>0</v>
      </c>
      <c r="L468" s="6" t="s">
        <v>174</v>
      </c>
      <c r="M468" s="6" t="s">
        <v>223</v>
      </c>
      <c r="N468" s="6" t="s">
        <v>22</v>
      </c>
      <c r="O468" s="6" t="s">
        <v>104</v>
      </c>
      <c r="P468" s="19">
        <v>0</v>
      </c>
    </row>
    <row r="469" spans="8:16" ht="15.75" customHeight="1" x14ac:dyDescent="0.3">
      <c r="H469" s="6" t="s">
        <v>185</v>
      </c>
      <c r="I469" s="6" t="s">
        <v>85</v>
      </c>
      <c r="J469" s="6" t="s">
        <v>86</v>
      </c>
      <c r="K469" s="25" t="s">
        <v>169</v>
      </c>
      <c r="L469" s="6" t="s">
        <v>174</v>
      </c>
      <c r="M469" s="6" t="s">
        <v>223</v>
      </c>
      <c r="N469" s="6" t="s">
        <v>23</v>
      </c>
      <c r="O469" s="6" t="s">
        <v>107</v>
      </c>
      <c r="P469" s="25" t="s">
        <v>222</v>
      </c>
    </row>
    <row r="470" spans="8:16" ht="15.75" customHeight="1" x14ac:dyDescent="0.3">
      <c r="H470" s="6" t="s">
        <v>185</v>
      </c>
      <c r="I470" s="6" t="s">
        <v>93</v>
      </c>
      <c r="J470" s="6" t="s">
        <v>94</v>
      </c>
      <c r="K470" s="25" t="s">
        <v>169</v>
      </c>
      <c r="L470" s="6" t="s">
        <v>174</v>
      </c>
      <c r="M470" s="6" t="s">
        <v>223</v>
      </c>
      <c r="N470" s="6" t="s">
        <v>24</v>
      </c>
      <c r="O470" s="6" t="s">
        <v>109</v>
      </c>
      <c r="P470" s="25" t="s">
        <v>222</v>
      </c>
    </row>
    <row r="471" spans="8:16" ht="15.75" customHeight="1" x14ac:dyDescent="0.3">
      <c r="H471" s="6" t="s">
        <v>185</v>
      </c>
      <c r="I471" s="6" t="s">
        <v>98</v>
      </c>
      <c r="J471" s="6" t="s">
        <v>99</v>
      </c>
      <c r="K471" s="25" t="s">
        <v>169</v>
      </c>
      <c r="L471" s="6" t="s">
        <v>174</v>
      </c>
      <c r="M471" s="6" t="s">
        <v>223</v>
      </c>
      <c r="N471" s="6" t="s">
        <v>25</v>
      </c>
      <c r="O471" s="6" t="s">
        <v>111</v>
      </c>
      <c r="P471" s="19">
        <v>0</v>
      </c>
    </row>
    <row r="472" spans="8:16" ht="15.75" customHeight="1" x14ac:dyDescent="0.3">
      <c r="H472" s="6" t="s">
        <v>185</v>
      </c>
      <c r="I472" s="6" t="s">
        <v>22</v>
      </c>
      <c r="J472" s="6" t="s">
        <v>103</v>
      </c>
      <c r="K472" s="25" t="s">
        <v>169</v>
      </c>
      <c r="L472" s="6" t="s">
        <v>174</v>
      </c>
      <c r="M472" s="6" t="s">
        <v>223</v>
      </c>
      <c r="N472" s="6" t="s">
        <v>26</v>
      </c>
      <c r="O472" s="6" t="s">
        <v>113</v>
      </c>
      <c r="P472" s="19">
        <v>0</v>
      </c>
    </row>
    <row r="473" spans="8:16" ht="15.75" customHeight="1" x14ac:dyDescent="0.3">
      <c r="H473" s="6" t="s">
        <v>185</v>
      </c>
      <c r="I473" s="6" t="s">
        <v>23</v>
      </c>
      <c r="J473" s="6" t="s">
        <v>106</v>
      </c>
      <c r="K473" s="25" t="s">
        <v>169</v>
      </c>
      <c r="L473" s="6" t="s">
        <v>174</v>
      </c>
      <c r="M473" s="6" t="s">
        <v>223</v>
      </c>
      <c r="N473" s="6" t="s">
        <v>27</v>
      </c>
      <c r="O473" s="6" t="s">
        <v>117</v>
      </c>
      <c r="P473" s="25" t="s">
        <v>222</v>
      </c>
    </row>
    <row r="474" spans="8:16" ht="15.75" customHeight="1" x14ac:dyDescent="0.3">
      <c r="H474" s="6" t="s">
        <v>185</v>
      </c>
      <c r="I474" s="6" t="s">
        <v>24</v>
      </c>
      <c r="J474" s="6" t="s">
        <v>108</v>
      </c>
      <c r="K474" s="25" t="s">
        <v>169</v>
      </c>
      <c r="L474" s="6" t="s">
        <v>174</v>
      </c>
      <c r="M474" s="6" t="s">
        <v>223</v>
      </c>
      <c r="N474" s="6" t="s">
        <v>29</v>
      </c>
      <c r="O474" s="6" t="s">
        <v>125</v>
      </c>
      <c r="P474" s="19">
        <v>0</v>
      </c>
    </row>
    <row r="475" spans="8:16" ht="15.75" customHeight="1" x14ac:dyDescent="0.3">
      <c r="H475" s="6" t="s">
        <v>185</v>
      </c>
      <c r="I475" s="6" t="s">
        <v>25</v>
      </c>
      <c r="J475" s="6" t="s">
        <v>110</v>
      </c>
      <c r="K475" s="25" t="s">
        <v>169</v>
      </c>
      <c r="L475" s="6" t="s">
        <v>174</v>
      </c>
      <c r="M475" s="6" t="s">
        <v>223</v>
      </c>
      <c r="N475" s="6" t="s">
        <v>135</v>
      </c>
      <c r="O475" s="6" t="s">
        <v>136</v>
      </c>
      <c r="P475" s="19">
        <v>0</v>
      </c>
    </row>
    <row r="476" spans="8:16" ht="15.75" customHeight="1" x14ac:dyDescent="0.3">
      <c r="H476" s="6" t="s">
        <v>185</v>
      </c>
      <c r="I476" s="6" t="s">
        <v>26</v>
      </c>
      <c r="J476" s="6" t="s">
        <v>112</v>
      </c>
      <c r="K476" s="25" t="s">
        <v>169</v>
      </c>
      <c r="L476" s="6" t="s">
        <v>174</v>
      </c>
      <c r="M476" s="6" t="s">
        <v>223</v>
      </c>
      <c r="N476" s="6" t="s">
        <v>138</v>
      </c>
      <c r="O476" s="6" t="s">
        <v>139</v>
      </c>
      <c r="P476" s="19">
        <v>0</v>
      </c>
    </row>
    <row r="477" spans="8:16" ht="15.75" customHeight="1" x14ac:dyDescent="0.3">
      <c r="H477" s="6" t="s">
        <v>185</v>
      </c>
      <c r="I477" s="6" t="s">
        <v>27</v>
      </c>
      <c r="J477" s="6" t="s">
        <v>114</v>
      </c>
      <c r="K477" s="25" t="s">
        <v>169</v>
      </c>
      <c r="L477" s="6" t="s">
        <v>174</v>
      </c>
      <c r="M477" s="6" t="s">
        <v>223</v>
      </c>
      <c r="N477" s="6" t="s">
        <v>30</v>
      </c>
      <c r="O477" s="6" t="s">
        <v>148</v>
      </c>
      <c r="P477" s="19">
        <v>0</v>
      </c>
    </row>
    <row r="478" spans="8:16" ht="15.75" customHeight="1" x14ac:dyDescent="0.3">
      <c r="H478" s="6" t="s">
        <v>185</v>
      </c>
      <c r="I478" s="6" t="s">
        <v>115</v>
      </c>
      <c r="J478" s="6" t="s">
        <v>121</v>
      </c>
      <c r="K478" s="25" t="s">
        <v>169</v>
      </c>
      <c r="L478" s="6" t="s">
        <v>174</v>
      </c>
      <c r="M478" s="6" t="s">
        <v>223</v>
      </c>
      <c r="N478" s="6" t="s">
        <v>156</v>
      </c>
      <c r="O478" s="6" t="s">
        <v>157</v>
      </c>
      <c r="P478" s="19">
        <v>-1</v>
      </c>
    </row>
    <row r="479" spans="8:16" ht="15.75" customHeight="1" x14ac:dyDescent="0.3">
      <c r="H479" s="6" t="s">
        <v>185</v>
      </c>
      <c r="I479" s="6" t="s">
        <v>116</v>
      </c>
      <c r="J479" s="6" t="s">
        <v>132</v>
      </c>
      <c r="K479" s="19">
        <v>0</v>
      </c>
      <c r="L479" s="6" t="s">
        <v>174</v>
      </c>
      <c r="M479" s="6" t="s">
        <v>223</v>
      </c>
      <c r="N479" s="6" t="s">
        <v>158</v>
      </c>
      <c r="O479" s="6" t="s">
        <v>159</v>
      </c>
      <c r="P479" s="19">
        <v>1</v>
      </c>
    </row>
    <row r="480" spans="8:16" ht="15.75" customHeight="1" x14ac:dyDescent="0.3">
      <c r="H480" s="6" t="s">
        <v>185</v>
      </c>
      <c r="I480" s="6" t="s">
        <v>30</v>
      </c>
      <c r="J480" s="6" t="s">
        <v>137</v>
      </c>
      <c r="K480" s="19">
        <v>0</v>
      </c>
      <c r="L480" s="6" t="s">
        <v>174</v>
      </c>
      <c r="M480" s="6" t="s">
        <v>223</v>
      </c>
      <c r="N480" s="6" t="s">
        <v>160</v>
      </c>
      <c r="O480" s="6" t="s">
        <v>161</v>
      </c>
      <c r="P480" s="19">
        <v>0</v>
      </c>
    </row>
    <row r="481" spans="8:16" ht="15.75" customHeight="1" x14ac:dyDescent="0.3">
      <c r="H481" s="6" t="s">
        <v>185</v>
      </c>
      <c r="I481" s="6" t="s">
        <v>118</v>
      </c>
      <c r="J481" s="6" t="s">
        <v>140</v>
      </c>
      <c r="K481" s="25" t="s">
        <v>169</v>
      </c>
      <c r="L481" s="6" t="s">
        <v>174</v>
      </c>
      <c r="M481" s="6" t="s">
        <v>223</v>
      </c>
      <c r="N481" s="6" t="s">
        <v>162</v>
      </c>
      <c r="O481" s="6" t="s">
        <v>163</v>
      </c>
      <c r="P481" s="19">
        <v>0</v>
      </c>
    </row>
    <row r="482" spans="8:16" ht="15.75" customHeight="1" x14ac:dyDescent="0.3">
      <c r="H482" s="6" t="s">
        <v>185</v>
      </c>
      <c r="I482" s="6" t="s">
        <v>31</v>
      </c>
      <c r="J482" s="6" t="s">
        <v>141</v>
      </c>
      <c r="K482" s="19">
        <v>0</v>
      </c>
      <c r="L482" s="6" t="s">
        <v>174</v>
      </c>
      <c r="M482" s="6" t="s">
        <v>223</v>
      </c>
      <c r="N482" s="6" t="s">
        <v>165</v>
      </c>
      <c r="O482" s="6" t="s">
        <v>166</v>
      </c>
      <c r="P482" s="19">
        <v>0</v>
      </c>
    </row>
    <row r="483" spans="8:16" ht="15.75" customHeight="1" x14ac:dyDescent="0.3">
      <c r="H483" s="6" t="s">
        <v>185</v>
      </c>
      <c r="I483" s="6" t="s">
        <v>119</v>
      </c>
      <c r="J483" s="6" t="s">
        <v>142</v>
      </c>
      <c r="K483" s="25" t="s">
        <v>169</v>
      </c>
      <c r="L483" s="6" t="s">
        <v>175</v>
      </c>
      <c r="M483" s="6" t="s">
        <v>240</v>
      </c>
      <c r="N483" s="6" t="s">
        <v>72</v>
      </c>
      <c r="O483" s="6" t="s">
        <v>75</v>
      </c>
      <c r="P483" s="19">
        <v>0</v>
      </c>
    </row>
    <row r="484" spans="8:16" ht="15.75" customHeight="1" x14ac:dyDescent="0.3">
      <c r="H484" s="6" t="s">
        <v>185</v>
      </c>
      <c r="I484" s="6" t="s">
        <v>120</v>
      </c>
      <c r="J484" s="6" t="s">
        <v>143</v>
      </c>
      <c r="K484" s="25" t="s">
        <v>169</v>
      </c>
      <c r="L484" s="6" t="s">
        <v>175</v>
      </c>
      <c r="M484" s="6" t="s">
        <v>240</v>
      </c>
      <c r="N484" s="6" t="s">
        <v>83</v>
      </c>
      <c r="O484" s="6" t="s">
        <v>84</v>
      </c>
      <c r="P484" s="19">
        <v>0</v>
      </c>
    </row>
    <row r="485" spans="8:16" ht="15.75" customHeight="1" x14ac:dyDescent="0.3">
      <c r="H485" s="6" t="s">
        <v>185</v>
      </c>
      <c r="I485" s="6" t="s">
        <v>122</v>
      </c>
      <c r="J485" s="6" t="s">
        <v>144</v>
      </c>
      <c r="K485" s="25" t="s">
        <v>169</v>
      </c>
      <c r="L485" s="6" t="s">
        <v>175</v>
      </c>
      <c r="M485" s="6" t="s">
        <v>240</v>
      </c>
      <c r="N485" s="6" t="s">
        <v>88</v>
      </c>
      <c r="O485" s="6" t="s">
        <v>90</v>
      </c>
      <c r="P485" s="19">
        <v>0</v>
      </c>
    </row>
    <row r="486" spans="8:16" ht="15.75" customHeight="1" x14ac:dyDescent="0.3">
      <c r="H486" s="6" t="s">
        <v>185</v>
      </c>
      <c r="I486" s="6" t="s">
        <v>123</v>
      </c>
      <c r="J486" s="6" t="s">
        <v>145</v>
      </c>
      <c r="K486" s="25" t="s">
        <v>169</v>
      </c>
      <c r="L486" s="6" t="s">
        <v>175</v>
      </c>
      <c r="M486" s="6" t="s">
        <v>240</v>
      </c>
      <c r="N486" s="6" t="s">
        <v>96</v>
      </c>
      <c r="O486" s="6" t="s">
        <v>97</v>
      </c>
      <c r="P486" s="19">
        <v>0</v>
      </c>
    </row>
    <row r="487" spans="8:16" ht="15.75" customHeight="1" x14ac:dyDescent="0.3">
      <c r="H487" s="6" t="s">
        <v>185</v>
      </c>
      <c r="I487" s="6" t="s">
        <v>124</v>
      </c>
      <c r="J487" s="6" t="s">
        <v>146</v>
      </c>
      <c r="K487" s="25" t="s">
        <v>169</v>
      </c>
      <c r="L487" s="6" t="s">
        <v>175</v>
      </c>
      <c r="M487" s="6" t="s">
        <v>240</v>
      </c>
      <c r="N487" s="6" t="s">
        <v>100</v>
      </c>
      <c r="O487" s="6" t="s">
        <v>101</v>
      </c>
      <c r="P487" s="19">
        <v>0</v>
      </c>
    </row>
    <row r="488" spans="8:16" ht="15.75" customHeight="1" x14ac:dyDescent="0.3">
      <c r="H488" s="6" t="s">
        <v>185</v>
      </c>
      <c r="I488" s="6" t="s">
        <v>126</v>
      </c>
      <c r="J488" s="6" t="s">
        <v>147</v>
      </c>
      <c r="K488" s="25" t="s">
        <v>169</v>
      </c>
      <c r="L488" s="6" t="s">
        <v>175</v>
      </c>
      <c r="M488" s="6" t="s">
        <v>240</v>
      </c>
      <c r="N488" s="6" t="s">
        <v>22</v>
      </c>
      <c r="O488" s="6" t="s">
        <v>104</v>
      </c>
      <c r="P488" s="19">
        <v>1</v>
      </c>
    </row>
    <row r="489" spans="8:16" ht="15.75" customHeight="1" x14ac:dyDescent="0.3">
      <c r="H489" s="6" t="s">
        <v>185</v>
      </c>
      <c r="I489" s="6" t="s">
        <v>127</v>
      </c>
      <c r="J489" s="6" t="s">
        <v>149</v>
      </c>
      <c r="K489" s="25" t="s">
        <v>169</v>
      </c>
      <c r="L489" s="6" t="s">
        <v>175</v>
      </c>
      <c r="M489" s="6" t="s">
        <v>240</v>
      </c>
      <c r="N489" s="6" t="s">
        <v>23</v>
      </c>
      <c r="O489" s="6" t="s">
        <v>107</v>
      </c>
      <c r="P489" s="17">
        <v>4.7549000000000001</v>
      </c>
    </row>
    <row r="490" spans="8:16" ht="15.75" customHeight="1" x14ac:dyDescent="0.3">
      <c r="H490" s="6" t="s">
        <v>185</v>
      </c>
      <c r="I490" s="6" t="s">
        <v>128</v>
      </c>
      <c r="J490" s="6" t="s">
        <v>150</v>
      </c>
      <c r="K490" s="25" t="s">
        <v>169</v>
      </c>
      <c r="L490" s="6" t="s">
        <v>175</v>
      </c>
      <c r="M490" s="6" t="s">
        <v>240</v>
      </c>
      <c r="N490" s="6" t="s">
        <v>24</v>
      </c>
      <c r="O490" s="6" t="s">
        <v>109</v>
      </c>
      <c r="P490" s="17">
        <v>8.9999999999999998E-4</v>
      </c>
    </row>
    <row r="491" spans="8:16" ht="15.75" customHeight="1" x14ac:dyDescent="0.3">
      <c r="H491" s="6" t="s">
        <v>185</v>
      </c>
      <c r="I491" s="6" t="s">
        <v>129</v>
      </c>
      <c r="J491" s="6" t="s">
        <v>151</v>
      </c>
      <c r="K491" s="25" t="s">
        <v>169</v>
      </c>
      <c r="L491" s="6" t="s">
        <v>175</v>
      </c>
      <c r="M491" s="6" t="s">
        <v>240</v>
      </c>
      <c r="N491" s="6" t="s">
        <v>25</v>
      </c>
      <c r="O491" s="6" t="s">
        <v>111</v>
      </c>
      <c r="P491" s="19">
        <v>3</v>
      </c>
    </row>
    <row r="492" spans="8:16" ht="15.75" customHeight="1" x14ac:dyDescent="0.3">
      <c r="H492" s="6" t="s">
        <v>185</v>
      </c>
      <c r="I492" s="6" t="s">
        <v>130</v>
      </c>
      <c r="J492" s="6" t="s">
        <v>152</v>
      </c>
      <c r="K492" s="25" t="s">
        <v>169</v>
      </c>
      <c r="L492" s="6" t="s">
        <v>175</v>
      </c>
      <c r="M492" s="6" t="s">
        <v>240</v>
      </c>
      <c r="N492" s="6" t="s">
        <v>26</v>
      </c>
      <c r="O492" s="6" t="s">
        <v>113</v>
      </c>
      <c r="P492" s="19">
        <v>3</v>
      </c>
    </row>
    <row r="493" spans="8:16" ht="15.75" customHeight="1" x14ac:dyDescent="0.3">
      <c r="H493" s="6" t="s">
        <v>185</v>
      </c>
      <c r="I493" s="6" t="s">
        <v>131</v>
      </c>
      <c r="J493" s="6" t="s">
        <v>153</v>
      </c>
      <c r="K493" s="25" t="s">
        <v>169</v>
      </c>
      <c r="L493" s="6" t="s">
        <v>175</v>
      </c>
      <c r="M493" s="6" t="s">
        <v>240</v>
      </c>
      <c r="N493" s="6" t="s">
        <v>27</v>
      </c>
      <c r="O493" s="6" t="s">
        <v>117</v>
      </c>
      <c r="P493" s="17">
        <v>4.7549000000000001</v>
      </c>
    </row>
    <row r="494" spans="8:16" ht="15.75" customHeight="1" x14ac:dyDescent="0.3">
      <c r="H494" s="6" t="s">
        <v>185</v>
      </c>
      <c r="I494" s="6" t="s">
        <v>133</v>
      </c>
      <c r="J494" s="6" t="s">
        <v>154</v>
      </c>
      <c r="K494" s="25" t="s">
        <v>169</v>
      </c>
      <c r="L494" s="6" t="s">
        <v>175</v>
      </c>
      <c r="M494" s="6" t="s">
        <v>240</v>
      </c>
      <c r="N494" s="6" t="s">
        <v>29</v>
      </c>
      <c r="O494" s="6" t="s">
        <v>125</v>
      </c>
      <c r="P494" s="19">
        <v>7</v>
      </c>
    </row>
    <row r="495" spans="8:16" ht="15.75" customHeight="1" x14ac:dyDescent="0.3">
      <c r="H495" s="6" t="s">
        <v>185</v>
      </c>
      <c r="I495" s="6" t="s">
        <v>134</v>
      </c>
      <c r="J495" s="6" t="s">
        <v>155</v>
      </c>
      <c r="K495" s="25" t="s">
        <v>169</v>
      </c>
      <c r="L495" s="6" t="s">
        <v>175</v>
      </c>
      <c r="M495" s="6" t="s">
        <v>240</v>
      </c>
      <c r="N495" s="6" t="s">
        <v>135</v>
      </c>
      <c r="O495" s="6" t="s">
        <v>136</v>
      </c>
      <c r="P495" s="19">
        <v>1</v>
      </c>
    </row>
    <row r="496" spans="8:16" ht="15.75" customHeight="1" x14ac:dyDescent="0.3">
      <c r="H496" s="6" t="s">
        <v>187</v>
      </c>
      <c r="I496" s="6" t="s">
        <v>58</v>
      </c>
      <c r="J496" s="6" t="s">
        <v>60</v>
      </c>
      <c r="K496" s="19">
        <v>0</v>
      </c>
      <c r="L496" s="6" t="s">
        <v>175</v>
      </c>
      <c r="M496" s="6" t="s">
        <v>240</v>
      </c>
      <c r="N496" s="6" t="s">
        <v>138</v>
      </c>
      <c r="O496" s="6" t="s">
        <v>139</v>
      </c>
      <c r="P496" s="19">
        <v>0</v>
      </c>
    </row>
    <row r="497" spans="8:16" ht="15.75" customHeight="1" x14ac:dyDescent="0.3">
      <c r="H497" s="6" t="s">
        <v>187</v>
      </c>
      <c r="I497" s="6" t="s">
        <v>72</v>
      </c>
      <c r="J497" s="6" t="s">
        <v>82</v>
      </c>
      <c r="K497" s="19">
        <v>0</v>
      </c>
      <c r="L497" s="6" t="s">
        <v>175</v>
      </c>
      <c r="M497" s="6" t="s">
        <v>240</v>
      </c>
      <c r="N497" s="6" t="s">
        <v>30</v>
      </c>
      <c r="O497" s="6" t="s">
        <v>148</v>
      </c>
      <c r="P497" s="17">
        <v>77.349400000000003</v>
      </c>
    </row>
    <row r="498" spans="8:16" ht="15.75" customHeight="1" x14ac:dyDescent="0.3">
      <c r="H498" s="6" t="s">
        <v>187</v>
      </c>
      <c r="I498" s="6" t="s">
        <v>85</v>
      </c>
      <c r="J498" s="6" t="s">
        <v>86</v>
      </c>
      <c r="K498" s="19">
        <v>10</v>
      </c>
      <c r="L498" s="6" t="s">
        <v>175</v>
      </c>
      <c r="M498" s="6" t="s">
        <v>240</v>
      </c>
      <c r="N498" s="6" t="s">
        <v>156</v>
      </c>
      <c r="O498" s="6" t="s">
        <v>157</v>
      </c>
      <c r="P498" s="19">
        <v>0</v>
      </c>
    </row>
    <row r="499" spans="8:16" ht="15.75" customHeight="1" x14ac:dyDescent="0.3">
      <c r="H499" s="6" t="s">
        <v>187</v>
      </c>
      <c r="I499" s="6" t="s">
        <v>93</v>
      </c>
      <c r="J499" s="6" t="s">
        <v>94</v>
      </c>
      <c r="K499" s="19">
        <v>1</v>
      </c>
      <c r="L499" s="6" t="s">
        <v>175</v>
      </c>
      <c r="M499" s="6" t="s">
        <v>240</v>
      </c>
      <c r="N499" s="6" t="s">
        <v>158</v>
      </c>
      <c r="O499" s="6" t="s">
        <v>159</v>
      </c>
      <c r="P499" s="19">
        <v>1</v>
      </c>
    </row>
    <row r="500" spans="8:16" ht="15.75" customHeight="1" x14ac:dyDescent="0.3">
      <c r="H500" s="6" t="s">
        <v>187</v>
      </c>
      <c r="I500" s="6" t="s">
        <v>98</v>
      </c>
      <c r="J500" s="6" t="s">
        <v>99</v>
      </c>
      <c r="K500" s="19">
        <v>2</v>
      </c>
      <c r="L500" s="6" t="s">
        <v>175</v>
      </c>
      <c r="M500" s="6" t="s">
        <v>240</v>
      </c>
      <c r="N500" s="6" t="s">
        <v>160</v>
      </c>
      <c r="O500" s="6" t="s">
        <v>161</v>
      </c>
      <c r="P500" s="19">
        <v>1</v>
      </c>
    </row>
    <row r="501" spans="8:16" ht="15.75" customHeight="1" x14ac:dyDescent="0.3">
      <c r="H501" s="6" t="s">
        <v>187</v>
      </c>
      <c r="I501" s="6" t="s">
        <v>22</v>
      </c>
      <c r="J501" s="6" t="s">
        <v>103</v>
      </c>
      <c r="K501" s="19">
        <v>0</v>
      </c>
      <c r="L501" s="6" t="s">
        <v>175</v>
      </c>
      <c r="M501" s="6" t="s">
        <v>240</v>
      </c>
      <c r="N501" s="6" t="s">
        <v>162</v>
      </c>
      <c r="O501" s="6" t="s">
        <v>163</v>
      </c>
      <c r="P501" s="19">
        <v>0</v>
      </c>
    </row>
    <row r="502" spans="8:16" ht="15.75" customHeight="1" x14ac:dyDescent="0.3">
      <c r="H502" s="6" t="s">
        <v>187</v>
      </c>
      <c r="I502" s="6" t="s">
        <v>23</v>
      </c>
      <c r="J502" s="6" t="s">
        <v>106</v>
      </c>
      <c r="K502" s="19">
        <v>0</v>
      </c>
      <c r="L502" s="6" t="s">
        <v>175</v>
      </c>
      <c r="M502" s="6" t="s">
        <v>240</v>
      </c>
      <c r="N502" s="6" t="s">
        <v>165</v>
      </c>
      <c r="O502" s="6" t="s">
        <v>166</v>
      </c>
      <c r="P502" s="19">
        <v>0</v>
      </c>
    </row>
    <row r="503" spans="8:16" ht="15.75" customHeight="1" x14ac:dyDescent="0.3">
      <c r="H503" s="6" t="s">
        <v>187</v>
      </c>
      <c r="I503" s="6" t="s">
        <v>24</v>
      </c>
      <c r="J503" s="6" t="s">
        <v>108</v>
      </c>
      <c r="K503" s="19">
        <v>0</v>
      </c>
      <c r="L503" s="6" t="s">
        <v>175</v>
      </c>
      <c r="M503" s="6" t="s">
        <v>241</v>
      </c>
      <c r="N503" s="6" t="s">
        <v>72</v>
      </c>
      <c r="O503" s="6" t="s">
        <v>75</v>
      </c>
      <c r="P503" s="19">
        <v>3</v>
      </c>
    </row>
    <row r="504" spans="8:16" ht="15.75" customHeight="1" x14ac:dyDescent="0.3">
      <c r="H504" s="6" t="s">
        <v>187</v>
      </c>
      <c r="I504" s="6" t="s">
        <v>25</v>
      </c>
      <c r="J504" s="6" t="s">
        <v>110</v>
      </c>
      <c r="K504" s="19">
        <v>4</v>
      </c>
      <c r="L504" s="6" t="s">
        <v>175</v>
      </c>
      <c r="M504" s="6" t="s">
        <v>241</v>
      </c>
      <c r="N504" s="6" t="s">
        <v>83</v>
      </c>
      <c r="O504" s="6" t="s">
        <v>84</v>
      </c>
      <c r="P504" s="19">
        <v>1</v>
      </c>
    </row>
    <row r="505" spans="8:16" ht="15.75" customHeight="1" x14ac:dyDescent="0.3">
      <c r="H505" s="6" t="s">
        <v>187</v>
      </c>
      <c r="I505" s="6" t="s">
        <v>26</v>
      </c>
      <c r="J505" s="6" t="s">
        <v>112</v>
      </c>
      <c r="K505" s="19">
        <v>2</v>
      </c>
      <c r="L505" s="6" t="s">
        <v>175</v>
      </c>
      <c r="M505" s="6" t="s">
        <v>241</v>
      </c>
      <c r="N505" s="6" t="s">
        <v>88</v>
      </c>
      <c r="O505" s="6" t="s">
        <v>90</v>
      </c>
      <c r="P505" s="17">
        <v>0.5</v>
      </c>
    </row>
    <row r="506" spans="8:16" ht="15.75" customHeight="1" x14ac:dyDescent="0.3">
      <c r="H506" s="6" t="s">
        <v>187</v>
      </c>
      <c r="I506" s="6" t="s">
        <v>27</v>
      </c>
      <c r="J506" s="6" t="s">
        <v>114</v>
      </c>
      <c r="K506" s="19">
        <v>4</v>
      </c>
      <c r="L506" s="6" t="s">
        <v>175</v>
      </c>
      <c r="M506" s="6" t="s">
        <v>241</v>
      </c>
      <c r="N506" s="6" t="s">
        <v>96</v>
      </c>
      <c r="O506" s="6" t="s">
        <v>97</v>
      </c>
      <c r="P506" s="19">
        <v>3</v>
      </c>
    </row>
    <row r="507" spans="8:16" ht="15.75" customHeight="1" x14ac:dyDescent="0.3">
      <c r="H507" s="6" t="s">
        <v>187</v>
      </c>
      <c r="I507" s="6" t="s">
        <v>115</v>
      </c>
      <c r="J507" s="6" t="s">
        <v>121</v>
      </c>
      <c r="K507" s="19">
        <v>4</v>
      </c>
      <c r="L507" s="6" t="s">
        <v>175</v>
      </c>
      <c r="M507" s="6" t="s">
        <v>241</v>
      </c>
      <c r="N507" s="6" t="s">
        <v>100</v>
      </c>
      <c r="O507" s="6" t="s">
        <v>101</v>
      </c>
      <c r="P507" s="19">
        <v>0</v>
      </c>
    </row>
    <row r="508" spans="8:16" ht="15.75" customHeight="1" x14ac:dyDescent="0.3">
      <c r="H508" s="6" t="s">
        <v>187</v>
      </c>
      <c r="I508" s="6" t="s">
        <v>116</v>
      </c>
      <c r="J508" s="6" t="s">
        <v>132</v>
      </c>
      <c r="K508" s="19">
        <v>8</v>
      </c>
      <c r="L508" s="6" t="s">
        <v>175</v>
      </c>
      <c r="M508" s="6" t="s">
        <v>241</v>
      </c>
      <c r="N508" s="6" t="s">
        <v>22</v>
      </c>
      <c r="O508" s="6" t="s">
        <v>104</v>
      </c>
      <c r="P508" s="17">
        <v>10.2857</v>
      </c>
    </row>
    <row r="509" spans="8:16" ht="15.75" customHeight="1" x14ac:dyDescent="0.3">
      <c r="H509" s="6" t="s">
        <v>187</v>
      </c>
      <c r="I509" s="6" t="s">
        <v>30</v>
      </c>
      <c r="J509" s="6" t="s">
        <v>137</v>
      </c>
      <c r="K509" s="17">
        <v>75.867900000000006</v>
      </c>
      <c r="L509" s="6" t="s">
        <v>175</v>
      </c>
      <c r="M509" s="6" t="s">
        <v>241</v>
      </c>
      <c r="N509" s="6" t="s">
        <v>23</v>
      </c>
      <c r="O509" s="6" t="s">
        <v>107</v>
      </c>
      <c r="P509" s="17">
        <v>1092.3242</v>
      </c>
    </row>
    <row r="510" spans="8:16" ht="15.75" customHeight="1" x14ac:dyDescent="0.3">
      <c r="H510" s="6" t="s">
        <v>187</v>
      </c>
      <c r="I510" s="6" t="s">
        <v>118</v>
      </c>
      <c r="J510" s="6" t="s">
        <v>140</v>
      </c>
      <c r="K510" s="19">
        <v>0</v>
      </c>
      <c r="L510" s="6" t="s">
        <v>175</v>
      </c>
      <c r="M510" s="6" t="s">
        <v>241</v>
      </c>
      <c r="N510" s="6" t="s">
        <v>24</v>
      </c>
      <c r="O510" s="6" t="s">
        <v>109</v>
      </c>
      <c r="P510" s="17">
        <v>3.5400000000000001E-2</v>
      </c>
    </row>
    <row r="511" spans="8:16" ht="15.75" customHeight="1" x14ac:dyDescent="0.3">
      <c r="H511" s="6" t="s">
        <v>187</v>
      </c>
      <c r="I511" s="6" t="s">
        <v>31</v>
      </c>
      <c r="J511" s="6" t="s">
        <v>141</v>
      </c>
      <c r="K511" s="19">
        <v>0</v>
      </c>
      <c r="L511" s="6" t="s">
        <v>175</v>
      </c>
      <c r="M511" s="6" t="s">
        <v>241</v>
      </c>
      <c r="N511" s="6" t="s">
        <v>25</v>
      </c>
      <c r="O511" s="6" t="s">
        <v>111</v>
      </c>
      <c r="P511" s="19">
        <v>25</v>
      </c>
    </row>
    <row r="512" spans="8:16" ht="15.75" customHeight="1" x14ac:dyDescent="0.3">
      <c r="H512" s="6" t="s">
        <v>187</v>
      </c>
      <c r="I512" s="6" t="s">
        <v>119</v>
      </c>
      <c r="J512" s="6" t="s">
        <v>142</v>
      </c>
      <c r="K512" s="19">
        <v>4</v>
      </c>
      <c r="L512" s="6" t="s">
        <v>175</v>
      </c>
      <c r="M512" s="6" t="s">
        <v>241</v>
      </c>
      <c r="N512" s="6" t="s">
        <v>26</v>
      </c>
      <c r="O512" s="6" t="s">
        <v>113</v>
      </c>
      <c r="P512" s="19">
        <v>19</v>
      </c>
    </row>
    <row r="513" spans="8:16" ht="15.75" customHeight="1" x14ac:dyDescent="0.3">
      <c r="H513" s="6" t="s">
        <v>187</v>
      </c>
      <c r="I513" s="6" t="s">
        <v>120</v>
      </c>
      <c r="J513" s="6" t="s">
        <v>143</v>
      </c>
      <c r="K513" s="19">
        <v>4</v>
      </c>
      <c r="L513" s="6" t="s">
        <v>175</v>
      </c>
      <c r="M513" s="6" t="s">
        <v>241</v>
      </c>
      <c r="N513" s="6" t="s">
        <v>27</v>
      </c>
      <c r="O513" s="6" t="s">
        <v>117</v>
      </c>
      <c r="P513" s="17">
        <v>106.1982</v>
      </c>
    </row>
    <row r="514" spans="8:16" ht="15.75" customHeight="1" x14ac:dyDescent="0.3">
      <c r="H514" s="6" t="s">
        <v>187</v>
      </c>
      <c r="I514" s="6" t="s">
        <v>122</v>
      </c>
      <c r="J514" s="6" t="s">
        <v>144</v>
      </c>
      <c r="K514" s="19">
        <v>4</v>
      </c>
      <c r="L514" s="6" t="s">
        <v>175</v>
      </c>
      <c r="M514" s="6" t="s">
        <v>241</v>
      </c>
      <c r="N514" s="6" t="s">
        <v>29</v>
      </c>
      <c r="O514" s="6" t="s">
        <v>125</v>
      </c>
      <c r="P514" s="19">
        <v>23</v>
      </c>
    </row>
    <row r="515" spans="8:16" ht="15.75" customHeight="1" x14ac:dyDescent="0.3">
      <c r="H515" s="6" t="s">
        <v>187</v>
      </c>
      <c r="I515" s="6" t="s">
        <v>123</v>
      </c>
      <c r="J515" s="6" t="s">
        <v>145</v>
      </c>
      <c r="K515" s="19">
        <v>26</v>
      </c>
      <c r="L515" s="6" t="s">
        <v>175</v>
      </c>
      <c r="M515" s="6" t="s">
        <v>241</v>
      </c>
      <c r="N515" s="6" t="s">
        <v>135</v>
      </c>
      <c r="O515" s="6" t="s">
        <v>136</v>
      </c>
      <c r="P515" s="17">
        <v>0.5</v>
      </c>
    </row>
    <row r="516" spans="8:16" ht="15.75" customHeight="1" x14ac:dyDescent="0.3">
      <c r="H516" s="6" t="s">
        <v>187</v>
      </c>
      <c r="I516" s="6" t="s">
        <v>124</v>
      </c>
      <c r="J516" s="6" t="s">
        <v>146</v>
      </c>
      <c r="K516" s="25" t="s">
        <v>169</v>
      </c>
      <c r="L516" s="6" t="s">
        <v>175</v>
      </c>
      <c r="M516" s="6" t="s">
        <v>241</v>
      </c>
      <c r="N516" s="6" t="s">
        <v>138</v>
      </c>
      <c r="O516" s="6" t="s">
        <v>139</v>
      </c>
      <c r="P516" s="19">
        <v>0</v>
      </c>
    </row>
    <row r="517" spans="8:16" ht="15.75" customHeight="1" x14ac:dyDescent="0.3">
      <c r="H517" s="6" t="s">
        <v>187</v>
      </c>
      <c r="I517" s="6" t="s">
        <v>126</v>
      </c>
      <c r="J517" s="6" t="s">
        <v>147</v>
      </c>
      <c r="K517" s="19">
        <v>5</v>
      </c>
      <c r="L517" s="6" t="s">
        <v>175</v>
      </c>
      <c r="M517" s="6" t="s">
        <v>241</v>
      </c>
      <c r="N517" s="6" t="s">
        <v>30</v>
      </c>
      <c r="O517" s="6" t="s">
        <v>148</v>
      </c>
      <c r="P517" s="17">
        <v>55.927599999999998</v>
      </c>
    </row>
    <row r="518" spans="8:16" ht="15.75" customHeight="1" x14ac:dyDescent="0.3">
      <c r="H518" s="6" t="s">
        <v>187</v>
      </c>
      <c r="I518" s="6" t="s">
        <v>127</v>
      </c>
      <c r="J518" s="6" t="s">
        <v>149</v>
      </c>
      <c r="K518" s="19">
        <v>22</v>
      </c>
      <c r="L518" s="6" t="s">
        <v>175</v>
      </c>
      <c r="M518" s="6" t="s">
        <v>241</v>
      </c>
      <c r="N518" s="6" t="s">
        <v>156</v>
      </c>
      <c r="O518" s="6" t="s">
        <v>157</v>
      </c>
      <c r="P518" s="19">
        <v>1</v>
      </c>
    </row>
    <row r="519" spans="8:16" ht="15.75" customHeight="1" x14ac:dyDescent="0.3">
      <c r="H519" s="6" t="s">
        <v>187</v>
      </c>
      <c r="I519" s="6" t="s">
        <v>128</v>
      </c>
      <c r="J519" s="6" t="s">
        <v>150</v>
      </c>
      <c r="K519" s="19">
        <v>0</v>
      </c>
      <c r="L519" s="6" t="s">
        <v>175</v>
      </c>
      <c r="M519" s="6" t="s">
        <v>241</v>
      </c>
      <c r="N519" s="6" t="s">
        <v>158</v>
      </c>
      <c r="O519" s="6" t="s">
        <v>159</v>
      </c>
      <c r="P519" s="19">
        <v>4</v>
      </c>
    </row>
    <row r="520" spans="8:16" ht="15.75" customHeight="1" x14ac:dyDescent="0.3">
      <c r="H520" s="6" t="s">
        <v>187</v>
      </c>
      <c r="I520" s="6" t="s">
        <v>129</v>
      </c>
      <c r="J520" s="6" t="s">
        <v>151</v>
      </c>
      <c r="K520" s="19">
        <v>0</v>
      </c>
      <c r="L520" s="6" t="s">
        <v>175</v>
      </c>
      <c r="M520" s="6" t="s">
        <v>241</v>
      </c>
      <c r="N520" s="6" t="s">
        <v>160</v>
      </c>
      <c r="O520" s="6" t="s">
        <v>161</v>
      </c>
      <c r="P520" s="19">
        <v>4</v>
      </c>
    </row>
    <row r="521" spans="8:16" ht="15.75" customHeight="1" x14ac:dyDescent="0.3">
      <c r="H521" s="6" t="s">
        <v>187</v>
      </c>
      <c r="I521" s="6" t="s">
        <v>130</v>
      </c>
      <c r="J521" s="6" t="s">
        <v>152</v>
      </c>
      <c r="K521" s="19">
        <v>5</v>
      </c>
      <c r="L521" s="6" t="s">
        <v>175</v>
      </c>
      <c r="M521" s="6" t="s">
        <v>241</v>
      </c>
      <c r="N521" s="6" t="s">
        <v>162</v>
      </c>
      <c r="O521" s="6" t="s">
        <v>163</v>
      </c>
      <c r="P521" s="19">
        <v>0</v>
      </c>
    </row>
    <row r="522" spans="8:16" ht="15.75" customHeight="1" x14ac:dyDescent="0.3">
      <c r="H522" s="6" t="s">
        <v>187</v>
      </c>
      <c r="I522" s="6" t="s">
        <v>131</v>
      </c>
      <c r="J522" s="6" t="s">
        <v>153</v>
      </c>
      <c r="K522" s="19">
        <v>0</v>
      </c>
      <c r="L522" s="6" t="s">
        <v>175</v>
      </c>
      <c r="M522" s="6" t="s">
        <v>241</v>
      </c>
      <c r="N522" s="6" t="s">
        <v>165</v>
      </c>
      <c r="O522" s="6" t="s">
        <v>166</v>
      </c>
      <c r="P522" s="19">
        <v>1</v>
      </c>
    </row>
    <row r="523" spans="8:16" ht="15.75" customHeight="1" x14ac:dyDescent="0.3">
      <c r="H523" s="6" t="s">
        <v>187</v>
      </c>
      <c r="I523" s="6" t="s">
        <v>133</v>
      </c>
      <c r="J523" s="6" t="s">
        <v>154</v>
      </c>
      <c r="K523" s="19">
        <v>0</v>
      </c>
      <c r="L523" s="6" t="s">
        <v>175</v>
      </c>
      <c r="M523" s="6" t="s">
        <v>246</v>
      </c>
      <c r="N523" s="6" t="s">
        <v>72</v>
      </c>
      <c r="O523" s="6" t="s">
        <v>75</v>
      </c>
      <c r="P523" s="19">
        <v>2</v>
      </c>
    </row>
    <row r="524" spans="8:16" ht="15.75" customHeight="1" x14ac:dyDescent="0.3">
      <c r="H524" s="6" t="s">
        <v>187</v>
      </c>
      <c r="I524" s="6" t="s">
        <v>134</v>
      </c>
      <c r="J524" s="6" t="s">
        <v>155</v>
      </c>
      <c r="K524" s="19">
        <v>5</v>
      </c>
      <c r="L524" s="6" t="s">
        <v>175</v>
      </c>
      <c r="M524" s="6" t="s">
        <v>246</v>
      </c>
      <c r="N524" s="6" t="s">
        <v>83</v>
      </c>
      <c r="O524" s="6" t="s">
        <v>84</v>
      </c>
      <c r="P524" s="19">
        <v>1</v>
      </c>
    </row>
    <row r="525" spans="8:16" ht="15.75" customHeight="1" x14ac:dyDescent="0.3">
      <c r="H525" s="6" t="s">
        <v>188</v>
      </c>
      <c r="I525" s="6" t="s">
        <v>58</v>
      </c>
      <c r="J525" s="6" t="s">
        <v>60</v>
      </c>
      <c r="K525" s="25" t="s">
        <v>169</v>
      </c>
      <c r="L525" s="6" t="s">
        <v>175</v>
      </c>
      <c r="M525" s="6" t="s">
        <v>246</v>
      </c>
      <c r="N525" s="6" t="s">
        <v>88</v>
      </c>
      <c r="O525" s="6" t="s">
        <v>90</v>
      </c>
      <c r="P525" s="17">
        <v>0.66669999999999996</v>
      </c>
    </row>
    <row r="526" spans="8:16" ht="15.75" customHeight="1" x14ac:dyDescent="0.3">
      <c r="H526" s="6" t="s">
        <v>188</v>
      </c>
      <c r="I526" s="6" t="s">
        <v>72</v>
      </c>
      <c r="J526" s="6" t="s">
        <v>82</v>
      </c>
      <c r="K526" s="19">
        <v>1</v>
      </c>
      <c r="L526" s="6" t="s">
        <v>175</v>
      </c>
      <c r="M526" s="6" t="s">
        <v>246</v>
      </c>
      <c r="N526" s="6" t="s">
        <v>96</v>
      </c>
      <c r="O526" s="6" t="s">
        <v>97</v>
      </c>
      <c r="P526" s="19">
        <v>3</v>
      </c>
    </row>
    <row r="527" spans="8:16" ht="15.75" customHeight="1" x14ac:dyDescent="0.3">
      <c r="H527" s="6" t="s">
        <v>188</v>
      </c>
      <c r="I527" s="6" t="s">
        <v>85</v>
      </c>
      <c r="J527" s="6" t="s">
        <v>86</v>
      </c>
      <c r="K527" s="25" t="s">
        <v>169</v>
      </c>
      <c r="L527" s="6" t="s">
        <v>175</v>
      </c>
      <c r="M527" s="6" t="s">
        <v>246</v>
      </c>
      <c r="N527" s="6" t="s">
        <v>100</v>
      </c>
      <c r="O527" s="6" t="s">
        <v>101</v>
      </c>
      <c r="P527" s="19">
        <v>0</v>
      </c>
    </row>
    <row r="528" spans="8:16" ht="15.75" customHeight="1" x14ac:dyDescent="0.3">
      <c r="H528" s="6" t="s">
        <v>188</v>
      </c>
      <c r="I528" s="6" t="s">
        <v>93</v>
      </c>
      <c r="J528" s="6" t="s">
        <v>94</v>
      </c>
      <c r="K528" s="25" t="s">
        <v>169</v>
      </c>
      <c r="L528" s="6" t="s">
        <v>175</v>
      </c>
      <c r="M528" s="6" t="s">
        <v>246</v>
      </c>
      <c r="N528" s="6" t="s">
        <v>22</v>
      </c>
      <c r="O528" s="6" t="s">
        <v>104</v>
      </c>
      <c r="P528" s="17">
        <v>10.2143</v>
      </c>
    </row>
    <row r="529" spans="8:16" ht="15.75" customHeight="1" x14ac:dyDescent="0.3">
      <c r="H529" s="6" t="s">
        <v>188</v>
      </c>
      <c r="I529" s="6" t="s">
        <v>98</v>
      </c>
      <c r="J529" s="6" t="s">
        <v>99</v>
      </c>
      <c r="K529" s="25" t="s">
        <v>169</v>
      </c>
      <c r="L529" s="6" t="s">
        <v>175</v>
      </c>
      <c r="M529" s="6" t="s">
        <v>246</v>
      </c>
      <c r="N529" s="6" t="s">
        <v>23</v>
      </c>
      <c r="O529" s="6" t="s">
        <v>107</v>
      </c>
      <c r="P529" s="17">
        <v>1103.6351999999999</v>
      </c>
    </row>
    <row r="530" spans="8:16" ht="15.75" customHeight="1" x14ac:dyDescent="0.3">
      <c r="H530" s="6" t="s">
        <v>188</v>
      </c>
      <c r="I530" s="6" t="s">
        <v>22</v>
      </c>
      <c r="J530" s="6" t="s">
        <v>103</v>
      </c>
      <c r="K530" s="25" t="s">
        <v>169</v>
      </c>
      <c r="L530" s="6" t="s">
        <v>175</v>
      </c>
      <c r="M530" s="6" t="s">
        <v>246</v>
      </c>
      <c r="N530" s="6" t="s">
        <v>24</v>
      </c>
      <c r="O530" s="6" t="s">
        <v>109</v>
      </c>
      <c r="P530" s="17">
        <v>3.56E-2</v>
      </c>
    </row>
    <row r="531" spans="8:16" ht="15.75" customHeight="1" x14ac:dyDescent="0.3">
      <c r="H531" s="6" t="s">
        <v>188</v>
      </c>
      <c r="I531" s="6" t="s">
        <v>23</v>
      </c>
      <c r="J531" s="6" t="s">
        <v>106</v>
      </c>
      <c r="K531" s="25" t="s">
        <v>169</v>
      </c>
      <c r="L531" s="6" t="s">
        <v>175</v>
      </c>
      <c r="M531" s="6" t="s">
        <v>246</v>
      </c>
      <c r="N531" s="6" t="s">
        <v>25</v>
      </c>
      <c r="O531" s="6" t="s">
        <v>111</v>
      </c>
      <c r="P531" s="19">
        <v>25</v>
      </c>
    </row>
    <row r="532" spans="8:16" ht="15.75" customHeight="1" x14ac:dyDescent="0.3">
      <c r="H532" s="6" t="s">
        <v>188</v>
      </c>
      <c r="I532" s="6" t="s">
        <v>24</v>
      </c>
      <c r="J532" s="6" t="s">
        <v>108</v>
      </c>
      <c r="K532" s="25" t="s">
        <v>169</v>
      </c>
      <c r="L532" s="6" t="s">
        <v>175</v>
      </c>
      <c r="M532" s="6" t="s">
        <v>246</v>
      </c>
      <c r="N532" s="6" t="s">
        <v>26</v>
      </c>
      <c r="O532" s="6" t="s">
        <v>113</v>
      </c>
      <c r="P532" s="19">
        <v>20</v>
      </c>
    </row>
    <row r="533" spans="8:16" ht="15.75" customHeight="1" x14ac:dyDescent="0.3">
      <c r="H533" s="6" t="s">
        <v>188</v>
      </c>
      <c r="I533" s="6" t="s">
        <v>25</v>
      </c>
      <c r="J533" s="6" t="s">
        <v>110</v>
      </c>
      <c r="K533" s="25" t="s">
        <v>169</v>
      </c>
      <c r="L533" s="6" t="s">
        <v>175</v>
      </c>
      <c r="M533" s="6" t="s">
        <v>246</v>
      </c>
      <c r="N533" s="6" t="s">
        <v>27</v>
      </c>
      <c r="O533" s="6" t="s">
        <v>117</v>
      </c>
      <c r="P533" s="17">
        <v>108.04819999999999</v>
      </c>
    </row>
    <row r="534" spans="8:16" ht="15.75" customHeight="1" x14ac:dyDescent="0.3">
      <c r="H534" s="6" t="s">
        <v>188</v>
      </c>
      <c r="I534" s="6" t="s">
        <v>26</v>
      </c>
      <c r="J534" s="6" t="s">
        <v>112</v>
      </c>
      <c r="K534" s="25" t="s">
        <v>169</v>
      </c>
      <c r="L534" s="6" t="s">
        <v>175</v>
      </c>
      <c r="M534" s="6" t="s">
        <v>246</v>
      </c>
      <c r="N534" s="6" t="s">
        <v>29</v>
      </c>
      <c r="O534" s="6" t="s">
        <v>125</v>
      </c>
      <c r="P534" s="19">
        <v>16</v>
      </c>
    </row>
    <row r="535" spans="8:16" ht="15.75" customHeight="1" x14ac:dyDescent="0.3">
      <c r="H535" s="6" t="s">
        <v>188</v>
      </c>
      <c r="I535" s="6" t="s">
        <v>27</v>
      </c>
      <c r="J535" s="6" t="s">
        <v>114</v>
      </c>
      <c r="K535" s="25" t="s">
        <v>169</v>
      </c>
      <c r="L535" s="6" t="s">
        <v>175</v>
      </c>
      <c r="M535" s="6" t="s">
        <v>246</v>
      </c>
      <c r="N535" s="6" t="s">
        <v>135</v>
      </c>
      <c r="O535" s="6" t="s">
        <v>136</v>
      </c>
      <c r="P535" s="19">
        <v>1</v>
      </c>
    </row>
    <row r="536" spans="8:16" ht="15.75" customHeight="1" x14ac:dyDescent="0.3">
      <c r="H536" s="6" t="s">
        <v>188</v>
      </c>
      <c r="I536" s="6" t="s">
        <v>115</v>
      </c>
      <c r="J536" s="6" t="s">
        <v>121</v>
      </c>
      <c r="K536" s="25" t="s">
        <v>169</v>
      </c>
      <c r="L536" s="6" t="s">
        <v>175</v>
      </c>
      <c r="M536" s="6" t="s">
        <v>246</v>
      </c>
      <c r="N536" s="6" t="s">
        <v>138</v>
      </c>
      <c r="O536" s="6" t="s">
        <v>139</v>
      </c>
      <c r="P536" s="19">
        <v>1</v>
      </c>
    </row>
    <row r="537" spans="8:16" ht="15.75" customHeight="1" x14ac:dyDescent="0.3">
      <c r="H537" s="6" t="s">
        <v>188</v>
      </c>
      <c r="I537" s="6" t="s">
        <v>116</v>
      </c>
      <c r="J537" s="6" t="s">
        <v>132</v>
      </c>
      <c r="K537" s="19">
        <v>10</v>
      </c>
      <c r="L537" s="6" t="s">
        <v>175</v>
      </c>
      <c r="M537" s="6" t="s">
        <v>246</v>
      </c>
      <c r="N537" s="6" t="s">
        <v>30</v>
      </c>
      <c r="O537" s="6" t="s">
        <v>148</v>
      </c>
      <c r="P537" s="17">
        <v>59.347499999999997</v>
      </c>
    </row>
    <row r="538" spans="8:16" ht="15.75" customHeight="1" x14ac:dyDescent="0.3">
      <c r="H538" s="6" t="s">
        <v>188</v>
      </c>
      <c r="I538" s="6" t="s">
        <v>30</v>
      </c>
      <c r="J538" s="6" t="s">
        <v>137</v>
      </c>
      <c r="K538" s="25" t="s">
        <v>173</v>
      </c>
      <c r="L538" s="6" t="s">
        <v>175</v>
      </c>
      <c r="M538" s="6" t="s">
        <v>246</v>
      </c>
      <c r="N538" s="6" t="s">
        <v>156</v>
      </c>
      <c r="O538" s="6" t="s">
        <v>157</v>
      </c>
      <c r="P538" s="19">
        <v>1</v>
      </c>
    </row>
    <row r="539" spans="8:16" ht="15.75" customHeight="1" x14ac:dyDescent="0.3">
      <c r="H539" s="6" t="s">
        <v>188</v>
      </c>
      <c r="I539" s="6" t="s">
        <v>118</v>
      </c>
      <c r="J539" s="6" t="s">
        <v>140</v>
      </c>
      <c r="K539" s="25" t="s">
        <v>169</v>
      </c>
      <c r="L539" s="6" t="s">
        <v>175</v>
      </c>
      <c r="M539" s="6" t="s">
        <v>246</v>
      </c>
      <c r="N539" s="6" t="s">
        <v>158</v>
      </c>
      <c r="O539" s="6" t="s">
        <v>159</v>
      </c>
      <c r="P539" s="19">
        <v>3</v>
      </c>
    </row>
    <row r="540" spans="8:16" ht="15.75" customHeight="1" x14ac:dyDescent="0.3">
      <c r="H540" s="6" t="s">
        <v>188</v>
      </c>
      <c r="I540" s="6" t="s">
        <v>31</v>
      </c>
      <c r="J540" s="6" t="s">
        <v>141</v>
      </c>
      <c r="K540" s="25" t="s">
        <v>169</v>
      </c>
      <c r="L540" s="6" t="s">
        <v>175</v>
      </c>
      <c r="M540" s="6" t="s">
        <v>246</v>
      </c>
      <c r="N540" s="6" t="s">
        <v>160</v>
      </c>
      <c r="O540" s="6" t="s">
        <v>161</v>
      </c>
      <c r="P540" s="19">
        <v>3</v>
      </c>
    </row>
    <row r="541" spans="8:16" ht="15.75" customHeight="1" x14ac:dyDescent="0.3">
      <c r="H541" s="6" t="s">
        <v>188</v>
      </c>
      <c r="I541" s="6" t="s">
        <v>119</v>
      </c>
      <c r="J541" s="6" t="s">
        <v>142</v>
      </c>
      <c r="K541" s="25" t="s">
        <v>169</v>
      </c>
      <c r="L541" s="6" t="s">
        <v>175</v>
      </c>
      <c r="M541" s="6" t="s">
        <v>246</v>
      </c>
      <c r="N541" s="6" t="s">
        <v>162</v>
      </c>
      <c r="O541" s="6" t="s">
        <v>163</v>
      </c>
      <c r="P541" s="19">
        <v>1</v>
      </c>
    </row>
    <row r="542" spans="8:16" ht="15.75" customHeight="1" x14ac:dyDescent="0.3">
      <c r="H542" s="6" t="s">
        <v>188</v>
      </c>
      <c r="I542" s="6" t="s">
        <v>120</v>
      </c>
      <c r="J542" s="6" t="s">
        <v>143</v>
      </c>
      <c r="K542" s="25" t="s">
        <v>169</v>
      </c>
      <c r="L542" s="6" t="s">
        <v>175</v>
      </c>
      <c r="M542" s="6" t="s">
        <v>246</v>
      </c>
      <c r="N542" s="6" t="s">
        <v>165</v>
      </c>
      <c r="O542" s="6" t="s">
        <v>166</v>
      </c>
      <c r="P542" s="19">
        <v>1</v>
      </c>
    </row>
    <row r="543" spans="8:16" ht="15.75" customHeight="1" x14ac:dyDescent="0.3">
      <c r="H543" s="6" t="s">
        <v>188</v>
      </c>
      <c r="I543" s="6" t="s">
        <v>122</v>
      </c>
      <c r="J543" s="6" t="s">
        <v>144</v>
      </c>
      <c r="K543" s="25" t="s">
        <v>169</v>
      </c>
      <c r="L543" s="6" t="s">
        <v>175</v>
      </c>
      <c r="M543" s="6" t="s">
        <v>248</v>
      </c>
      <c r="N543" s="6" t="s">
        <v>72</v>
      </c>
      <c r="O543" s="6" t="s">
        <v>75</v>
      </c>
      <c r="P543" s="19">
        <v>3</v>
      </c>
    </row>
    <row r="544" spans="8:16" ht="15.75" customHeight="1" x14ac:dyDescent="0.3">
      <c r="H544" s="6" t="s">
        <v>188</v>
      </c>
      <c r="I544" s="6" t="s">
        <v>123</v>
      </c>
      <c r="J544" s="6" t="s">
        <v>145</v>
      </c>
      <c r="K544" s="25" t="s">
        <v>169</v>
      </c>
      <c r="L544" s="6" t="s">
        <v>175</v>
      </c>
      <c r="M544" s="6" t="s">
        <v>248</v>
      </c>
      <c r="N544" s="6" t="s">
        <v>83</v>
      </c>
      <c r="O544" s="6" t="s">
        <v>84</v>
      </c>
      <c r="P544" s="19">
        <v>1</v>
      </c>
    </row>
    <row r="545" spans="8:16" ht="15.75" customHeight="1" x14ac:dyDescent="0.3">
      <c r="H545" s="6" t="s">
        <v>188</v>
      </c>
      <c r="I545" s="6" t="s">
        <v>124</v>
      </c>
      <c r="J545" s="6" t="s">
        <v>146</v>
      </c>
      <c r="K545" s="25" t="s">
        <v>169</v>
      </c>
      <c r="L545" s="6" t="s">
        <v>175</v>
      </c>
      <c r="M545" s="6" t="s">
        <v>248</v>
      </c>
      <c r="N545" s="6" t="s">
        <v>88</v>
      </c>
      <c r="O545" s="6" t="s">
        <v>90</v>
      </c>
      <c r="P545" s="19">
        <v>1</v>
      </c>
    </row>
    <row r="546" spans="8:16" ht="15.75" customHeight="1" x14ac:dyDescent="0.3">
      <c r="H546" s="6" t="s">
        <v>188</v>
      </c>
      <c r="I546" s="6" t="s">
        <v>126</v>
      </c>
      <c r="J546" s="6" t="s">
        <v>147</v>
      </c>
      <c r="K546" s="25" t="s">
        <v>169</v>
      </c>
      <c r="L546" s="6" t="s">
        <v>175</v>
      </c>
      <c r="M546" s="6" t="s">
        <v>248</v>
      </c>
      <c r="N546" s="6" t="s">
        <v>96</v>
      </c>
      <c r="O546" s="6" t="s">
        <v>97</v>
      </c>
      <c r="P546" s="19">
        <v>4</v>
      </c>
    </row>
    <row r="547" spans="8:16" ht="15.75" customHeight="1" x14ac:dyDescent="0.3">
      <c r="H547" s="6" t="s">
        <v>188</v>
      </c>
      <c r="I547" s="6" t="s">
        <v>127</v>
      </c>
      <c r="J547" s="6" t="s">
        <v>149</v>
      </c>
      <c r="K547" s="25" t="s">
        <v>169</v>
      </c>
      <c r="L547" s="6" t="s">
        <v>175</v>
      </c>
      <c r="M547" s="6" t="s">
        <v>248</v>
      </c>
      <c r="N547" s="6" t="s">
        <v>100</v>
      </c>
      <c r="O547" s="6" t="s">
        <v>101</v>
      </c>
      <c r="P547" s="19">
        <v>1</v>
      </c>
    </row>
    <row r="548" spans="8:16" ht="15.75" customHeight="1" x14ac:dyDescent="0.3">
      <c r="H548" s="6" t="s">
        <v>188</v>
      </c>
      <c r="I548" s="6" t="s">
        <v>128</v>
      </c>
      <c r="J548" s="6" t="s">
        <v>150</v>
      </c>
      <c r="K548" s="25" t="s">
        <v>169</v>
      </c>
      <c r="L548" s="6" t="s">
        <v>175</v>
      </c>
      <c r="M548" s="6" t="s">
        <v>248</v>
      </c>
      <c r="N548" s="6" t="s">
        <v>22</v>
      </c>
      <c r="O548" s="6" t="s">
        <v>104</v>
      </c>
      <c r="P548" s="17">
        <v>14.375</v>
      </c>
    </row>
    <row r="549" spans="8:16" ht="15.75" customHeight="1" x14ac:dyDescent="0.3">
      <c r="H549" s="6" t="s">
        <v>188</v>
      </c>
      <c r="I549" s="6" t="s">
        <v>129</v>
      </c>
      <c r="J549" s="6" t="s">
        <v>151</v>
      </c>
      <c r="K549" s="25" t="s">
        <v>169</v>
      </c>
      <c r="L549" s="6" t="s">
        <v>175</v>
      </c>
      <c r="M549" s="6" t="s">
        <v>248</v>
      </c>
      <c r="N549" s="6" t="s">
        <v>23</v>
      </c>
      <c r="O549" s="6" t="s">
        <v>107</v>
      </c>
      <c r="P549" s="17">
        <v>2597.3573000000001</v>
      </c>
    </row>
    <row r="550" spans="8:16" ht="15.75" customHeight="1" x14ac:dyDescent="0.3">
      <c r="H550" s="6" t="s">
        <v>188</v>
      </c>
      <c r="I550" s="6" t="s">
        <v>130</v>
      </c>
      <c r="J550" s="6" t="s">
        <v>152</v>
      </c>
      <c r="K550" s="25" t="s">
        <v>169</v>
      </c>
      <c r="L550" s="6" t="s">
        <v>175</v>
      </c>
      <c r="M550" s="6" t="s">
        <v>248</v>
      </c>
      <c r="N550" s="6" t="s">
        <v>24</v>
      </c>
      <c r="O550" s="6" t="s">
        <v>109</v>
      </c>
      <c r="P550" s="17">
        <v>6.3E-2</v>
      </c>
    </row>
    <row r="551" spans="8:16" ht="15.75" customHeight="1" x14ac:dyDescent="0.3">
      <c r="H551" s="6" t="s">
        <v>188</v>
      </c>
      <c r="I551" s="6" t="s">
        <v>131</v>
      </c>
      <c r="J551" s="6" t="s">
        <v>153</v>
      </c>
      <c r="K551" s="25" t="s">
        <v>169</v>
      </c>
      <c r="L551" s="6" t="s">
        <v>175</v>
      </c>
      <c r="M551" s="6" t="s">
        <v>248</v>
      </c>
      <c r="N551" s="6" t="s">
        <v>25</v>
      </c>
      <c r="O551" s="6" t="s">
        <v>111</v>
      </c>
      <c r="P551" s="19">
        <v>38</v>
      </c>
    </row>
    <row r="552" spans="8:16" ht="15.75" customHeight="1" x14ac:dyDescent="0.3">
      <c r="H552" s="6" t="s">
        <v>188</v>
      </c>
      <c r="I552" s="6" t="s">
        <v>133</v>
      </c>
      <c r="J552" s="6" t="s">
        <v>154</v>
      </c>
      <c r="K552" s="25" t="s">
        <v>169</v>
      </c>
      <c r="L552" s="6" t="s">
        <v>175</v>
      </c>
      <c r="M552" s="6" t="s">
        <v>248</v>
      </c>
      <c r="N552" s="6" t="s">
        <v>26</v>
      </c>
      <c r="O552" s="6" t="s">
        <v>113</v>
      </c>
      <c r="P552" s="19">
        <v>27</v>
      </c>
    </row>
    <row r="553" spans="8:16" ht="15.75" customHeight="1" x14ac:dyDescent="0.3">
      <c r="H553" s="6" t="s">
        <v>188</v>
      </c>
      <c r="I553" s="6" t="s">
        <v>134</v>
      </c>
      <c r="J553" s="6" t="s">
        <v>155</v>
      </c>
      <c r="K553" s="25" t="s">
        <v>169</v>
      </c>
      <c r="L553" s="6" t="s">
        <v>175</v>
      </c>
      <c r="M553" s="6" t="s">
        <v>248</v>
      </c>
      <c r="N553" s="6" t="s">
        <v>27</v>
      </c>
      <c r="O553" s="6" t="s">
        <v>117</v>
      </c>
      <c r="P553" s="17">
        <v>180.6857</v>
      </c>
    </row>
    <row r="554" spans="8:16" ht="15.75" customHeight="1" x14ac:dyDescent="0.3">
      <c r="H554" s="6" t="s">
        <v>189</v>
      </c>
      <c r="I554" s="6" t="s">
        <v>58</v>
      </c>
      <c r="J554" s="6" t="s">
        <v>60</v>
      </c>
      <c r="K554" s="25" t="s">
        <v>169</v>
      </c>
      <c r="L554" s="6" t="s">
        <v>175</v>
      </c>
      <c r="M554" s="6" t="s">
        <v>248</v>
      </c>
      <c r="N554" s="6" t="s">
        <v>29</v>
      </c>
      <c r="O554" s="6" t="s">
        <v>125</v>
      </c>
      <c r="P554" s="19">
        <v>27</v>
      </c>
    </row>
    <row r="555" spans="8:16" ht="15.75" customHeight="1" x14ac:dyDescent="0.3">
      <c r="H555" s="6" t="s">
        <v>189</v>
      </c>
      <c r="I555" s="6" t="s">
        <v>72</v>
      </c>
      <c r="J555" s="6" t="s">
        <v>82</v>
      </c>
      <c r="K555" s="19">
        <v>0</v>
      </c>
      <c r="L555" s="6" t="s">
        <v>175</v>
      </c>
      <c r="M555" s="6" t="s">
        <v>248</v>
      </c>
      <c r="N555" s="6" t="s">
        <v>135</v>
      </c>
      <c r="O555" s="6" t="s">
        <v>136</v>
      </c>
      <c r="P555" s="19">
        <v>0</v>
      </c>
    </row>
    <row r="556" spans="8:16" ht="15.75" customHeight="1" x14ac:dyDescent="0.3">
      <c r="H556" s="6" t="s">
        <v>189</v>
      </c>
      <c r="I556" s="6" t="s">
        <v>85</v>
      </c>
      <c r="J556" s="6" t="s">
        <v>86</v>
      </c>
      <c r="K556" s="25" t="s">
        <v>169</v>
      </c>
      <c r="L556" s="6" t="s">
        <v>175</v>
      </c>
      <c r="M556" s="6" t="s">
        <v>248</v>
      </c>
      <c r="N556" s="6" t="s">
        <v>138</v>
      </c>
      <c r="O556" s="6" t="s">
        <v>139</v>
      </c>
      <c r="P556" s="19">
        <v>1</v>
      </c>
    </row>
    <row r="557" spans="8:16" ht="15.75" customHeight="1" x14ac:dyDescent="0.3">
      <c r="H557" s="6" t="s">
        <v>189</v>
      </c>
      <c r="I557" s="6" t="s">
        <v>93</v>
      </c>
      <c r="J557" s="6" t="s">
        <v>94</v>
      </c>
      <c r="K557" s="25" t="s">
        <v>169</v>
      </c>
      <c r="L557" s="6" t="s">
        <v>175</v>
      </c>
      <c r="M557" s="6" t="s">
        <v>248</v>
      </c>
      <c r="N557" s="6" t="s">
        <v>30</v>
      </c>
      <c r="O557" s="6" t="s">
        <v>148</v>
      </c>
      <c r="P557" s="17">
        <v>52.798400000000001</v>
      </c>
    </row>
    <row r="558" spans="8:16" ht="15.75" customHeight="1" x14ac:dyDescent="0.3">
      <c r="H558" s="6" t="s">
        <v>189</v>
      </c>
      <c r="I558" s="6" t="s">
        <v>98</v>
      </c>
      <c r="J558" s="6" t="s">
        <v>99</v>
      </c>
      <c r="K558" s="25" t="s">
        <v>169</v>
      </c>
      <c r="L558" s="6" t="s">
        <v>175</v>
      </c>
      <c r="M558" s="6" t="s">
        <v>248</v>
      </c>
      <c r="N558" s="6" t="s">
        <v>156</v>
      </c>
      <c r="O558" s="6" t="s">
        <v>157</v>
      </c>
      <c r="P558" s="19">
        <v>2</v>
      </c>
    </row>
    <row r="559" spans="8:16" ht="15.75" customHeight="1" x14ac:dyDescent="0.3">
      <c r="H559" s="6" t="s">
        <v>189</v>
      </c>
      <c r="I559" s="6" t="s">
        <v>22</v>
      </c>
      <c r="J559" s="6" t="s">
        <v>103</v>
      </c>
      <c r="K559" s="25" t="s">
        <v>169</v>
      </c>
      <c r="L559" s="6" t="s">
        <v>175</v>
      </c>
      <c r="M559" s="6" t="s">
        <v>248</v>
      </c>
      <c r="N559" s="6" t="s">
        <v>158</v>
      </c>
      <c r="O559" s="6" t="s">
        <v>159</v>
      </c>
      <c r="P559" s="19">
        <v>4</v>
      </c>
    </row>
    <row r="560" spans="8:16" ht="15.75" customHeight="1" x14ac:dyDescent="0.3">
      <c r="H560" s="6" t="s">
        <v>189</v>
      </c>
      <c r="I560" s="6" t="s">
        <v>23</v>
      </c>
      <c r="J560" s="6" t="s">
        <v>106</v>
      </c>
      <c r="K560" s="25" t="s">
        <v>169</v>
      </c>
      <c r="L560" s="6" t="s">
        <v>175</v>
      </c>
      <c r="M560" s="6" t="s">
        <v>248</v>
      </c>
      <c r="N560" s="6" t="s">
        <v>160</v>
      </c>
      <c r="O560" s="6" t="s">
        <v>161</v>
      </c>
      <c r="P560" s="19">
        <v>5</v>
      </c>
    </row>
    <row r="561" spans="8:16" ht="15.75" customHeight="1" x14ac:dyDescent="0.3">
      <c r="H561" s="6" t="s">
        <v>189</v>
      </c>
      <c r="I561" s="6" t="s">
        <v>24</v>
      </c>
      <c r="J561" s="6" t="s">
        <v>108</v>
      </c>
      <c r="K561" s="25" t="s">
        <v>169</v>
      </c>
      <c r="L561" s="6" t="s">
        <v>175</v>
      </c>
      <c r="M561" s="6" t="s">
        <v>248</v>
      </c>
      <c r="N561" s="6" t="s">
        <v>162</v>
      </c>
      <c r="O561" s="6" t="s">
        <v>163</v>
      </c>
      <c r="P561" s="19">
        <v>1</v>
      </c>
    </row>
    <row r="562" spans="8:16" ht="15.75" customHeight="1" x14ac:dyDescent="0.3">
      <c r="H562" s="6" t="s">
        <v>189</v>
      </c>
      <c r="I562" s="6" t="s">
        <v>25</v>
      </c>
      <c r="J562" s="6" t="s">
        <v>110</v>
      </c>
      <c r="K562" s="25" t="s">
        <v>169</v>
      </c>
      <c r="L562" s="6" t="s">
        <v>175</v>
      </c>
      <c r="M562" s="6" t="s">
        <v>248</v>
      </c>
      <c r="N562" s="6" t="s">
        <v>165</v>
      </c>
      <c r="O562" s="6" t="s">
        <v>166</v>
      </c>
      <c r="P562" s="19">
        <v>0</v>
      </c>
    </row>
    <row r="563" spans="8:16" ht="15.75" customHeight="1" x14ac:dyDescent="0.3">
      <c r="H563" s="6" t="s">
        <v>189</v>
      </c>
      <c r="I563" s="6" t="s">
        <v>26</v>
      </c>
      <c r="J563" s="6" t="s">
        <v>112</v>
      </c>
      <c r="K563" s="25" t="s">
        <v>169</v>
      </c>
      <c r="L563" s="6" t="s">
        <v>175</v>
      </c>
      <c r="M563" s="6" t="s">
        <v>251</v>
      </c>
      <c r="N563" s="6" t="s">
        <v>72</v>
      </c>
      <c r="O563" s="6" t="s">
        <v>75</v>
      </c>
      <c r="P563" s="19">
        <v>2</v>
      </c>
    </row>
    <row r="564" spans="8:16" ht="15.75" customHeight="1" x14ac:dyDescent="0.3">
      <c r="H564" s="6" t="s">
        <v>189</v>
      </c>
      <c r="I564" s="6" t="s">
        <v>27</v>
      </c>
      <c r="J564" s="6" t="s">
        <v>114</v>
      </c>
      <c r="K564" s="25" t="s">
        <v>169</v>
      </c>
      <c r="L564" s="6" t="s">
        <v>175</v>
      </c>
      <c r="M564" s="6" t="s">
        <v>251</v>
      </c>
      <c r="N564" s="6" t="s">
        <v>83</v>
      </c>
      <c r="O564" s="6" t="s">
        <v>84</v>
      </c>
      <c r="P564" s="19">
        <v>1</v>
      </c>
    </row>
    <row r="565" spans="8:16" ht="15.75" customHeight="1" x14ac:dyDescent="0.3">
      <c r="H565" s="6" t="s">
        <v>189</v>
      </c>
      <c r="I565" s="6" t="s">
        <v>115</v>
      </c>
      <c r="J565" s="6" t="s">
        <v>121</v>
      </c>
      <c r="K565" s="25" t="s">
        <v>169</v>
      </c>
      <c r="L565" s="6" t="s">
        <v>175</v>
      </c>
      <c r="M565" s="6" t="s">
        <v>251</v>
      </c>
      <c r="N565" s="6" t="s">
        <v>88</v>
      </c>
      <c r="O565" s="6" t="s">
        <v>90</v>
      </c>
      <c r="P565" s="19">
        <v>1</v>
      </c>
    </row>
    <row r="566" spans="8:16" ht="15.75" customHeight="1" x14ac:dyDescent="0.3">
      <c r="H566" s="6" t="s">
        <v>189</v>
      </c>
      <c r="I566" s="6" t="s">
        <v>116</v>
      </c>
      <c r="J566" s="6" t="s">
        <v>132</v>
      </c>
      <c r="K566" s="19">
        <v>0</v>
      </c>
      <c r="L566" s="6" t="s">
        <v>175</v>
      </c>
      <c r="M566" s="6" t="s">
        <v>251</v>
      </c>
      <c r="N566" s="6" t="s">
        <v>96</v>
      </c>
      <c r="O566" s="6" t="s">
        <v>97</v>
      </c>
      <c r="P566" s="19">
        <v>2</v>
      </c>
    </row>
    <row r="567" spans="8:16" ht="15.75" customHeight="1" x14ac:dyDescent="0.3">
      <c r="H567" s="6" t="s">
        <v>189</v>
      </c>
      <c r="I567" s="6" t="s">
        <v>30</v>
      </c>
      <c r="J567" s="6" t="s">
        <v>137</v>
      </c>
      <c r="K567" s="19">
        <v>0</v>
      </c>
      <c r="L567" s="6" t="s">
        <v>175</v>
      </c>
      <c r="M567" s="6" t="s">
        <v>251</v>
      </c>
      <c r="N567" s="6" t="s">
        <v>100</v>
      </c>
      <c r="O567" s="6" t="s">
        <v>101</v>
      </c>
      <c r="P567" s="19">
        <v>0</v>
      </c>
    </row>
    <row r="568" spans="8:16" ht="15.75" customHeight="1" x14ac:dyDescent="0.3">
      <c r="H568" s="6" t="s">
        <v>189</v>
      </c>
      <c r="I568" s="6" t="s">
        <v>118</v>
      </c>
      <c r="J568" s="6" t="s">
        <v>140</v>
      </c>
      <c r="K568" s="25" t="s">
        <v>169</v>
      </c>
      <c r="L568" s="6" t="s">
        <v>175</v>
      </c>
      <c r="M568" s="6" t="s">
        <v>251</v>
      </c>
      <c r="N568" s="6" t="s">
        <v>22</v>
      </c>
      <c r="O568" s="6" t="s">
        <v>104</v>
      </c>
      <c r="P568" s="17">
        <v>5.8333000000000004</v>
      </c>
    </row>
    <row r="569" spans="8:16" ht="15.75" customHeight="1" x14ac:dyDescent="0.3">
      <c r="H569" s="6" t="s">
        <v>189</v>
      </c>
      <c r="I569" s="6" t="s">
        <v>31</v>
      </c>
      <c r="J569" s="6" t="s">
        <v>141</v>
      </c>
      <c r="K569" s="25" t="s">
        <v>169</v>
      </c>
      <c r="L569" s="6" t="s">
        <v>175</v>
      </c>
      <c r="M569" s="6" t="s">
        <v>251</v>
      </c>
      <c r="N569" s="6" t="s">
        <v>23</v>
      </c>
      <c r="O569" s="6" t="s">
        <v>107</v>
      </c>
      <c r="P569" s="17">
        <v>232.535</v>
      </c>
    </row>
    <row r="570" spans="8:16" ht="15.75" customHeight="1" x14ac:dyDescent="0.3">
      <c r="H570" s="6" t="s">
        <v>189</v>
      </c>
      <c r="I570" s="6" t="s">
        <v>119</v>
      </c>
      <c r="J570" s="6" t="s">
        <v>142</v>
      </c>
      <c r="K570" s="25" t="s">
        <v>169</v>
      </c>
      <c r="L570" s="6" t="s">
        <v>175</v>
      </c>
      <c r="M570" s="6" t="s">
        <v>251</v>
      </c>
      <c r="N570" s="6" t="s">
        <v>24</v>
      </c>
      <c r="O570" s="6" t="s">
        <v>109</v>
      </c>
      <c r="P570" s="17">
        <v>1.26E-2</v>
      </c>
    </row>
    <row r="571" spans="8:16" ht="15.75" customHeight="1" x14ac:dyDescent="0.3">
      <c r="H571" s="6" t="s">
        <v>189</v>
      </c>
      <c r="I571" s="6" t="s">
        <v>120</v>
      </c>
      <c r="J571" s="6" t="s">
        <v>143</v>
      </c>
      <c r="K571" s="25" t="s">
        <v>169</v>
      </c>
      <c r="L571" s="6" t="s">
        <v>175</v>
      </c>
      <c r="M571" s="6" t="s">
        <v>251</v>
      </c>
      <c r="N571" s="6" t="s">
        <v>25</v>
      </c>
      <c r="O571" s="6" t="s">
        <v>111</v>
      </c>
      <c r="P571" s="19">
        <v>12</v>
      </c>
    </row>
    <row r="572" spans="8:16" ht="15.75" customHeight="1" x14ac:dyDescent="0.3">
      <c r="H572" s="6" t="s">
        <v>189</v>
      </c>
      <c r="I572" s="6" t="s">
        <v>122</v>
      </c>
      <c r="J572" s="6" t="s">
        <v>144</v>
      </c>
      <c r="K572" s="25" t="s">
        <v>169</v>
      </c>
      <c r="L572" s="6" t="s">
        <v>175</v>
      </c>
      <c r="M572" s="6" t="s">
        <v>251</v>
      </c>
      <c r="N572" s="6" t="s">
        <v>26</v>
      </c>
      <c r="O572" s="6" t="s">
        <v>113</v>
      </c>
      <c r="P572" s="19">
        <v>10</v>
      </c>
    </row>
    <row r="573" spans="8:16" ht="15.75" customHeight="1" x14ac:dyDescent="0.3">
      <c r="H573" s="6" t="s">
        <v>189</v>
      </c>
      <c r="I573" s="6" t="s">
        <v>123</v>
      </c>
      <c r="J573" s="6" t="s">
        <v>145</v>
      </c>
      <c r="K573" s="25" t="s">
        <v>169</v>
      </c>
      <c r="L573" s="6" t="s">
        <v>175</v>
      </c>
      <c r="M573" s="6" t="s">
        <v>251</v>
      </c>
      <c r="N573" s="6" t="s">
        <v>27</v>
      </c>
      <c r="O573" s="6" t="s">
        <v>117</v>
      </c>
      <c r="P573" s="17">
        <v>39.863100000000003</v>
      </c>
    </row>
    <row r="574" spans="8:16" ht="15.75" customHeight="1" x14ac:dyDescent="0.3">
      <c r="H574" s="6" t="s">
        <v>189</v>
      </c>
      <c r="I574" s="6" t="s">
        <v>124</v>
      </c>
      <c r="J574" s="6" t="s">
        <v>146</v>
      </c>
      <c r="K574" s="25" t="s">
        <v>169</v>
      </c>
      <c r="L574" s="6" t="s">
        <v>175</v>
      </c>
      <c r="M574" s="6" t="s">
        <v>251</v>
      </c>
      <c r="N574" s="6" t="s">
        <v>29</v>
      </c>
      <c r="O574" s="6" t="s">
        <v>125</v>
      </c>
      <c r="P574" s="19">
        <v>19</v>
      </c>
    </row>
    <row r="575" spans="8:16" ht="15.75" customHeight="1" x14ac:dyDescent="0.3">
      <c r="H575" s="6" t="s">
        <v>189</v>
      </c>
      <c r="I575" s="6" t="s">
        <v>126</v>
      </c>
      <c r="J575" s="6" t="s">
        <v>147</v>
      </c>
      <c r="K575" s="25" t="s">
        <v>169</v>
      </c>
      <c r="L575" s="6" t="s">
        <v>175</v>
      </c>
      <c r="M575" s="6" t="s">
        <v>251</v>
      </c>
      <c r="N575" s="6" t="s">
        <v>135</v>
      </c>
      <c r="O575" s="6" t="s">
        <v>136</v>
      </c>
      <c r="P575" s="19">
        <v>1</v>
      </c>
    </row>
    <row r="576" spans="8:16" ht="15.75" customHeight="1" x14ac:dyDescent="0.3">
      <c r="H576" s="6" t="s">
        <v>189</v>
      </c>
      <c r="I576" s="6" t="s">
        <v>127</v>
      </c>
      <c r="J576" s="6" t="s">
        <v>149</v>
      </c>
      <c r="K576" s="25" t="s">
        <v>169</v>
      </c>
      <c r="L576" s="6" t="s">
        <v>175</v>
      </c>
      <c r="M576" s="6" t="s">
        <v>251</v>
      </c>
      <c r="N576" s="6" t="s">
        <v>138</v>
      </c>
      <c r="O576" s="6" t="s">
        <v>139</v>
      </c>
      <c r="P576" s="19">
        <v>1</v>
      </c>
    </row>
    <row r="577" spans="8:16" ht="15.75" customHeight="1" x14ac:dyDescent="0.3">
      <c r="H577" s="6" t="s">
        <v>189</v>
      </c>
      <c r="I577" s="6" t="s">
        <v>128</v>
      </c>
      <c r="J577" s="6" t="s">
        <v>150</v>
      </c>
      <c r="K577" s="25" t="s">
        <v>169</v>
      </c>
      <c r="L577" s="6" t="s">
        <v>175</v>
      </c>
      <c r="M577" s="6" t="s">
        <v>251</v>
      </c>
      <c r="N577" s="6" t="s">
        <v>30</v>
      </c>
      <c r="O577" s="6" t="s">
        <v>148</v>
      </c>
      <c r="P577" s="17">
        <v>60.816899999999997</v>
      </c>
    </row>
    <row r="578" spans="8:16" ht="15.75" customHeight="1" x14ac:dyDescent="0.3">
      <c r="H578" s="6" t="s">
        <v>189</v>
      </c>
      <c r="I578" s="6" t="s">
        <v>129</v>
      </c>
      <c r="J578" s="6" t="s">
        <v>151</v>
      </c>
      <c r="K578" s="25" t="s">
        <v>169</v>
      </c>
      <c r="L578" s="6" t="s">
        <v>175</v>
      </c>
      <c r="M578" s="6" t="s">
        <v>251</v>
      </c>
      <c r="N578" s="6" t="s">
        <v>156</v>
      </c>
      <c r="O578" s="6" t="s">
        <v>157</v>
      </c>
      <c r="P578" s="19">
        <v>0</v>
      </c>
    </row>
    <row r="579" spans="8:16" ht="15.75" customHeight="1" x14ac:dyDescent="0.3">
      <c r="H579" s="6" t="s">
        <v>189</v>
      </c>
      <c r="I579" s="6" t="s">
        <v>130</v>
      </c>
      <c r="J579" s="6" t="s">
        <v>152</v>
      </c>
      <c r="K579" s="25" t="s">
        <v>169</v>
      </c>
      <c r="L579" s="6" t="s">
        <v>175</v>
      </c>
      <c r="M579" s="6" t="s">
        <v>251</v>
      </c>
      <c r="N579" s="6" t="s">
        <v>158</v>
      </c>
      <c r="O579" s="6" t="s">
        <v>159</v>
      </c>
      <c r="P579" s="19">
        <v>3</v>
      </c>
    </row>
    <row r="580" spans="8:16" ht="15.75" customHeight="1" x14ac:dyDescent="0.3">
      <c r="H580" s="6" t="s">
        <v>189</v>
      </c>
      <c r="I580" s="6" t="s">
        <v>131</v>
      </c>
      <c r="J580" s="6" t="s">
        <v>153</v>
      </c>
      <c r="K580" s="25" t="s">
        <v>169</v>
      </c>
      <c r="L580" s="6" t="s">
        <v>175</v>
      </c>
      <c r="M580" s="6" t="s">
        <v>251</v>
      </c>
      <c r="N580" s="6" t="s">
        <v>160</v>
      </c>
      <c r="O580" s="6" t="s">
        <v>161</v>
      </c>
      <c r="P580" s="19">
        <v>3</v>
      </c>
    </row>
    <row r="581" spans="8:16" ht="15.75" customHeight="1" x14ac:dyDescent="0.3">
      <c r="H581" s="6" t="s">
        <v>189</v>
      </c>
      <c r="I581" s="6" t="s">
        <v>133</v>
      </c>
      <c r="J581" s="6" t="s">
        <v>154</v>
      </c>
      <c r="K581" s="25" t="s">
        <v>169</v>
      </c>
      <c r="L581" s="6" t="s">
        <v>175</v>
      </c>
      <c r="M581" s="6" t="s">
        <v>251</v>
      </c>
      <c r="N581" s="6" t="s">
        <v>162</v>
      </c>
      <c r="O581" s="6" t="s">
        <v>163</v>
      </c>
      <c r="P581" s="19">
        <v>1</v>
      </c>
    </row>
    <row r="582" spans="8:16" ht="15.75" customHeight="1" x14ac:dyDescent="0.3">
      <c r="H582" s="6" t="s">
        <v>189</v>
      </c>
      <c r="I582" s="6" t="s">
        <v>134</v>
      </c>
      <c r="J582" s="6" t="s">
        <v>155</v>
      </c>
      <c r="K582" s="25" t="s">
        <v>169</v>
      </c>
      <c r="L582" s="6" t="s">
        <v>175</v>
      </c>
      <c r="M582" s="6" t="s">
        <v>251</v>
      </c>
      <c r="N582" s="6" t="s">
        <v>165</v>
      </c>
      <c r="O582" s="6" t="s">
        <v>166</v>
      </c>
      <c r="P582" s="19">
        <v>0</v>
      </c>
    </row>
    <row r="583" spans="8:16" ht="15.75" customHeight="1" x14ac:dyDescent="0.3">
      <c r="H583" s="6" t="s">
        <v>190</v>
      </c>
      <c r="I583" s="6" t="s">
        <v>58</v>
      </c>
      <c r="J583" s="6" t="s">
        <v>60</v>
      </c>
      <c r="K583" s="25" t="s">
        <v>169</v>
      </c>
      <c r="L583" s="6" t="s">
        <v>175</v>
      </c>
      <c r="M583" s="6" t="s">
        <v>253</v>
      </c>
      <c r="N583" s="6" t="s">
        <v>72</v>
      </c>
      <c r="O583" s="6" t="s">
        <v>75</v>
      </c>
      <c r="P583" s="19">
        <v>0</v>
      </c>
    </row>
    <row r="584" spans="8:16" ht="15.75" customHeight="1" x14ac:dyDescent="0.3">
      <c r="H584" s="6" t="s">
        <v>190</v>
      </c>
      <c r="I584" s="6" t="s">
        <v>72</v>
      </c>
      <c r="J584" s="6" t="s">
        <v>82</v>
      </c>
      <c r="K584" s="19">
        <v>0</v>
      </c>
      <c r="L584" s="6" t="s">
        <v>175</v>
      </c>
      <c r="M584" s="6" t="s">
        <v>253</v>
      </c>
      <c r="N584" s="6" t="s">
        <v>83</v>
      </c>
      <c r="O584" s="6" t="s">
        <v>84</v>
      </c>
      <c r="P584" s="19">
        <v>0</v>
      </c>
    </row>
    <row r="585" spans="8:16" ht="15.75" customHeight="1" x14ac:dyDescent="0.3">
      <c r="H585" s="6" t="s">
        <v>190</v>
      </c>
      <c r="I585" s="6" t="s">
        <v>85</v>
      </c>
      <c r="J585" s="6" t="s">
        <v>86</v>
      </c>
      <c r="K585" s="25" t="s">
        <v>169</v>
      </c>
      <c r="L585" s="6" t="s">
        <v>175</v>
      </c>
      <c r="M585" s="6" t="s">
        <v>253</v>
      </c>
      <c r="N585" s="6" t="s">
        <v>88</v>
      </c>
      <c r="O585" s="6" t="s">
        <v>90</v>
      </c>
      <c r="P585" s="19">
        <v>0</v>
      </c>
    </row>
    <row r="586" spans="8:16" ht="15.75" customHeight="1" x14ac:dyDescent="0.3">
      <c r="H586" s="6" t="s">
        <v>190</v>
      </c>
      <c r="I586" s="6" t="s">
        <v>93</v>
      </c>
      <c r="J586" s="6" t="s">
        <v>94</v>
      </c>
      <c r="K586" s="25" t="s">
        <v>169</v>
      </c>
      <c r="L586" s="6" t="s">
        <v>175</v>
      </c>
      <c r="M586" s="6" t="s">
        <v>253</v>
      </c>
      <c r="N586" s="6" t="s">
        <v>96</v>
      </c>
      <c r="O586" s="6" t="s">
        <v>97</v>
      </c>
      <c r="P586" s="19">
        <v>0</v>
      </c>
    </row>
    <row r="587" spans="8:16" ht="15.75" customHeight="1" x14ac:dyDescent="0.3">
      <c r="H587" s="6" t="s">
        <v>190</v>
      </c>
      <c r="I587" s="6" t="s">
        <v>98</v>
      </c>
      <c r="J587" s="6" t="s">
        <v>99</v>
      </c>
      <c r="K587" s="25" t="s">
        <v>169</v>
      </c>
      <c r="L587" s="6" t="s">
        <v>175</v>
      </c>
      <c r="M587" s="6" t="s">
        <v>253</v>
      </c>
      <c r="N587" s="6" t="s">
        <v>100</v>
      </c>
      <c r="O587" s="6" t="s">
        <v>101</v>
      </c>
      <c r="P587" s="19">
        <v>0</v>
      </c>
    </row>
    <row r="588" spans="8:16" ht="15.75" customHeight="1" x14ac:dyDescent="0.3">
      <c r="H588" s="6" t="s">
        <v>190</v>
      </c>
      <c r="I588" s="6" t="s">
        <v>22</v>
      </c>
      <c r="J588" s="6" t="s">
        <v>103</v>
      </c>
      <c r="K588" s="25" t="s">
        <v>169</v>
      </c>
      <c r="L588" s="6" t="s">
        <v>175</v>
      </c>
      <c r="M588" s="6" t="s">
        <v>253</v>
      </c>
      <c r="N588" s="6" t="s">
        <v>22</v>
      </c>
      <c r="O588" s="6" t="s">
        <v>104</v>
      </c>
      <c r="P588" s="19">
        <v>1</v>
      </c>
    </row>
    <row r="589" spans="8:16" ht="15.75" customHeight="1" x14ac:dyDescent="0.3">
      <c r="H589" s="6" t="s">
        <v>190</v>
      </c>
      <c r="I589" s="6" t="s">
        <v>23</v>
      </c>
      <c r="J589" s="6" t="s">
        <v>106</v>
      </c>
      <c r="K589" s="25" t="s">
        <v>169</v>
      </c>
      <c r="L589" s="6" t="s">
        <v>175</v>
      </c>
      <c r="M589" s="6" t="s">
        <v>253</v>
      </c>
      <c r="N589" s="6" t="s">
        <v>23</v>
      </c>
      <c r="O589" s="6" t="s">
        <v>107</v>
      </c>
      <c r="P589" s="17">
        <v>4.7549000000000001</v>
      </c>
    </row>
    <row r="590" spans="8:16" ht="15.75" customHeight="1" x14ac:dyDescent="0.3">
      <c r="H590" s="6" t="s">
        <v>190</v>
      </c>
      <c r="I590" s="6" t="s">
        <v>24</v>
      </c>
      <c r="J590" s="6" t="s">
        <v>108</v>
      </c>
      <c r="K590" s="25" t="s">
        <v>169</v>
      </c>
      <c r="L590" s="6" t="s">
        <v>175</v>
      </c>
      <c r="M590" s="6" t="s">
        <v>253</v>
      </c>
      <c r="N590" s="6" t="s">
        <v>24</v>
      </c>
      <c r="O590" s="6" t="s">
        <v>109</v>
      </c>
      <c r="P590" s="17">
        <v>8.9999999999999998E-4</v>
      </c>
    </row>
    <row r="591" spans="8:16" ht="15.75" customHeight="1" x14ac:dyDescent="0.3">
      <c r="H591" s="6" t="s">
        <v>190</v>
      </c>
      <c r="I591" s="6" t="s">
        <v>25</v>
      </c>
      <c r="J591" s="6" t="s">
        <v>110</v>
      </c>
      <c r="K591" s="25" t="s">
        <v>169</v>
      </c>
      <c r="L591" s="6" t="s">
        <v>175</v>
      </c>
      <c r="M591" s="6" t="s">
        <v>253</v>
      </c>
      <c r="N591" s="6" t="s">
        <v>25</v>
      </c>
      <c r="O591" s="6" t="s">
        <v>111</v>
      </c>
      <c r="P591" s="19">
        <v>3</v>
      </c>
    </row>
    <row r="592" spans="8:16" ht="15.75" customHeight="1" x14ac:dyDescent="0.3">
      <c r="H592" s="6" t="s">
        <v>190</v>
      </c>
      <c r="I592" s="6" t="s">
        <v>26</v>
      </c>
      <c r="J592" s="6" t="s">
        <v>112</v>
      </c>
      <c r="K592" s="25" t="s">
        <v>169</v>
      </c>
      <c r="L592" s="6" t="s">
        <v>175</v>
      </c>
      <c r="M592" s="6" t="s">
        <v>253</v>
      </c>
      <c r="N592" s="6" t="s">
        <v>26</v>
      </c>
      <c r="O592" s="6" t="s">
        <v>113</v>
      </c>
      <c r="P592" s="19">
        <v>3</v>
      </c>
    </row>
    <row r="593" spans="8:16" ht="15.75" customHeight="1" x14ac:dyDescent="0.3">
      <c r="H593" s="6" t="s">
        <v>190</v>
      </c>
      <c r="I593" s="6" t="s">
        <v>27</v>
      </c>
      <c r="J593" s="6" t="s">
        <v>114</v>
      </c>
      <c r="K593" s="25" t="s">
        <v>169</v>
      </c>
      <c r="L593" s="6" t="s">
        <v>175</v>
      </c>
      <c r="M593" s="6" t="s">
        <v>253</v>
      </c>
      <c r="N593" s="6" t="s">
        <v>27</v>
      </c>
      <c r="O593" s="6" t="s">
        <v>117</v>
      </c>
      <c r="P593" s="17">
        <v>4.7549000000000001</v>
      </c>
    </row>
    <row r="594" spans="8:16" ht="15.75" customHeight="1" x14ac:dyDescent="0.3">
      <c r="H594" s="6" t="s">
        <v>190</v>
      </c>
      <c r="I594" s="6" t="s">
        <v>115</v>
      </c>
      <c r="J594" s="6" t="s">
        <v>121</v>
      </c>
      <c r="K594" s="25" t="s">
        <v>169</v>
      </c>
      <c r="L594" s="6" t="s">
        <v>175</v>
      </c>
      <c r="M594" s="6" t="s">
        <v>253</v>
      </c>
      <c r="N594" s="6" t="s">
        <v>29</v>
      </c>
      <c r="O594" s="6" t="s">
        <v>125</v>
      </c>
      <c r="P594" s="19">
        <v>10</v>
      </c>
    </row>
    <row r="595" spans="8:16" ht="15.75" customHeight="1" x14ac:dyDescent="0.3">
      <c r="H595" s="6" t="s">
        <v>190</v>
      </c>
      <c r="I595" s="6" t="s">
        <v>116</v>
      </c>
      <c r="J595" s="6" t="s">
        <v>132</v>
      </c>
      <c r="K595" s="19">
        <v>0</v>
      </c>
      <c r="L595" s="6" t="s">
        <v>175</v>
      </c>
      <c r="M595" s="6" t="s">
        <v>253</v>
      </c>
      <c r="N595" s="6" t="s">
        <v>135</v>
      </c>
      <c r="O595" s="6" t="s">
        <v>136</v>
      </c>
      <c r="P595" s="19">
        <v>1</v>
      </c>
    </row>
    <row r="596" spans="8:16" ht="15.75" customHeight="1" x14ac:dyDescent="0.3">
      <c r="H596" s="6" t="s">
        <v>190</v>
      </c>
      <c r="I596" s="6" t="s">
        <v>30</v>
      </c>
      <c r="J596" s="6" t="s">
        <v>137</v>
      </c>
      <c r="K596" s="19">
        <v>0</v>
      </c>
      <c r="L596" s="6" t="s">
        <v>175</v>
      </c>
      <c r="M596" s="6" t="s">
        <v>253</v>
      </c>
      <c r="N596" s="6" t="s">
        <v>138</v>
      </c>
      <c r="O596" s="6" t="s">
        <v>139</v>
      </c>
      <c r="P596" s="19">
        <v>0</v>
      </c>
    </row>
    <row r="597" spans="8:16" ht="15.75" customHeight="1" x14ac:dyDescent="0.3">
      <c r="H597" s="6" t="s">
        <v>190</v>
      </c>
      <c r="I597" s="6" t="s">
        <v>118</v>
      </c>
      <c r="J597" s="6" t="s">
        <v>140</v>
      </c>
      <c r="K597" s="25" t="s">
        <v>169</v>
      </c>
      <c r="L597" s="6" t="s">
        <v>175</v>
      </c>
      <c r="M597" s="6" t="s">
        <v>253</v>
      </c>
      <c r="N597" s="6" t="s">
        <v>30</v>
      </c>
      <c r="O597" s="6" t="s">
        <v>148</v>
      </c>
      <c r="P597" s="17">
        <v>73.970399999999998</v>
      </c>
    </row>
    <row r="598" spans="8:16" ht="15.75" customHeight="1" x14ac:dyDescent="0.3">
      <c r="H598" s="6" t="s">
        <v>190</v>
      </c>
      <c r="I598" s="6" t="s">
        <v>31</v>
      </c>
      <c r="J598" s="6" t="s">
        <v>141</v>
      </c>
      <c r="K598" s="25" t="s">
        <v>169</v>
      </c>
      <c r="L598" s="6" t="s">
        <v>175</v>
      </c>
      <c r="M598" s="6" t="s">
        <v>253</v>
      </c>
      <c r="N598" s="6" t="s">
        <v>156</v>
      </c>
      <c r="O598" s="6" t="s">
        <v>157</v>
      </c>
      <c r="P598" s="19">
        <v>0</v>
      </c>
    </row>
    <row r="599" spans="8:16" ht="15.75" customHeight="1" x14ac:dyDescent="0.3">
      <c r="H599" s="6" t="s">
        <v>190</v>
      </c>
      <c r="I599" s="6" t="s">
        <v>119</v>
      </c>
      <c r="J599" s="6" t="s">
        <v>142</v>
      </c>
      <c r="K599" s="25" t="s">
        <v>169</v>
      </c>
      <c r="L599" s="6" t="s">
        <v>175</v>
      </c>
      <c r="M599" s="6" t="s">
        <v>253</v>
      </c>
      <c r="N599" s="6" t="s">
        <v>158</v>
      </c>
      <c r="O599" s="6" t="s">
        <v>159</v>
      </c>
      <c r="P599" s="19">
        <v>1</v>
      </c>
    </row>
    <row r="600" spans="8:16" ht="15.75" customHeight="1" x14ac:dyDescent="0.3">
      <c r="H600" s="6" t="s">
        <v>190</v>
      </c>
      <c r="I600" s="6" t="s">
        <v>120</v>
      </c>
      <c r="J600" s="6" t="s">
        <v>143</v>
      </c>
      <c r="K600" s="25" t="s">
        <v>169</v>
      </c>
      <c r="L600" s="6" t="s">
        <v>175</v>
      </c>
      <c r="M600" s="6" t="s">
        <v>253</v>
      </c>
      <c r="N600" s="6" t="s">
        <v>160</v>
      </c>
      <c r="O600" s="6" t="s">
        <v>161</v>
      </c>
      <c r="P600" s="19">
        <v>1</v>
      </c>
    </row>
    <row r="601" spans="8:16" ht="15.75" customHeight="1" x14ac:dyDescent="0.3">
      <c r="H601" s="6" t="s">
        <v>190</v>
      </c>
      <c r="I601" s="6" t="s">
        <v>122</v>
      </c>
      <c r="J601" s="6" t="s">
        <v>144</v>
      </c>
      <c r="K601" s="25" t="s">
        <v>169</v>
      </c>
      <c r="L601" s="6" t="s">
        <v>175</v>
      </c>
      <c r="M601" s="6" t="s">
        <v>253</v>
      </c>
      <c r="N601" s="6" t="s">
        <v>162</v>
      </c>
      <c r="O601" s="6" t="s">
        <v>163</v>
      </c>
      <c r="P601" s="19">
        <v>0</v>
      </c>
    </row>
    <row r="602" spans="8:16" ht="15.75" customHeight="1" x14ac:dyDescent="0.3">
      <c r="H602" s="6" t="s">
        <v>190</v>
      </c>
      <c r="I602" s="6" t="s">
        <v>123</v>
      </c>
      <c r="J602" s="6" t="s">
        <v>145</v>
      </c>
      <c r="K602" s="25" t="s">
        <v>169</v>
      </c>
      <c r="L602" s="6" t="s">
        <v>175</v>
      </c>
      <c r="M602" s="6" t="s">
        <v>253</v>
      </c>
      <c r="N602" s="6" t="s">
        <v>165</v>
      </c>
      <c r="O602" s="6" t="s">
        <v>166</v>
      </c>
      <c r="P602" s="19">
        <v>0</v>
      </c>
    </row>
    <row r="603" spans="8:16" ht="15.75" customHeight="1" x14ac:dyDescent="0.3">
      <c r="H603" s="6" t="s">
        <v>190</v>
      </c>
      <c r="I603" s="6" t="s">
        <v>124</v>
      </c>
      <c r="J603" s="6" t="s">
        <v>146</v>
      </c>
      <c r="K603" s="25" t="s">
        <v>169</v>
      </c>
      <c r="L603" s="6" t="s">
        <v>175</v>
      </c>
      <c r="M603" s="6" t="s">
        <v>256</v>
      </c>
      <c r="N603" s="6" t="s">
        <v>72</v>
      </c>
      <c r="O603" s="6" t="s">
        <v>75</v>
      </c>
      <c r="P603" s="19">
        <v>2</v>
      </c>
    </row>
    <row r="604" spans="8:16" ht="15.75" customHeight="1" x14ac:dyDescent="0.3">
      <c r="H604" s="6" t="s">
        <v>190</v>
      </c>
      <c r="I604" s="6" t="s">
        <v>126</v>
      </c>
      <c r="J604" s="6" t="s">
        <v>147</v>
      </c>
      <c r="K604" s="25" t="s">
        <v>169</v>
      </c>
      <c r="L604" s="6" t="s">
        <v>175</v>
      </c>
      <c r="M604" s="6" t="s">
        <v>256</v>
      </c>
      <c r="N604" s="6" t="s">
        <v>83</v>
      </c>
      <c r="O604" s="6" t="s">
        <v>84</v>
      </c>
      <c r="P604" s="19">
        <v>1</v>
      </c>
    </row>
    <row r="605" spans="8:16" ht="15.75" customHeight="1" x14ac:dyDescent="0.3">
      <c r="H605" s="6" t="s">
        <v>190</v>
      </c>
      <c r="I605" s="6" t="s">
        <v>127</v>
      </c>
      <c r="J605" s="6" t="s">
        <v>149</v>
      </c>
      <c r="K605" s="25" t="s">
        <v>169</v>
      </c>
      <c r="L605" s="6" t="s">
        <v>175</v>
      </c>
      <c r="M605" s="6" t="s">
        <v>256</v>
      </c>
      <c r="N605" s="6" t="s">
        <v>88</v>
      </c>
      <c r="O605" s="6" t="s">
        <v>90</v>
      </c>
      <c r="P605" s="19">
        <v>1</v>
      </c>
    </row>
    <row r="606" spans="8:16" ht="15.75" customHeight="1" x14ac:dyDescent="0.3">
      <c r="H606" s="6" t="s">
        <v>190</v>
      </c>
      <c r="I606" s="6" t="s">
        <v>128</v>
      </c>
      <c r="J606" s="6" t="s">
        <v>150</v>
      </c>
      <c r="K606" s="25" t="s">
        <v>169</v>
      </c>
      <c r="L606" s="6" t="s">
        <v>175</v>
      </c>
      <c r="M606" s="6" t="s">
        <v>256</v>
      </c>
      <c r="N606" s="6" t="s">
        <v>96</v>
      </c>
      <c r="O606" s="6" t="s">
        <v>97</v>
      </c>
      <c r="P606" s="19">
        <v>3</v>
      </c>
    </row>
    <row r="607" spans="8:16" ht="15.75" customHeight="1" x14ac:dyDescent="0.3">
      <c r="H607" s="6" t="s">
        <v>190</v>
      </c>
      <c r="I607" s="6" t="s">
        <v>129</v>
      </c>
      <c r="J607" s="6" t="s">
        <v>151</v>
      </c>
      <c r="K607" s="25" t="s">
        <v>169</v>
      </c>
      <c r="L607" s="6" t="s">
        <v>175</v>
      </c>
      <c r="M607" s="6" t="s">
        <v>256</v>
      </c>
      <c r="N607" s="6" t="s">
        <v>100</v>
      </c>
      <c r="O607" s="6" t="s">
        <v>101</v>
      </c>
      <c r="P607" s="19">
        <v>0</v>
      </c>
    </row>
    <row r="608" spans="8:16" ht="15.75" customHeight="1" x14ac:dyDescent="0.3">
      <c r="H608" s="6" t="s">
        <v>190</v>
      </c>
      <c r="I608" s="6" t="s">
        <v>130</v>
      </c>
      <c r="J608" s="6" t="s">
        <v>152</v>
      </c>
      <c r="K608" s="25" t="s">
        <v>169</v>
      </c>
      <c r="L608" s="6" t="s">
        <v>175</v>
      </c>
      <c r="M608" s="6" t="s">
        <v>256</v>
      </c>
      <c r="N608" s="6" t="s">
        <v>22</v>
      </c>
      <c r="O608" s="6" t="s">
        <v>104</v>
      </c>
      <c r="P608" s="19">
        <v>8</v>
      </c>
    </row>
    <row r="609" spans="8:16" ht="15.75" customHeight="1" x14ac:dyDescent="0.3">
      <c r="H609" s="6" t="s">
        <v>190</v>
      </c>
      <c r="I609" s="6" t="s">
        <v>131</v>
      </c>
      <c r="J609" s="6" t="s">
        <v>153</v>
      </c>
      <c r="K609" s="25" t="s">
        <v>169</v>
      </c>
      <c r="L609" s="6" t="s">
        <v>175</v>
      </c>
      <c r="M609" s="6" t="s">
        <v>256</v>
      </c>
      <c r="N609" s="6" t="s">
        <v>23</v>
      </c>
      <c r="O609" s="6" t="s">
        <v>107</v>
      </c>
      <c r="P609" s="17">
        <v>562.59220000000005</v>
      </c>
    </row>
    <row r="610" spans="8:16" ht="15.75" customHeight="1" x14ac:dyDescent="0.3">
      <c r="H610" s="6" t="s">
        <v>190</v>
      </c>
      <c r="I610" s="6" t="s">
        <v>133</v>
      </c>
      <c r="J610" s="6" t="s">
        <v>154</v>
      </c>
      <c r="K610" s="25" t="s">
        <v>169</v>
      </c>
      <c r="L610" s="6" t="s">
        <v>175</v>
      </c>
      <c r="M610" s="6" t="s">
        <v>256</v>
      </c>
      <c r="N610" s="6" t="s">
        <v>24</v>
      </c>
      <c r="O610" s="6" t="s">
        <v>109</v>
      </c>
      <c r="P610" s="17">
        <v>2.2700000000000001E-2</v>
      </c>
    </row>
    <row r="611" spans="8:16" ht="15.75" customHeight="1" x14ac:dyDescent="0.3">
      <c r="H611" s="6" t="s">
        <v>190</v>
      </c>
      <c r="I611" s="6" t="s">
        <v>134</v>
      </c>
      <c r="J611" s="6" t="s">
        <v>155</v>
      </c>
      <c r="K611" s="25" t="s">
        <v>169</v>
      </c>
      <c r="L611" s="6" t="s">
        <v>175</v>
      </c>
      <c r="M611" s="6" t="s">
        <v>256</v>
      </c>
      <c r="N611" s="6" t="s">
        <v>25</v>
      </c>
      <c r="O611" s="6" t="s">
        <v>111</v>
      </c>
      <c r="P611" s="19">
        <v>18</v>
      </c>
    </row>
    <row r="612" spans="8:16" ht="15.75" customHeight="1" x14ac:dyDescent="0.3">
      <c r="H612" s="6" t="s">
        <v>191</v>
      </c>
      <c r="I612" s="6" t="s">
        <v>58</v>
      </c>
      <c r="J612" s="6" t="s">
        <v>60</v>
      </c>
      <c r="K612" s="19">
        <v>1</v>
      </c>
      <c r="L612" s="6" t="s">
        <v>175</v>
      </c>
      <c r="M612" s="6" t="s">
        <v>256</v>
      </c>
      <c r="N612" s="6" t="s">
        <v>26</v>
      </c>
      <c r="O612" s="6" t="s">
        <v>113</v>
      </c>
      <c r="P612" s="19">
        <v>15</v>
      </c>
    </row>
    <row r="613" spans="8:16" ht="15.75" customHeight="1" x14ac:dyDescent="0.3">
      <c r="H613" s="6" t="s">
        <v>191</v>
      </c>
      <c r="I613" s="6" t="s">
        <v>72</v>
      </c>
      <c r="J613" s="6" t="s">
        <v>82</v>
      </c>
      <c r="K613" s="19">
        <v>0</v>
      </c>
      <c r="L613" s="6" t="s">
        <v>175</v>
      </c>
      <c r="M613" s="6" t="s">
        <v>256</v>
      </c>
      <c r="N613" s="6" t="s">
        <v>27</v>
      </c>
      <c r="O613" s="6" t="s">
        <v>117</v>
      </c>
      <c r="P613" s="17">
        <v>70.323999999999998</v>
      </c>
    </row>
    <row r="614" spans="8:16" ht="15.75" customHeight="1" x14ac:dyDescent="0.3">
      <c r="H614" s="6" t="s">
        <v>191</v>
      </c>
      <c r="I614" s="6" t="s">
        <v>85</v>
      </c>
      <c r="J614" s="6" t="s">
        <v>86</v>
      </c>
      <c r="K614" s="19">
        <v>1</v>
      </c>
      <c r="L614" s="6" t="s">
        <v>175</v>
      </c>
      <c r="M614" s="6" t="s">
        <v>256</v>
      </c>
      <c r="N614" s="6" t="s">
        <v>29</v>
      </c>
      <c r="O614" s="6" t="s">
        <v>125</v>
      </c>
      <c r="P614" s="19">
        <v>21</v>
      </c>
    </row>
    <row r="615" spans="8:16" ht="15.75" customHeight="1" x14ac:dyDescent="0.3">
      <c r="H615" s="6" t="s">
        <v>191</v>
      </c>
      <c r="I615" s="6" t="s">
        <v>93</v>
      </c>
      <c r="J615" s="6" t="s">
        <v>94</v>
      </c>
      <c r="K615" s="19">
        <v>0</v>
      </c>
      <c r="L615" s="6" t="s">
        <v>175</v>
      </c>
      <c r="M615" s="6" t="s">
        <v>256</v>
      </c>
      <c r="N615" s="6" t="s">
        <v>135</v>
      </c>
      <c r="O615" s="6" t="s">
        <v>136</v>
      </c>
      <c r="P615" s="19">
        <v>1</v>
      </c>
    </row>
    <row r="616" spans="8:16" ht="15.75" customHeight="1" x14ac:dyDescent="0.3">
      <c r="H616" s="6" t="s">
        <v>191</v>
      </c>
      <c r="I616" s="6" t="s">
        <v>98</v>
      </c>
      <c r="J616" s="6" t="s">
        <v>99</v>
      </c>
      <c r="K616" s="19">
        <v>1</v>
      </c>
      <c r="L616" s="6" t="s">
        <v>175</v>
      </c>
      <c r="M616" s="6" t="s">
        <v>256</v>
      </c>
      <c r="N616" s="6" t="s">
        <v>138</v>
      </c>
      <c r="O616" s="6" t="s">
        <v>139</v>
      </c>
      <c r="P616" s="19">
        <v>1</v>
      </c>
    </row>
    <row r="617" spans="8:16" ht="15.75" customHeight="1" x14ac:dyDescent="0.3">
      <c r="H617" s="6" t="s">
        <v>191</v>
      </c>
      <c r="I617" s="6" t="s">
        <v>22</v>
      </c>
      <c r="J617" s="6" t="s">
        <v>103</v>
      </c>
      <c r="K617" s="19">
        <v>3</v>
      </c>
      <c r="L617" s="6" t="s">
        <v>175</v>
      </c>
      <c r="M617" s="6" t="s">
        <v>256</v>
      </c>
      <c r="N617" s="6" t="s">
        <v>30</v>
      </c>
      <c r="O617" s="6" t="s">
        <v>148</v>
      </c>
      <c r="P617" s="17">
        <v>58.09</v>
      </c>
    </row>
    <row r="618" spans="8:16" ht="15.75" customHeight="1" x14ac:dyDescent="0.3">
      <c r="H618" s="6" t="s">
        <v>191</v>
      </c>
      <c r="I618" s="6" t="s">
        <v>23</v>
      </c>
      <c r="J618" s="6" t="s">
        <v>106</v>
      </c>
      <c r="K618" s="19">
        <v>81</v>
      </c>
      <c r="L618" s="6" t="s">
        <v>175</v>
      </c>
      <c r="M618" s="6" t="s">
        <v>256</v>
      </c>
      <c r="N618" s="6" t="s">
        <v>156</v>
      </c>
      <c r="O618" s="6" t="s">
        <v>157</v>
      </c>
      <c r="P618" s="19">
        <v>0</v>
      </c>
    </row>
    <row r="619" spans="8:16" ht="15.75" customHeight="1" x14ac:dyDescent="0.3">
      <c r="H619" s="6" t="s">
        <v>191</v>
      </c>
      <c r="I619" s="6" t="s">
        <v>24</v>
      </c>
      <c r="J619" s="6" t="s">
        <v>108</v>
      </c>
      <c r="K619" s="17">
        <v>6.1999999999999998E-3</v>
      </c>
      <c r="L619" s="6" t="s">
        <v>175</v>
      </c>
      <c r="M619" s="6" t="s">
        <v>256</v>
      </c>
      <c r="N619" s="6" t="s">
        <v>158</v>
      </c>
      <c r="O619" s="6" t="s">
        <v>159</v>
      </c>
      <c r="P619" s="19">
        <v>3</v>
      </c>
    </row>
    <row r="620" spans="8:16" ht="15.75" customHeight="1" x14ac:dyDescent="0.3">
      <c r="H620" s="6" t="s">
        <v>191</v>
      </c>
      <c r="I620" s="6" t="s">
        <v>25</v>
      </c>
      <c r="J620" s="6" t="s">
        <v>110</v>
      </c>
      <c r="K620" s="19">
        <v>9</v>
      </c>
      <c r="L620" s="6" t="s">
        <v>175</v>
      </c>
      <c r="M620" s="6" t="s">
        <v>256</v>
      </c>
      <c r="N620" s="6" t="s">
        <v>160</v>
      </c>
      <c r="O620" s="6" t="s">
        <v>161</v>
      </c>
      <c r="P620" s="19">
        <v>4</v>
      </c>
    </row>
    <row r="621" spans="8:16" ht="15.75" customHeight="1" x14ac:dyDescent="0.3">
      <c r="H621" s="6" t="s">
        <v>191</v>
      </c>
      <c r="I621" s="6" t="s">
        <v>26</v>
      </c>
      <c r="J621" s="6" t="s">
        <v>112</v>
      </c>
      <c r="K621" s="19">
        <v>8</v>
      </c>
      <c r="L621" s="6" t="s">
        <v>175</v>
      </c>
      <c r="M621" s="6" t="s">
        <v>256</v>
      </c>
      <c r="N621" s="6" t="s">
        <v>162</v>
      </c>
      <c r="O621" s="6" t="s">
        <v>163</v>
      </c>
      <c r="P621" s="19">
        <v>1</v>
      </c>
    </row>
    <row r="622" spans="8:16" ht="15.75" customHeight="1" x14ac:dyDescent="0.3">
      <c r="H622" s="6" t="s">
        <v>191</v>
      </c>
      <c r="I622" s="6" t="s">
        <v>27</v>
      </c>
      <c r="J622" s="6" t="s">
        <v>114</v>
      </c>
      <c r="K622" s="19">
        <v>27</v>
      </c>
      <c r="L622" s="6" t="s">
        <v>175</v>
      </c>
      <c r="M622" s="6" t="s">
        <v>256</v>
      </c>
      <c r="N622" s="6" t="s">
        <v>165</v>
      </c>
      <c r="O622" s="6" t="s">
        <v>166</v>
      </c>
      <c r="P622" s="19">
        <v>1</v>
      </c>
    </row>
    <row r="623" spans="8:16" ht="15.75" customHeight="1" x14ac:dyDescent="0.3">
      <c r="H623" s="6" t="s">
        <v>191</v>
      </c>
      <c r="I623" s="6" t="s">
        <v>115</v>
      </c>
      <c r="J623" s="6" t="s">
        <v>121</v>
      </c>
      <c r="K623" s="19">
        <v>1</v>
      </c>
      <c r="L623" s="6" t="s">
        <v>175</v>
      </c>
      <c r="M623" s="6" t="s">
        <v>260</v>
      </c>
      <c r="N623" s="6" t="s">
        <v>72</v>
      </c>
      <c r="O623" s="6" t="s">
        <v>75</v>
      </c>
      <c r="P623" s="19">
        <v>2</v>
      </c>
    </row>
    <row r="624" spans="8:16" ht="15.75" customHeight="1" x14ac:dyDescent="0.3">
      <c r="H624" s="6" t="s">
        <v>191</v>
      </c>
      <c r="I624" s="6" t="s">
        <v>116</v>
      </c>
      <c r="J624" s="6" t="s">
        <v>132</v>
      </c>
      <c r="K624" s="19">
        <v>10</v>
      </c>
      <c r="L624" s="6" t="s">
        <v>175</v>
      </c>
      <c r="M624" s="6" t="s">
        <v>260</v>
      </c>
      <c r="N624" s="6" t="s">
        <v>83</v>
      </c>
      <c r="O624" s="6" t="s">
        <v>84</v>
      </c>
      <c r="P624" s="19">
        <v>1</v>
      </c>
    </row>
    <row r="625" spans="8:16" ht="15.75" customHeight="1" x14ac:dyDescent="0.3">
      <c r="H625" s="6" t="s">
        <v>191</v>
      </c>
      <c r="I625" s="6" t="s">
        <v>30</v>
      </c>
      <c r="J625" s="6" t="s">
        <v>137</v>
      </c>
      <c r="K625" s="17">
        <v>68.278400000000005</v>
      </c>
      <c r="L625" s="6" t="s">
        <v>175</v>
      </c>
      <c r="M625" s="6" t="s">
        <v>260</v>
      </c>
      <c r="N625" s="6" t="s">
        <v>88</v>
      </c>
      <c r="O625" s="6" t="s">
        <v>90</v>
      </c>
      <c r="P625" s="19">
        <v>1</v>
      </c>
    </row>
    <row r="626" spans="8:16" ht="15.75" customHeight="1" x14ac:dyDescent="0.3">
      <c r="H626" s="6" t="s">
        <v>191</v>
      </c>
      <c r="I626" s="6" t="s">
        <v>118</v>
      </c>
      <c r="J626" s="6" t="s">
        <v>140</v>
      </c>
      <c r="K626" s="19">
        <v>2</v>
      </c>
      <c r="L626" s="6" t="s">
        <v>175</v>
      </c>
      <c r="M626" s="6" t="s">
        <v>260</v>
      </c>
      <c r="N626" s="6" t="s">
        <v>96</v>
      </c>
      <c r="O626" s="6" t="s">
        <v>97</v>
      </c>
      <c r="P626" s="19">
        <v>2</v>
      </c>
    </row>
    <row r="627" spans="8:16" ht="15.75" customHeight="1" x14ac:dyDescent="0.3">
      <c r="H627" s="6" t="s">
        <v>191</v>
      </c>
      <c r="I627" s="6" t="s">
        <v>31</v>
      </c>
      <c r="J627" s="6" t="s">
        <v>141</v>
      </c>
      <c r="K627" s="19">
        <v>2</v>
      </c>
      <c r="L627" s="6" t="s">
        <v>175</v>
      </c>
      <c r="M627" s="6" t="s">
        <v>260</v>
      </c>
      <c r="N627" s="6" t="s">
        <v>100</v>
      </c>
      <c r="O627" s="6" t="s">
        <v>101</v>
      </c>
      <c r="P627" s="19">
        <v>0</v>
      </c>
    </row>
    <row r="628" spans="8:16" ht="15.75" customHeight="1" x14ac:dyDescent="0.3">
      <c r="H628" s="6" t="s">
        <v>191</v>
      </c>
      <c r="I628" s="6" t="s">
        <v>119</v>
      </c>
      <c r="J628" s="6" t="s">
        <v>142</v>
      </c>
      <c r="K628" s="19">
        <v>0</v>
      </c>
      <c r="L628" s="6" t="s">
        <v>175</v>
      </c>
      <c r="M628" s="6" t="s">
        <v>260</v>
      </c>
      <c r="N628" s="6" t="s">
        <v>22</v>
      </c>
      <c r="O628" s="6" t="s">
        <v>104</v>
      </c>
      <c r="P628" s="17">
        <v>6.6666999999999996</v>
      </c>
    </row>
    <row r="629" spans="8:16" ht="15.75" customHeight="1" x14ac:dyDescent="0.3">
      <c r="H629" s="6" t="s">
        <v>191</v>
      </c>
      <c r="I629" s="6" t="s">
        <v>120</v>
      </c>
      <c r="J629" s="6" t="s">
        <v>143</v>
      </c>
      <c r="K629" s="19">
        <v>1</v>
      </c>
      <c r="L629" s="6" t="s">
        <v>175</v>
      </c>
      <c r="M629" s="6" t="s">
        <v>260</v>
      </c>
      <c r="N629" s="6" t="s">
        <v>23</v>
      </c>
      <c r="O629" s="6" t="s">
        <v>107</v>
      </c>
      <c r="P629" s="17">
        <v>299.81740000000002</v>
      </c>
    </row>
    <row r="630" spans="8:16" ht="15.75" customHeight="1" x14ac:dyDescent="0.3">
      <c r="H630" s="6" t="s">
        <v>191</v>
      </c>
      <c r="I630" s="6" t="s">
        <v>122</v>
      </c>
      <c r="J630" s="6" t="s">
        <v>144</v>
      </c>
      <c r="K630" s="19">
        <v>0</v>
      </c>
      <c r="L630" s="6" t="s">
        <v>175</v>
      </c>
      <c r="M630" s="6" t="s">
        <v>260</v>
      </c>
      <c r="N630" s="6" t="s">
        <v>24</v>
      </c>
      <c r="O630" s="6" t="s">
        <v>109</v>
      </c>
      <c r="P630" s="17">
        <v>1.49E-2</v>
      </c>
    </row>
    <row r="631" spans="8:16" ht="15.75" customHeight="1" x14ac:dyDescent="0.3">
      <c r="H631" s="6" t="s">
        <v>191</v>
      </c>
      <c r="I631" s="6" t="s">
        <v>123</v>
      </c>
      <c r="J631" s="6" t="s">
        <v>145</v>
      </c>
      <c r="K631" s="19">
        <v>14</v>
      </c>
      <c r="L631" s="6" t="s">
        <v>175</v>
      </c>
      <c r="M631" s="6" t="s">
        <v>260</v>
      </c>
      <c r="N631" s="6" t="s">
        <v>25</v>
      </c>
      <c r="O631" s="6" t="s">
        <v>111</v>
      </c>
      <c r="P631" s="19">
        <v>13</v>
      </c>
    </row>
    <row r="632" spans="8:16" ht="15.75" customHeight="1" x14ac:dyDescent="0.3">
      <c r="H632" s="6" t="s">
        <v>191</v>
      </c>
      <c r="I632" s="6" t="s">
        <v>124</v>
      </c>
      <c r="J632" s="6" t="s">
        <v>146</v>
      </c>
      <c r="K632" s="19">
        <v>0</v>
      </c>
      <c r="L632" s="6" t="s">
        <v>175</v>
      </c>
      <c r="M632" s="6" t="s">
        <v>260</v>
      </c>
      <c r="N632" s="6" t="s">
        <v>26</v>
      </c>
      <c r="O632" s="6" t="s">
        <v>113</v>
      </c>
      <c r="P632" s="19">
        <v>11</v>
      </c>
    </row>
    <row r="633" spans="8:16" ht="15.75" customHeight="1" x14ac:dyDescent="0.3">
      <c r="H633" s="6" t="s">
        <v>191</v>
      </c>
      <c r="I633" s="6" t="s">
        <v>126</v>
      </c>
      <c r="J633" s="6" t="s">
        <v>147</v>
      </c>
      <c r="K633" s="19">
        <v>1</v>
      </c>
      <c r="L633" s="6" t="s">
        <v>175</v>
      </c>
      <c r="M633" s="6" t="s">
        <v>260</v>
      </c>
      <c r="N633" s="6" t="s">
        <v>27</v>
      </c>
      <c r="O633" s="6" t="s">
        <v>117</v>
      </c>
      <c r="P633" s="17">
        <v>44.9726</v>
      </c>
    </row>
    <row r="634" spans="8:16" ht="15.75" customHeight="1" x14ac:dyDescent="0.3">
      <c r="H634" s="6" t="s">
        <v>191</v>
      </c>
      <c r="I634" s="6" t="s">
        <v>127</v>
      </c>
      <c r="J634" s="6" t="s">
        <v>149</v>
      </c>
      <c r="K634" s="19">
        <v>14</v>
      </c>
      <c r="L634" s="6" t="s">
        <v>175</v>
      </c>
      <c r="M634" s="6" t="s">
        <v>260</v>
      </c>
      <c r="N634" s="6" t="s">
        <v>29</v>
      </c>
      <c r="O634" s="6" t="s">
        <v>125</v>
      </c>
      <c r="P634" s="19">
        <v>19</v>
      </c>
    </row>
    <row r="635" spans="8:16" ht="15.75" customHeight="1" x14ac:dyDescent="0.3">
      <c r="H635" s="6" t="s">
        <v>191</v>
      </c>
      <c r="I635" s="6" t="s">
        <v>128</v>
      </c>
      <c r="J635" s="6" t="s">
        <v>150</v>
      </c>
      <c r="K635" s="19">
        <v>0</v>
      </c>
      <c r="L635" s="6" t="s">
        <v>175</v>
      </c>
      <c r="M635" s="6" t="s">
        <v>260</v>
      </c>
      <c r="N635" s="6" t="s">
        <v>135</v>
      </c>
      <c r="O635" s="6" t="s">
        <v>136</v>
      </c>
      <c r="P635" s="19">
        <v>1</v>
      </c>
    </row>
    <row r="636" spans="8:16" ht="15.75" customHeight="1" x14ac:dyDescent="0.3">
      <c r="H636" s="6" t="s">
        <v>191</v>
      </c>
      <c r="I636" s="6" t="s">
        <v>129</v>
      </c>
      <c r="J636" s="6" t="s">
        <v>151</v>
      </c>
      <c r="K636" s="19">
        <v>0</v>
      </c>
      <c r="L636" s="6" t="s">
        <v>175</v>
      </c>
      <c r="M636" s="6" t="s">
        <v>260</v>
      </c>
      <c r="N636" s="6" t="s">
        <v>138</v>
      </c>
      <c r="O636" s="6" t="s">
        <v>139</v>
      </c>
      <c r="P636" s="19">
        <v>1</v>
      </c>
    </row>
    <row r="637" spans="8:16" ht="15.75" customHeight="1" x14ac:dyDescent="0.3">
      <c r="H637" s="6" t="s">
        <v>191</v>
      </c>
      <c r="I637" s="6" t="s">
        <v>130</v>
      </c>
      <c r="J637" s="6" t="s">
        <v>152</v>
      </c>
      <c r="K637" s="19">
        <v>3</v>
      </c>
      <c r="L637" s="6" t="s">
        <v>175</v>
      </c>
      <c r="M637" s="6" t="s">
        <v>260</v>
      </c>
      <c r="N637" s="6" t="s">
        <v>30</v>
      </c>
      <c r="O637" s="6" t="s">
        <v>148</v>
      </c>
      <c r="P637" s="17">
        <v>60.450099999999999</v>
      </c>
    </row>
    <row r="638" spans="8:16" ht="15.75" customHeight="1" x14ac:dyDescent="0.3">
      <c r="H638" s="6" t="s">
        <v>191</v>
      </c>
      <c r="I638" s="6" t="s">
        <v>131</v>
      </c>
      <c r="J638" s="6" t="s">
        <v>153</v>
      </c>
      <c r="K638" s="19">
        <v>0</v>
      </c>
      <c r="L638" s="6" t="s">
        <v>175</v>
      </c>
      <c r="M638" s="6" t="s">
        <v>260</v>
      </c>
      <c r="N638" s="6" t="s">
        <v>156</v>
      </c>
      <c r="O638" s="6" t="s">
        <v>157</v>
      </c>
      <c r="P638" s="19">
        <v>0</v>
      </c>
    </row>
    <row r="639" spans="8:16" ht="15.75" customHeight="1" x14ac:dyDescent="0.3">
      <c r="H639" s="6" t="s">
        <v>191</v>
      </c>
      <c r="I639" s="6" t="s">
        <v>133</v>
      </c>
      <c r="J639" s="6" t="s">
        <v>154</v>
      </c>
      <c r="K639" s="19">
        <v>1</v>
      </c>
      <c r="L639" s="6" t="s">
        <v>175</v>
      </c>
      <c r="M639" s="6" t="s">
        <v>260</v>
      </c>
      <c r="N639" s="6" t="s">
        <v>158</v>
      </c>
      <c r="O639" s="6" t="s">
        <v>159</v>
      </c>
      <c r="P639" s="19">
        <v>3</v>
      </c>
    </row>
    <row r="640" spans="8:16" ht="15.75" customHeight="1" x14ac:dyDescent="0.3">
      <c r="H640" s="6" t="s">
        <v>191</v>
      </c>
      <c r="I640" s="6" t="s">
        <v>134</v>
      </c>
      <c r="J640" s="6" t="s">
        <v>155</v>
      </c>
      <c r="K640" s="19">
        <v>1</v>
      </c>
      <c r="L640" s="6" t="s">
        <v>175</v>
      </c>
      <c r="M640" s="6" t="s">
        <v>260</v>
      </c>
      <c r="N640" s="6" t="s">
        <v>160</v>
      </c>
      <c r="O640" s="6" t="s">
        <v>161</v>
      </c>
      <c r="P640" s="19">
        <v>3</v>
      </c>
    </row>
    <row r="641" spans="8:16" ht="15.75" customHeight="1" x14ac:dyDescent="0.3">
      <c r="H641" s="6" t="s">
        <v>192</v>
      </c>
      <c r="I641" s="6" t="s">
        <v>58</v>
      </c>
      <c r="J641" s="6" t="s">
        <v>60</v>
      </c>
      <c r="K641" s="19">
        <v>5</v>
      </c>
      <c r="L641" s="6" t="s">
        <v>175</v>
      </c>
      <c r="M641" s="6" t="s">
        <v>260</v>
      </c>
      <c r="N641" s="6" t="s">
        <v>162</v>
      </c>
      <c r="O641" s="6" t="s">
        <v>163</v>
      </c>
      <c r="P641" s="19">
        <v>1</v>
      </c>
    </row>
    <row r="642" spans="8:16" ht="15.75" customHeight="1" x14ac:dyDescent="0.3">
      <c r="H642" s="6" t="s">
        <v>192</v>
      </c>
      <c r="I642" s="6" t="s">
        <v>72</v>
      </c>
      <c r="J642" s="6" t="s">
        <v>82</v>
      </c>
      <c r="K642" s="19">
        <v>39</v>
      </c>
      <c r="L642" s="6" t="s">
        <v>175</v>
      </c>
      <c r="M642" s="6" t="s">
        <v>260</v>
      </c>
      <c r="N642" s="6" t="s">
        <v>165</v>
      </c>
      <c r="O642" s="6" t="s">
        <v>166</v>
      </c>
      <c r="P642" s="19">
        <v>0</v>
      </c>
    </row>
    <row r="643" spans="8:16" ht="15.75" customHeight="1" x14ac:dyDescent="0.3">
      <c r="H643" s="6" t="s">
        <v>192</v>
      </c>
      <c r="I643" s="6" t="s">
        <v>85</v>
      </c>
      <c r="J643" s="6" t="s">
        <v>86</v>
      </c>
      <c r="K643" s="19">
        <v>6</v>
      </c>
      <c r="L643" s="6" t="s">
        <v>175</v>
      </c>
      <c r="M643" s="6" t="s">
        <v>262</v>
      </c>
      <c r="N643" s="6" t="s">
        <v>72</v>
      </c>
      <c r="O643" s="6" t="s">
        <v>75</v>
      </c>
      <c r="P643" s="19">
        <v>0</v>
      </c>
    </row>
    <row r="644" spans="8:16" ht="15.75" customHeight="1" x14ac:dyDescent="0.3">
      <c r="H644" s="6" t="s">
        <v>192</v>
      </c>
      <c r="I644" s="6" t="s">
        <v>93</v>
      </c>
      <c r="J644" s="6" t="s">
        <v>94</v>
      </c>
      <c r="K644" s="19">
        <v>1</v>
      </c>
      <c r="L644" s="6" t="s">
        <v>175</v>
      </c>
      <c r="M644" s="6" t="s">
        <v>262</v>
      </c>
      <c r="N644" s="6" t="s">
        <v>83</v>
      </c>
      <c r="O644" s="6" t="s">
        <v>84</v>
      </c>
      <c r="P644" s="19">
        <v>0</v>
      </c>
    </row>
    <row r="645" spans="8:16" ht="15.75" customHeight="1" x14ac:dyDescent="0.3">
      <c r="H645" s="6" t="s">
        <v>192</v>
      </c>
      <c r="I645" s="6" t="s">
        <v>98</v>
      </c>
      <c r="J645" s="6" t="s">
        <v>99</v>
      </c>
      <c r="K645" s="19">
        <v>1</v>
      </c>
      <c r="L645" s="6" t="s">
        <v>175</v>
      </c>
      <c r="M645" s="6" t="s">
        <v>262</v>
      </c>
      <c r="N645" s="6" t="s">
        <v>88</v>
      </c>
      <c r="O645" s="6" t="s">
        <v>90</v>
      </c>
      <c r="P645" s="19">
        <v>0</v>
      </c>
    </row>
    <row r="646" spans="8:16" ht="15.75" customHeight="1" x14ac:dyDescent="0.3">
      <c r="H646" s="6" t="s">
        <v>192</v>
      </c>
      <c r="I646" s="6" t="s">
        <v>22</v>
      </c>
      <c r="J646" s="6" t="s">
        <v>103</v>
      </c>
      <c r="K646" s="17">
        <v>75.582099999999997</v>
      </c>
      <c r="L646" s="6" t="s">
        <v>175</v>
      </c>
      <c r="M646" s="6" t="s">
        <v>262</v>
      </c>
      <c r="N646" s="6" t="s">
        <v>96</v>
      </c>
      <c r="O646" s="6" t="s">
        <v>97</v>
      </c>
      <c r="P646" s="19">
        <v>0</v>
      </c>
    </row>
    <row r="647" spans="8:16" ht="15.75" customHeight="1" x14ac:dyDescent="0.3">
      <c r="H647" s="6" t="s">
        <v>192</v>
      </c>
      <c r="I647" s="6" t="s">
        <v>23</v>
      </c>
      <c r="J647" s="6" t="s">
        <v>106</v>
      </c>
      <c r="K647" s="17">
        <v>214202.12700000001</v>
      </c>
      <c r="L647" s="6" t="s">
        <v>175</v>
      </c>
      <c r="M647" s="6" t="s">
        <v>262</v>
      </c>
      <c r="N647" s="6" t="s">
        <v>100</v>
      </c>
      <c r="O647" s="6" t="s">
        <v>101</v>
      </c>
      <c r="P647" s="19">
        <v>0</v>
      </c>
    </row>
    <row r="648" spans="8:16" ht="15.75" customHeight="1" x14ac:dyDescent="0.3">
      <c r="H648" s="6" t="s">
        <v>192</v>
      </c>
      <c r="I648" s="6" t="s">
        <v>24</v>
      </c>
      <c r="J648" s="6" t="s">
        <v>108</v>
      </c>
      <c r="K648" s="17">
        <v>1.1933</v>
      </c>
      <c r="L648" s="6" t="s">
        <v>175</v>
      </c>
      <c r="M648" s="6" t="s">
        <v>262</v>
      </c>
      <c r="N648" s="6" t="s">
        <v>22</v>
      </c>
      <c r="O648" s="6" t="s">
        <v>104</v>
      </c>
      <c r="P648" s="19">
        <v>1</v>
      </c>
    </row>
    <row r="649" spans="8:16" ht="15.75" customHeight="1" x14ac:dyDescent="0.3">
      <c r="H649" s="6" t="s">
        <v>192</v>
      </c>
      <c r="I649" s="6" t="s">
        <v>25</v>
      </c>
      <c r="J649" s="6" t="s">
        <v>110</v>
      </c>
      <c r="K649" s="19">
        <v>414</v>
      </c>
      <c r="L649" s="6" t="s">
        <v>175</v>
      </c>
      <c r="M649" s="6" t="s">
        <v>262</v>
      </c>
      <c r="N649" s="6" t="s">
        <v>23</v>
      </c>
      <c r="O649" s="6" t="s">
        <v>107</v>
      </c>
      <c r="P649" s="17">
        <v>4.7549000000000001</v>
      </c>
    </row>
    <row r="650" spans="8:16" ht="15.75" customHeight="1" x14ac:dyDescent="0.3">
      <c r="H650" s="6" t="s">
        <v>192</v>
      </c>
      <c r="I650" s="6" t="s">
        <v>26</v>
      </c>
      <c r="J650" s="6" t="s">
        <v>112</v>
      </c>
      <c r="K650" s="19">
        <v>115</v>
      </c>
      <c r="L650" s="6" t="s">
        <v>175</v>
      </c>
      <c r="M650" s="6" t="s">
        <v>262</v>
      </c>
      <c r="N650" s="6" t="s">
        <v>24</v>
      </c>
      <c r="O650" s="6" t="s">
        <v>109</v>
      </c>
      <c r="P650" s="17">
        <v>8.9999999999999998E-4</v>
      </c>
    </row>
    <row r="651" spans="8:16" ht="15.75" customHeight="1" x14ac:dyDescent="0.3">
      <c r="H651" s="6" t="s">
        <v>192</v>
      </c>
      <c r="I651" s="6" t="s">
        <v>27</v>
      </c>
      <c r="J651" s="6" t="s">
        <v>114</v>
      </c>
      <c r="K651" s="17">
        <v>2834.0329000000002</v>
      </c>
      <c r="L651" s="6" t="s">
        <v>175</v>
      </c>
      <c r="M651" s="6" t="s">
        <v>262</v>
      </c>
      <c r="N651" s="6" t="s">
        <v>25</v>
      </c>
      <c r="O651" s="6" t="s">
        <v>111</v>
      </c>
      <c r="P651" s="19">
        <v>3</v>
      </c>
    </row>
    <row r="652" spans="8:16" ht="15.75" customHeight="1" x14ac:dyDescent="0.3">
      <c r="H652" s="6" t="s">
        <v>192</v>
      </c>
      <c r="I652" s="6" t="s">
        <v>115</v>
      </c>
      <c r="J652" s="6" t="s">
        <v>121</v>
      </c>
      <c r="K652" s="19">
        <v>2</v>
      </c>
      <c r="L652" s="6" t="s">
        <v>175</v>
      </c>
      <c r="M652" s="6" t="s">
        <v>262</v>
      </c>
      <c r="N652" s="6" t="s">
        <v>26</v>
      </c>
      <c r="O652" s="6" t="s">
        <v>113</v>
      </c>
      <c r="P652" s="19">
        <v>3</v>
      </c>
    </row>
    <row r="653" spans="8:16" ht="15.75" customHeight="1" x14ac:dyDescent="0.3">
      <c r="H653" s="6" t="s">
        <v>192</v>
      </c>
      <c r="I653" s="6" t="s">
        <v>116</v>
      </c>
      <c r="J653" s="6" t="s">
        <v>132</v>
      </c>
      <c r="K653" s="19">
        <v>156</v>
      </c>
      <c r="L653" s="6" t="s">
        <v>175</v>
      </c>
      <c r="M653" s="6" t="s">
        <v>262</v>
      </c>
      <c r="N653" s="6" t="s">
        <v>27</v>
      </c>
      <c r="O653" s="6" t="s">
        <v>117</v>
      </c>
      <c r="P653" s="17">
        <v>4.7549000000000001</v>
      </c>
    </row>
    <row r="654" spans="8:16" ht="15.75" customHeight="1" x14ac:dyDescent="0.3">
      <c r="H654" s="6" t="s">
        <v>192</v>
      </c>
      <c r="I654" s="6" t="s">
        <v>30</v>
      </c>
      <c r="J654" s="6" t="s">
        <v>137</v>
      </c>
      <c r="K654" s="17">
        <v>27.482800000000001</v>
      </c>
      <c r="L654" s="6" t="s">
        <v>175</v>
      </c>
      <c r="M654" s="6" t="s">
        <v>262</v>
      </c>
      <c r="N654" s="6" t="s">
        <v>29</v>
      </c>
      <c r="O654" s="6" t="s">
        <v>125</v>
      </c>
      <c r="P654" s="19">
        <v>7</v>
      </c>
    </row>
    <row r="655" spans="8:16" ht="15.75" customHeight="1" x14ac:dyDescent="0.3">
      <c r="H655" s="6" t="s">
        <v>192</v>
      </c>
      <c r="I655" s="6" t="s">
        <v>118</v>
      </c>
      <c r="J655" s="6" t="s">
        <v>140</v>
      </c>
      <c r="K655" s="19">
        <v>90</v>
      </c>
      <c r="L655" s="6" t="s">
        <v>175</v>
      </c>
      <c r="M655" s="6" t="s">
        <v>262</v>
      </c>
      <c r="N655" s="6" t="s">
        <v>135</v>
      </c>
      <c r="O655" s="6" t="s">
        <v>136</v>
      </c>
      <c r="P655" s="19">
        <v>1</v>
      </c>
    </row>
    <row r="656" spans="8:16" ht="15.75" customHeight="1" x14ac:dyDescent="0.3">
      <c r="H656" s="6" t="s">
        <v>192</v>
      </c>
      <c r="I656" s="6" t="s">
        <v>31</v>
      </c>
      <c r="J656" s="6" t="s">
        <v>141</v>
      </c>
      <c r="K656" s="19">
        <v>106</v>
      </c>
      <c r="L656" s="6" t="s">
        <v>175</v>
      </c>
      <c r="M656" s="6" t="s">
        <v>262</v>
      </c>
      <c r="N656" s="6" t="s">
        <v>138</v>
      </c>
      <c r="O656" s="6" t="s">
        <v>139</v>
      </c>
      <c r="P656" s="19">
        <v>0</v>
      </c>
    </row>
    <row r="657" spans="8:16" ht="15.75" customHeight="1" x14ac:dyDescent="0.3">
      <c r="H657" s="6" t="s">
        <v>192</v>
      </c>
      <c r="I657" s="6" t="s">
        <v>119</v>
      </c>
      <c r="J657" s="6" t="s">
        <v>142</v>
      </c>
      <c r="K657" s="19">
        <v>3</v>
      </c>
      <c r="L657" s="6" t="s">
        <v>175</v>
      </c>
      <c r="M657" s="6" t="s">
        <v>262</v>
      </c>
      <c r="N657" s="6" t="s">
        <v>30</v>
      </c>
      <c r="O657" s="6" t="s">
        <v>148</v>
      </c>
      <c r="P657" s="17">
        <v>77.349400000000003</v>
      </c>
    </row>
    <row r="658" spans="8:16" ht="15.75" customHeight="1" x14ac:dyDescent="0.3">
      <c r="H658" s="6" t="s">
        <v>192</v>
      </c>
      <c r="I658" s="6" t="s">
        <v>120</v>
      </c>
      <c r="J658" s="6" t="s">
        <v>143</v>
      </c>
      <c r="K658" s="19">
        <v>4</v>
      </c>
      <c r="L658" s="6" t="s">
        <v>175</v>
      </c>
      <c r="M658" s="6" t="s">
        <v>262</v>
      </c>
      <c r="N658" s="6" t="s">
        <v>156</v>
      </c>
      <c r="O658" s="6" t="s">
        <v>157</v>
      </c>
      <c r="P658" s="19">
        <v>0</v>
      </c>
    </row>
    <row r="659" spans="8:16" ht="15.75" customHeight="1" x14ac:dyDescent="0.3">
      <c r="H659" s="6" t="s">
        <v>192</v>
      </c>
      <c r="I659" s="6" t="s">
        <v>122</v>
      </c>
      <c r="J659" s="6" t="s">
        <v>144</v>
      </c>
      <c r="K659" s="19">
        <v>3</v>
      </c>
      <c r="L659" s="6" t="s">
        <v>175</v>
      </c>
      <c r="M659" s="6" t="s">
        <v>262</v>
      </c>
      <c r="N659" s="6" t="s">
        <v>158</v>
      </c>
      <c r="O659" s="6" t="s">
        <v>159</v>
      </c>
      <c r="P659" s="19">
        <v>1</v>
      </c>
    </row>
    <row r="660" spans="8:16" ht="15.75" customHeight="1" x14ac:dyDescent="0.3">
      <c r="H660" s="6" t="s">
        <v>192</v>
      </c>
      <c r="I660" s="6" t="s">
        <v>123</v>
      </c>
      <c r="J660" s="6" t="s">
        <v>145</v>
      </c>
      <c r="K660" s="19">
        <v>27</v>
      </c>
      <c r="L660" s="6" t="s">
        <v>175</v>
      </c>
      <c r="M660" s="6" t="s">
        <v>262</v>
      </c>
      <c r="N660" s="6" t="s">
        <v>160</v>
      </c>
      <c r="O660" s="6" t="s">
        <v>161</v>
      </c>
      <c r="P660" s="19">
        <v>1</v>
      </c>
    </row>
    <row r="661" spans="8:16" ht="15.75" customHeight="1" x14ac:dyDescent="0.3">
      <c r="H661" s="6" t="s">
        <v>192</v>
      </c>
      <c r="I661" s="6" t="s">
        <v>124</v>
      </c>
      <c r="J661" s="6" t="s">
        <v>146</v>
      </c>
      <c r="K661" s="19">
        <v>0</v>
      </c>
      <c r="L661" s="6" t="s">
        <v>175</v>
      </c>
      <c r="M661" s="6" t="s">
        <v>262</v>
      </c>
      <c r="N661" s="6" t="s">
        <v>162</v>
      </c>
      <c r="O661" s="6" t="s">
        <v>163</v>
      </c>
      <c r="P661" s="19">
        <v>0</v>
      </c>
    </row>
    <row r="662" spans="8:16" ht="15.75" customHeight="1" x14ac:dyDescent="0.3">
      <c r="H662" s="6" t="s">
        <v>192</v>
      </c>
      <c r="I662" s="6" t="s">
        <v>126</v>
      </c>
      <c r="J662" s="6" t="s">
        <v>147</v>
      </c>
      <c r="K662" s="19">
        <v>6</v>
      </c>
      <c r="L662" s="6" t="s">
        <v>175</v>
      </c>
      <c r="M662" s="6" t="s">
        <v>262</v>
      </c>
      <c r="N662" s="6" t="s">
        <v>165</v>
      </c>
      <c r="O662" s="6" t="s">
        <v>166</v>
      </c>
      <c r="P662" s="19">
        <v>0</v>
      </c>
    </row>
    <row r="663" spans="8:16" ht="15.75" customHeight="1" x14ac:dyDescent="0.3">
      <c r="H663" s="6" t="s">
        <v>192</v>
      </c>
      <c r="I663" s="6" t="s">
        <v>127</v>
      </c>
      <c r="J663" s="6" t="s">
        <v>149</v>
      </c>
      <c r="K663" s="19">
        <v>25</v>
      </c>
      <c r="L663" s="6" t="s">
        <v>175</v>
      </c>
      <c r="M663" s="6" t="s">
        <v>265</v>
      </c>
      <c r="N663" s="6" t="s">
        <v>72</v>
      </c>
      <c r="O663" s="6" t="s">
        <v>75</v>
      </c>
      <c r="P663" s="19">
        <v>0</v>
      </c>
    </row>
    <row r="664" spans="8:16" ht="15.75" customHeight="1" x14ac:dyDescent="0.3">
      <c r="H664" s="6" t="s">
        <v>192</v>
      </c>
      <c r="I664" s="6" t="s">
        <v>128</v>
      </c>
      <c r="J664" s="6" t="s">
        <v>150</v>
      </c>
      <c r="K664" s="19">
        <v>1</v>
      </c>
      <c r="L664" s="6" t="s">
        <v>175</v>
      </c>
      <c r="M664" s="6" t="s">
        <v>265</v>
      </c>
      <c r="N664" s="6" t="s">
        <v>83</v>
      </c>
      <c r="O664" s="6" t="s">
        <v>84</v>
      </c>
      <c r="P664" s="19">
        <v>0</v>
      </c>
    </row>
    <row r="665" spans="8:16" ht="15.75" customHeight="1" x14ac:dyDescent="0.3">
      <c r="H665" s="6" t="s">
        <v>192</v>
      </c>
      <c r="I665" s="6" t="s">
        <v>129</v>
      </c>
      <c r="J665" s="6" t="s">
        <v>151</v>
      </c>
      <c r="K665" s="19">
        <v>0</v>
      </c>
      <c r="L665" s="6" t="s">
        <v>175</v>
      </c>
      <c r="M665" s="6" t="s">
        <v>265</v>
      </c>
      <c r="N665" s="6" t="s">
        <v>88</v>
      </c>
      <c r="O665" s="6" t="s">
        <v>90</v>
      </c>
      <c r="P665" s="19">
        <v>0</v>
      </c>
    </row>
    <row r="666" spans="8:16" ht="15.75" customHeight="1" x14ac:dyDescent="0.3">
      <c r="H666" s="6" t="s">
        <v>192</v>
      </c>
      <c r="I666" s="6" t="s">
        <v>130</v>
      </c>
      <c r="J666" s="6" t="s">
        <v>152</v>
      </c>
      <c r="K666" s="19">
        <v>34</v>
      </c>
      <c r="L666" s="6" t="s">
        <v>175</v>
      </c>
      <c r="M666" s="6" t="s">
        <v>265</v>
      </c>
      <c r="N666" s="6" t="s">
        <v>96</v>
      </c>
      <c r="O666" s="6" t="s">
        <v>97</v>
      </c>
      <c r="P666" s="19">
        <v>0</v>
      </c>
    </row>
    <row r="667" spans="8:16" ht="15.75" customHeight="1" x14ac:dyDescent="0.3">
      <c r="H667" s="6" t="s">
        <v>192</v>
      </c>
      <c r="I667" s="6" t="s">
        <v>131</v>
      </c>
      <c r="J667" s="6" t="s">
        <v>153</v>
      </c>
      <c r="K667" s="17">
        <v>0.33329999999999999</v>
      </c>
      <c r="L667" s="6" t="s">
        <v>175</v>
      </c>
      <c r="M667" s="6" t="s">
        <v>265</v>
      </c>
      <c r="N667" s="6" t="s">
        <v>100</v>
      </c>
      <c r="O667" s="6" t="s">
        <v>101</v>
      </c>
      <c r="P667" s="19">
        <v>0</v>
      </c>
    </row>
    <row r="668" spans="8:16" ht="15.75" customHeight="1" x14ac:dyDescent="0.3">
      <c r="H668" s="6" t="s">
        <v>192</v>
      </c>
      <c r="I668" s="6" t="s">
        <v>133</v>
      </c>
      <c r="J668" s="6" t="s">
        <v>154</v>
      </c>
      <c r="K668" s="17">
        <v>0.25</v>
      </c>
      <c r="L668" s="6" t="s">
        <v>175</v>
      </c>
      <c r="M668" s="6" t="s">
        <v>265</v>
      </c>
      <c r="N668" s="6" t="s">
        <v>22</v>
      </c>
      <c r="O668" s="6" t="s">
        <v>104</v>
      </c>
      <c r="P668" s="19">
        <v>0</v>
      </c>
    </row>
    <row r="669" spans="8:16" ht="15.75" customHeight="1" x14ac:dyDescent="0.3">
      <c r="H669" s="6" t="s">
        <v>192</v>
      </c>
      <c r="I669" s="6" t="s">
        <v>134</v>
      </c>
      <c r="J669" s="6" t="s">
        <v>155</v>
      </c>
      <c r="K669" s="19">
        <v>42</v>
      </c>
      <c r="L669" s="6" t="s">
        <v>175</v>
      </c>
      <c r="M669" s="6" t="s">
        <v>265</v>
      </c>
      <c r="N669" s="6" t="s">
        <v>23</v>
      </c>
      <c r="O669" s="6" t="s">
        <v>107</v>
      </c>
      <c r="P669" s="19">
        <v>0</v>
      </c>
    </row>
    <row r="670" spans="8:16" ht="15.75" customHeight="1" x14ac:dyDescent="0.3">
      <c r="H670" s="6" t="s">
        <v>194</v>
      </c>
      <c r="I670" s="6" t="s">
        <v>58</v>
      </c>
      <c r="J670" s="6" t="s">
        <v>60</v>
      </c>
      <c r="K670" s="19">
        <v>1</v>
      </c>
      <c r="L670" s="6" t="s">
        <v>175</v>
      </c>
      <c r="M670" s="6" t="s">
        <v>265</v>
      </c>
      <c r="N670" s="6" t="s">
        <v>24</v>
      </c>
      <c r="O670" s="6" t="s">
        <v>109</v>
      </c>
      <c r="P670" s="19">
        <v>0</v>
      </c>
    </row>
    <row r="671" spans="8:16" ht="15.75" customHeight="1" x14ac:dyDescent="0.3">
      <c r="H671" s="6" t="s">
        <v>194</v>
      </c>
      <c r="I671" s="6" t="s">
        <v>72</v>
      </c>
      <c r="J671" s="6" t="s">
        <v>82</v>
      </c>
      <c r="K671" s="19">
        <v>7</v>
      </c>
      <c r="L671" s="6" t="s">
        <v>175</v>
      </c>
      <c r="M671" s="6" t="s">
        <v>265</v>
      </c>
      <c r="N671" s="6" t="s">
        <v>25</v>
      </c>
      <c r="O671" s="6" t="s">
        <v>111</v>
      </c>
      <c r="P671" s="19">
        <v>4</v>
      </c>
    </row>
    <row r="672" spans="8:16" ht="15.75" customHeight="1" x14ac:dyDescent="0.3">
      <c r="H672" s="6" t="s">
        <v>194</v>
      </c>
      <c r="I672" s="6" t="s">
        <v>85</v>
      </c>
      <c r="J672" s="6" t="s">
        <v>86</v>
      </c>
      <c r="K672" s="19">
        <v>13</v>
      </c>
      <c r="L672" s="6" t="s">
        <v>175</v>
      </c>
      <c r="M672" s="6" t="s">
        <v>265</v>
      </c>
      <c r="N672" s="6" t="s">
        <v>26</v>
      </c>
      <c r="O672" s="6" t="s">
        <v>113</v>
      </c>
      <c r="P672" s="19">
        <v>4</v>
      </c>
    </row>
    <row r="673" spans="8:16" ht="15.75" customHeight="1" x14ac:dyDescent="0.3">
      <c r="H673" s="6" t="s">
        <v>194</v>
      </c>
      <c r="I673" s="6" t="s">
        <v>93</v>
      </c>
      <c r="J673" s="6" t="s">
        <v>94</v>
      </c>
      <c r="K673" s="19">
        <v>0</v>
      </c>
      <c r="L673" s="6" t="s">
        <v>175</v>
      </c>
      <c r="M673" s="6" t="s">
        <v>265</v>
      </c>
      <c r="N673" s="6" t="s">
        <v>27</v>
      </c>
      <c r="O673" s="6" t="s">
        <v>117</v>
      </c>
      <c r="P673" s="19">
        <v>8</v>
      </c>
    </row>
    <row r="674" spans="8:16" ht="15.75" customHeight="1" x14ac:dyDescent="0.3">
      <c r="H674" s="6" t="s">
        <v>194</v>
      </c>
      <c r="I674" s="6" t="s">
        <v>98</v>
      </c>
      <c r="J674" s="6" t="s">
        <v>99</v>
      </c>
      <c r="K674" s="19">
        <v>1</v>
      </c>
      <c r="L674" s="6" t="s">
        <v>175</v>
      </c>
      <c r="M674" s="6" t="s">
        <v>265</v>
      </c>
      <c r="N674" s="6" t="s">
        <v>29</v>
      </c>
      <c r="O674" s="6" t="s">
        <v>125</v>
      </c>
      <c r="P674" s="19">
        <v>7</v>
      </c>
    </row>
    <row r="675" spans="8:16" ht="15.75" customHeight="1" x14ac:dyDescent="0.3">
      <c r="H675" s="6" t="s">
        <v>194</v>
      </c>
      <c r="I675" s="6" t="s">
        <v>22</v>
      </c>
      <c r="J675" s="6" t="s">
        <v>103</v>
      </c>
      <c r="K675" s="17">
        <v>59.52</v>
      </c>
      <c r="L675" s="6" t="s">
        <v>175</v>
      </c>
      <c r="M675" s="6" t="s">
        <v>265</v>
      </c>
      <c r="N675" s="6" t="s">
        <v>135</v>
      </c>
      <c r="O675" s="6" t="s">
        <v>136</v>
      </c>
      <c r="P675" s="19">
        <v>0</v>
      </c>
    </row>
    <row r="676" spans="8:16" ht="15.75" customHeight="1" x14ac:dyDescent="0.3">
      <c r="H676" s="6" t="s">
        <v>194</v>
      </c>
      <c r="I676" s="6" t="s">
        <v>23</v>
      </c>
      <c r="J676" s="6" t="s">
        <v>106</v>
      </c>
      <c r="K676" s="17">
        <v>78114.063099999999</v>
      </c>
      <c r="L676" s="6" t="s">
        <v>175</v>
      </c>
      <c r="M676" s="6" t="s">
        <v>265</v>
      </c>
      <c r="N676" s="6" t="s">
        <v>138</v>
      </c>
      <c r="O676" s="6" t="s">
        <v>139</v>
      </c>
      <c r="P676" s="19">
        <v>0</v>
      </c>
    </row>
    <row r="677" spans="8:16" ht="15.75" customHeight="1" x14ac:dyDescent="0.3">
      <c r="H677" s="6" t="s">
        <v>194</v>
      </c>
      <c r="I677" s="6" t="s">
        <v>24</v>
      </c>
      <c r="J677" s="6" t="s">
        <v>108</v>
      </c>
      <c r="K677" s="17">
        <v>0.60909999999999997</v>
      </c>
      <c r="L677" s="6" t="s">
        <v>175</v>
      </c>
      <c r="M677" s="6" t="s">
        <v>265</v>
      </c>
      <c r="N677" s="6" t="s">
        <v>30</v>
      </c>
      <c r="O677" s="6" t="s">
        <v>148</v>
      </c>
      <c r="P677" s="17">
        <v>75.241600000000005</v>
      </c>
    </row>
    <row r="678" spans="8:16" ht="15.75" customHeight="1" x14ac:dyDescent="0.3">
      <c r="H678" s="6" t="s">
        <v>194</v>
      </c>
      <c r="I678" s="6" t="s">
        <v>25</v>
      </c>
      <c r="J678" s="6" t="s">
        <v>110</v>
      </c>
      <c r="K678" s="19">
        <v>225</v>
      </c>
      <c r="L678" s="6" t="s">
        <v>175</v>
      </c>
      <c r="M678" s="6" t="s">
        <v>265</v>
      </c>
      <c r="N678" s="6" t="s">
        <v>156</v>
      </c>
      <c r="O678" s="6" t="s">
        <v>157</v>
      </c>
      <c r="P678" s="19">
        <v>0</v>
      </c>
    </row>
    <row r="679" spans="8:16" ht="15.75" customHeight="1" x14ac:dyDescent="0.3">
      <c r="H679" s="6" t="s">
        <v>194</v>
      </c>
      <c r="I679" s="6" t="s">
        <v>26</v>
      </c>
      <c r="J679" s="6" t="s">
        <v>112</v>
      </c>
      <c r="K679" s="19">
        <v>57</v>
      </c>
      <c r="L679" s="6" t="s">
        <v>175</v>
      </c>
      <c r="M679" s="6" t="s">
        <v>265</v>
      </c>
      <c r="N679" s="6" t="s">
        <v>158</v>
      </c>
      <c r="O679" s="6" t="s">
        <v>159</v>
      </c>
      <c r="P679" s="19">
        <v>1</v>
      </c>
    </row>
    <row r="680" spans="8:16" ht="15.75" customHeight="1" x14ac:dyDescent="0.3">
      <c r="H680" s="6" t="s">
        <v>194</v>
      </c>
      <c r="I680" s="6" t="s">
        <v>27</v>
      </c>
      <c r="J680" s="6" t="s">
        <v>114</v>
      </c>
      <c r="K680" s="17">
        <v>1312.4003</v>
      </c>
      <c r="L680" s="6" t="s">
        <v>175</v>
      </c>
      <c r="M680" s="6" t="s">
        <v>265</v>
      </c>
      <c r="N680" s="6" t="s">
        <v>160</v>
      </c>
      <c r="O680" s="6" t="s">
        <v>161</v>
      </c>
      <c r="P680" s="19">
        <v>0</v>
      </c>
    </row>
    <row r="681" spans="8:16" ht="15.75" customHeight="1" x14ac:dyDescent="0.3">
      <c r="H681" s="6" t="s">
        <v>194</v>
      </c>
      <c r="I681" s="6" t="s">
        <v>115</v>
      </c>
      <c r="J681" s="6" t="s">
        <v>121</v>
      </c>
      <c r="K681" s="19">
        <v>3</v>
      </c>
      <c r="L681" s="6" t="s">
        <v>175</v>
      </c>
      <c r="M681" s="6" t="s">
        <v>265</v>
      </c>
      <c r="N681" s="6" t="s">
        <v>162</v>
      </c>
      <c r="O681" s="6" t="s">
        <v>163</v>
      </c>
      <c r="P681" s="19">
        <v>0</v>
      </c>
    </row>
    <row r="682" spans="8:16" ht="15.75" customHeight="1" x14ac:dyDescent="0.3">
      <c r="H682" s="6" t="s">
        <v>194</v>
      </c>
      <c r="I682" s="6" t="s">
        <v>116</v>
      </c>
      <c r="J682" s="6" t="s">
        <v>132</v>
      </c>
      <c r="K682" s="19">
        <v>187</v>
      </c>
      <c r="L682" s="6" t="s">
        <v>175</v>
      </c>
      <c r="M682" s="6" t="s">
        <v>265</v>
      </c>
      <c r="N682" s="6" t="s">
        <v>165</v>
      </c>
      <c r="O682" s="6" t="s">
        <v>166</v>
      </c>
      <c r="P682" s="19">
        <v>0</v>
      </c>
    </row>
    <row r="683" spans="8:16" ht="15.75" customHeight="1" x14ac:dyDescent="0.3">
      <c r="H683" s="6" t="s">
        <v>194</v>
      </c>
      <c r="I683" s="6" t="s">
        <v>30</v>
      </c>
      <c r="J683" s="6" t="s">
        <v>137</v>
      </c>
      <c r="K683" s="17">
        <v>28.1721</v>
      </c>
      <c r="L683" s="6" t="s">
        <v>175</v>
      </c>
      <c r="M683" s="6" t="s">
        <v>270</v>
      </c>
      <c r="N683" s="6" t="s">
        <v>72</v>
      </c>
      <c r="O683" s="6" t="s">
        <v>75</v>
      </c>
      <c r="P683" s="19">
        <v>1</v>
      </c>
    </row>
    <row r="684" spans="8:16" ht="15.75" customHeight="1" x14ac:dyDescent="0.3">
      <c r="H684" s="6" t="s">
        <v>194</v>
      </c>
      <c r="I684" s="6" t="s">
        <v>118</v>
      </c>
      <c r="J684" s="6" t="s">
        <v>140</v>
      </c>
      <c r="K684" s="19">
        <v>12</v>
      </c>
      <c r="L684" s="6" t="s">
        <v>175</v>
      </c>
      <c r="M684" s="6" t="s">
        <v>270</v>
      </c>
      <c r="N684" s="6" t="s">
        <v>83</v>
      </c>
      <c r="O684" s="6" t="s">
        <v>84</v>
      </c>
      <c r="P684" s="19">
        <v>0</v>
      </c>
    </row>
    <row r="685" spans="8:16" ht="15.75" customHeight="1" x14ac:dyDescent="0.3">
      <c r="H685" s="6" t="s">
        <v>194</v>
      </c>
      <c r="I685" s="6" t="s">
        <v>31</v>
      </c>
      <c r="J685" s="6" t="s">
        <v>141</v>
      </c>
      <c r="K685" s="19">
        <v>40</v>
      </c>
      <c r="L685" s="6" t="s">
        <v>175</v>
      </c>
      <c r="M685" s="6" t="s">
        <v>270</v>
      </c>
      <c r="N685" s="6" t="s">
        <v>88</v>
      </c>
      <c r="O685" s="6" t="s">
        <v>90</v>
      </c>
      <c r="P685" s="19">
        <v>1</v>
      </c>
    </row>
    <row r="686" spans="8:16" ht="15.75" customHeight="1" x14ac:dyDescent="0.3">
      <c r="H686" s="6" t="s">
        <v>194</v>
      </c>
      <c r="I686" s="6" t="s">
        <v>119</v>
      </c>
      <c r="J686" s="6" t="s">
        <v>142</v>
      </c>
      <c r="K686" s="19">
        <v>4</v>
      </c>
      <c r="L686" s="6" t="s">
        <v>175</v>
      </c>
      <c r="M686" s="6" t="s">
        <v>270</v>
      </c>
      <c r="N686" s="6" t="s">
        <v>96</v>
      </c>
      <c r="O686" s="6" t="s">
        <v>97</v>
      </c>
      <c r="P686" s="19">
        <v>1</v>
      </c>
    </row>
    <row r="687" spans="8:16" ht="15.75" customHeight="1" x14ac:dyDescent="0.3">
      <c r="H687" s="6" t="s">
        <v>194</v>
      </c>
      <c r="I687" s="6" t="s">
        <v>120</v>
      </c>
      <c r="J687" s="6" t="s">
        <v>143</v>
      </c>
      <c r="K687" s="19">
        <v>12</v>
      </c>
      <c r="L687" s="6" t="s">
        <v>175</v>
      </c>
      <c r="M687" s="6" t="s">
        <v>270</v>
      </c>
      <c r="N687" s="6" t="s">
        <v>100</v>
      </c>
      <c r="O687" s="6" t="s">
        <v>101</v>
      </c>
      <c r="P687" s="19">
        <v>1</v>
      </c>
    </row>
    <row r="688" spans="8:16" ht="15.75" customHeight="1" x14ac:dyDescent="0.3">
      <c r="H688" s="6" t="s">
        <v>194</v>
      </c>
      <c r="I688" s="6" t="s">
        <v>122</v>
      </c>
      <c r="J688" s="6" t="s">
        <v>144</v>
      </c>
      <c r="K688" s="19">
        <v>4</v>
      </c>
      <c r="L688" s="6" t="s">
        <v>175</v>
      </c>
      <c r="M688" s="6" t="s">
        <v>270</v>
      </c>
      <c r="N688" s="6" t="s">
        <v>22</v>
      </c>
      <c r="O688" s="6" t="s">
        <v>104</v>
      </c>
      <c r="P688" s="17">
        <v>3.75</v>
      </c>
    </row>
    <row r="689" spans="8:16" ht="15.75" customHeight="1" x14ac:dyDescent="0.3">
      <c r="H689" s="6" t="s">
        <v>194</v>
      </c>
      <c r="I689" s="6" t="s">
        <v>123</v>
      </c>
      <c r="J689" s="6" t="s">
        <v>145</v>
      </c>
      <c r="K689" s="19">
        <v>46</v>
      </c>
      <c r="L689" s="6" t="s">
        <v>175</v>
      </c>
      <c r="M689" s="6" t="s">
        <v>270</v>
      </c>
      <c r="N689" s="6" t="s">
        <v>23</v>
      </c>
      <c r="O689" s="6" t="s">
        <v>107</v>
      </c>
      <c r="P689" s="17">
        <v>137.02950000000001</v>
      </c>
    </row>
    <row r="690" spans="8:16" ht="15.75" customHeight="1" x14ac:dyDescent="0.3">
      <c r="H690" s="6" t="s">
        <v>194</v>
      </c>
      <c r="I690" s="6" t="s">
        <v>124</v>
      </c>
      <c r="J690" s="6" t="s">
        <v>146</v>
      </c>
      <c r="K690" s="19">
        <v>0</v>
      </c>
      <c r="L690" s="6" t="s">
        <v>175</v>
      </c>
      <c r="M690" s="6" t="s">
        <v>270</v>
      </c>
      <c r="N690" s="6" t="s">
        <v>24</v>
      </c>
      <c r="O690" s="6" t="s">
        <v>109</v>
      </c>
      <c r="P690" s="17">
        <v>8.8999999999999999E-3</v>
      </c>
    </row>
    <row r="691" spans="8:16" ht="15.75" customHeight="1" x14ac:dyDescent="0.3">
      <c r="H691" s="6" t="s">
        <v>194</v>
      </c>
      <c r="I691" s="6" t="s">
        <v>126</v>
      </c>
      <c r="J691" s="6" t="s">
        <v>147</v>
      </c>
      <c r="K691" s="19">
        <v>17</v>
      </c>
      <c r="L691" s="6" t="s">
        <v>175</v>
      </c>
      <c r="M691" s="6" t="s">
        <v>270</v>
      </c>
      <c r="N691" s="6" t="s">
        <v>25</v>
      </c>
      <c r="O691" s="6" t="s">
        <v>111</v>
      </c>
      <c r="P691" s="19">
        <v>11</v>
      </c>
    </row>
    <row r="692" spans="8:16" ht="15.75" customHeight="1" x14ac:dyDescent="0.3">
      <c r="H692" s="6" t="s">
        <v>194</v>
      </c>
      <c r="I692" s="6" t="s">
        <v>127</v>
      </c>
      <c r="J692" s="6" t="s">
        <v>149</v>
      </c>
      <c r="K692" s="19">
        <v>42</v>
      </c>
      <c r="L692" s="6" t="s">
        <v>175</v>
      </c>
      <c r="M692" s="6" t="s">
        <v>270</v>
      </c>
      <c r="N692" s="6" t="s">
        <v>26</v>
      </c>
      <c r="O692" s="6" t="s">
        <v>113</v>
      </c>
      <c r="P692" s="19">
        <v>10</v>
      </c>
    </row>
    <row r="693" spans="8:16" ht="15.75" customHeight="1" x14ac:dyDescent="0.3">
      <c r="H693" s="6" t="s">
        <v>194</v>
      </c>
      <c r="I693" s="6" t="s">
        <v>128</v>
      </c>
      <c r="J693" s="6" t="s">
        <v>150</v>
      </c>
      <c r="K693" s="19">
        <v>3</v>
      </c>
      <c r="L693" s="6" t="s">
        <v>175</v>
      </c>
      <c r="M693" s="6" t="s">
        <v>270</v>
      </c>
      <c r="N693" s="6" t="s">
        <v>27</v>
      </c>
      <c r="O693" s="6" t="s">
        <v>117</v>
      </c>
      <c r="P693" s="17">
        <v>36.541200000000003</v>
      </c>
    </row>
    <row r="694" spans="8:16" ht="15.75" customHeight="1" x14ac:dyDescent="0.3">
      <c r="H694" s="6" t="s">
        <v>194</v>
      </c>
      <c r="I694" s="6" t="s">
        <v>129</v>
      </c>
      <c r="J694" s="6" t="s">
        <v>151</v>
      </c>
      <c r="K694" s="19">
        <v>0</v>
      </c>
      <c r="L694" s="6" t="s">
        <v>175</v>
      </c>
      <c r="M694" s="6" t="s">
        <v>270</v>
      </c>
      <c r="N694" s="6" t="s">
        <v>29</v>
      </c>
      <c r="O694" s="6" t="s">
        <v>125</v>
      </c>
      <c r="P694" s="19">
        <v>11</v>
      </c>
    </row>
    <row r="695" spans="8:16" ht="15.75" customHeight="1" x14ac:dyDescent="0.3">
      <c r="H695" s="6" t="s">
        <v>194</v>
      </c>
      <c r="I695" s="6" t="s">
        <v>130</v>
      </c>
      <c r="J695" s="6" t="s">
        <v>152</v>
      </c>
      <c r="K695" s="19">
        <v>25</v>
      </c>
      <c r="L695" s="6" t="s">
        <v>175</v>
      </c>
      <c r="M695" s="6" t="s">
        <v>270</v>
      </c>
      <c r="N695" s="6" t="s">
        <v>135</v>
      </c>
      <c r="O695" s="6" t="s">
        <v>136</v>
      </c>
      <c r="P695" s="19">
        <v>0</v>
      </c>
    </row>
    <row r="696" spans="8:16" ht="15.75" customHeight="1" x14ac:dyDescent="0.3">
      <c r="H696" s="6" t="s">
        <v>194</v>
      </c>
      <c r="I696" s="6" t="s">
        <v>131</v>
      </c>
      <c r="J696" s="6" t="s">
        <v>153</v>
      </c>
      <c r="K696" s="17">
        <v>0.30299999999999999</v>
      </c>
      <c r="L696" s="6" t="s">
        <v>175</v>
      </c>
      <c r="M696" s="6" t="s">
        <v>270</v>
      </c>
      <c r="N696" s="6" t="s">
        <v>138</v>
      </c>
      <c r="O696" s="6" t="s">
        <v>139</v>
      </c>
      <c r="P696" s="19">
        <v>1</v>
      </c>
    </row>
    <row r="697" spans="8:16" ht="15.75" customHeight="1" x14ac:dyDescent="0.3">
      <c r="H697" s="6" t="s">
        <v>194</v>
      </c>
      <c r="I697" s="6" t="s">
        <v>133</v>
      </c>
      <c r="J697" s="6" t="s">
        <v>154</v>
      </c>
      <c r="K697" s="17">
        <v>0.66669999999999996</v>
      </c>
      <c r="L697" s="6" t="s">
        <v>175</v>
      </c>
      <c r="M697" s="6" t="s">
        <v>270</v>
      </c>
      <c r="N697" s="6" t="s">
        <v>30</v>
      </c>
      <c r="O697" s="6" t="s">
        <v>148</v>
      </c>
      <c r="P697" s="17">
        <v>66.292599999999993</v>
      </c>
    </row>
    <row r="698" spans="8:16" ht="15.75" customHeight="1" x14ac:dyDescent="0.3">
      <c r="H698" s="6" t="s">
        <v>194</v>
      </c>
      <c r="I698" s="6" t="s">
        <v>134</v>
      </c>
      <c r="J698" s="6" t="s">
        <v>155</v>
      </c>
      <c r="K698" s="19">
        <v>26</v>
      </c>
      <c r="L698" s="6" t="s">
        <v>175</v>
      </c>
      <c r="M698" s="6" t="s">
        <v>270</v>
      </c>
      <c r="N698" s="6" t="s">
        <v>156</v>
      </c>
      <c r="O698" s="6" t="s">
        <v>157</v>
      </c>
      <c r="P698" s="19">
        <v>0</v>
      </c>
    </row>
    <row r="699" spans="8:16" ht="15.75" customHeight="1" x14ac:dyDescent="0.3">
      <c r="H699" s="6" t="s">
        <v>195</v>
      </c>
      <c r="I699" s="6" t="s">
        <v>58</v>
      </c>
      <c r="J699" s="6" t="s">
        <v>60</v>
      </c>
      <c r="K699" s="19">
        <v>1</v>
      </c>
      <c r="L699" s="6" t="s">
        <v>175</v>
      </c>
      <c r="M699" s="6" t="s">
        <v>270</v>
      </c>
      <c r="N699" s="6" t="s">
        <v>158</v>
      </c>
      <c r="O699" s="6" t="s">
        <v>159</v>
      </c>
      <c r="P699" s="19">
        <v>2</v>
      </c>
    </row>
    <row r="700" spans="8:16" ht="15.75" customHeight="1" x14ac:dyDescent="0.3">
      <c r="H700" s="6" t="s">
        <v>195</v>
      </c>
      <c r="I700" s="6" t="s">
        <v>72</v>
      </c>
      <c r="J700" s="6" t="s">
        <v>82</v>
      </c>
      <c r="K700" s="19">
        <v>25</v>
      </c>
      <c r="L700" s="6" t="s">
        <v>175</v>
      </c>
      <c r="M700" s="6" t="s">
        <v>270</v>
      </c>
      <c r="N700" s="6" t="s">
        <v>160</v>
      </c>
      <c r="O700" s="6" t="s">
        <v>161</v>
      </c>
      <c r="P700" s="19">
        <v>3</v>
      </c>
    </row>
    <row r="701" spans="8:16" ht="15.75" customHeight="1" x14ac:dyDescent="0.3">
      <c r="H701" s="6" t="s">
        <v>195</v>
      </c>
      <c r="I701" s="6" t="s">
        <v>85</v>
      </c>
      <c r="J701" s="6" t="s">
        <v>86</v>
      </c>
      <c r="K701" s="19">
        <v>12</v>
      </c>
      <c r="L701" s="6" t="s">
        <v>175</v>
      </c>
      <c r="M701" s="6" t="s">
        <v>270</v>
      </c>
      <c r="N701" s="6" t="s">
        <v>162</v>
      </c>
      <c r="O701" s="6" t="s">
        <v>163</v>
      </c>
      <c r="P701" s="19">
        <v>1</v>
      </c>
    </row>
    <row r="702" spans="8:16" ht="15.75" customHeight="1" x14ac:dyDescent="0.3">
      <c r="H702" s="6" t="s">
        <v>195</v>
      </c>
      <c r="I702" s="6" t="s">
        <v>93</v>
      </c>
      <c r="J702" s="6" t="s">
        <v>94</v>
      </c>
      <c r="K702" s="19">
        <v>5</v>
      </c>
      <c r="L702" s="6" t="s">
        <v>175</v>
      </c>
      <c r="M702" s="6" t="s">
        <v>270</v>
      </c>
      <c r="N702" s="6" t="s">
        <v>165</v>
      </c>
      <c r="O702" s="6" t="s">
        <v>166</v>
      </c>
      <c r="P702" s="19">
        <v>1</v>
      </c>
    </row>
    <row r="703" spans="8:16" ht="15.75" customHeight="1" x14ac:dyDescent="0.3">
      <c r="H703" s="6" t="s">
        <v>195</v>
      </c>
      <c r="I703" s="6" t="s">
        <v>98</v>
      </c>
      <c r="J703" s="6" t="s">
        <v>99</v>
      </c>
      <c r="K703" s="19">
        <v>1</v>
      </c>
      <c r="L703" s="6" t="s">
        <v>175</v>
      </c>
      <c r="M703" s="6" t="s">
        <v>273</v>
      </c>
      <c r="N703" s="6" t="s">
        <v>72</v>
      </c>
      <c r="O703" s="6" t="s">
        <v>75</v>
      </c>
      <c r="P703" s="19">
        <v>0</v>
      </c>
    </row>
    <row r="704" spans="8:16" ht="15.75" customHeight="1" x14ac:dyDescent="0.3">
      <c r="H704" s="6" t="s">
        <v>195</v>
      </c>
      <c r="I704" s="6" t="s">
        <v>22</v>
      </c>
      <c r="J704" s="6" t="s">
        <v>103</v>
      </c>
      <c r="K704" s="17">
        <v>92.4</v>
      </c>
      <c r="L704" s="6" t="s">
        <v>175</v>
      </c>
      <c r="M704" s="6" t="s">
        <v>273</v>
      </c>
      <c r="N704" s="6" t="s">
        <v>83</v>
      </c>
      <c r="O704" s="6" t="s">
        <v>84</v>
      </c>
      <c r="P704" s="19">
        <v>0</v>
      </c>
    </row>
    <row r="705" spans="8:16" ht="15.75" customHeight="1" x14ac:dyDescent="0.3">
      <c r="H705" s="6" t="s">
        <v>195</v>
      </c>
      <c r="I705" s="6" t="s">
        <v>23</v>
      </c>
      <c r="J705" s="6" t="s">
        <v>106</v>
      </c>
      <c r="K705" s="17">
        <v>252984.20389999999</v>
      </c>
      <c r="L705" s="6" t="s">
        <v>175</v>
      </c>
      <c r="M705" s="6" t="s">
        <v>273</v>
      </c>
      <c r="N705" s="6" t="s">
        <v>88</v>
      </c>
      <c r="O705" s="6" t="s">
        <v>90</v>
      </c>
      <c r="P705" s="19">
        <v>0</v>
      </c>
    </row>
    <row r="706" spans="8:16" ht="15.75" customHeight="1" x14ac:dyDescent="0.3">
      <c r="H706" s="6" t="s">
        <v>195</v>
      </c>
      <c r="I706" s="6" t="s">
        <v>24</v>
      </c>
      <c r="J706" s="6" t="s">
        <v>108</v>
      </c>
      <c r="K706" s="17">
        <v>1.3332999999999999</v>
      </c>
      <c r="L706" s="6" t="s">
        <v>175</v>
      </c>
      <c r="M706" s="6" t="s">
        <v>273</v>
      </c>
      <c r="N706" s="6" t="s">
        <v>96</v>
      </c>
      <c r="O706" s="6" t="s">
        <v>97</v>
      </c>
      <c r="P706" s="19">
        <v>0</v>
      </c>
    </row>
    <row r="707" spans="8:16" ht="15.75" customHeight="1" x14ac:dyDescent="0.3">
      <c r="H707" s="6" t="s">
        <v>195</v>
      </c>
      <c r="I707" s="6" t="s">
        <v>25</v>
      </c>
      <c r="J707" s="6" t="s">
        <v>110</v>
      </c>
      <c r="K707" s="19">
        <v>413</v>
      </c>
      <c r="L707" s="6" t="s">
        <v>175</v>
      </c>
      <c r="M707" s="6" t="s">
        <v>273</v>
      </c>
      <c r="N707" s="6" t="s">
        <v>100</v>
      </c>
      <c r="O707" s="6" t="s">
        <v>101</v>
      </c>
      <c r="P707" s="19">
        <v>0</v>
      </c>
    </row>
    <row r="708" spans="8:16" ht="15.75" customHeight="1" x14ac:dyDescent="0.3">
      <c r="H708" s="6" t="s">
        <v>195</v>
      </c>
      <c r="I708" s="6" t="s">
        <v>26</v>
      </c>
      <c r="J708" s="6" t="s">
        <v>112</v>
      </c>
      <c r="K708" s="19">
        <v>99</v>
      </c>
      <c r="L708" s="6" t="s">
        <v>175</v>
      </c>
      <c r="M708" s="6" t="s">
        <v>273</v>
      </c>
      <c r="N708" s="6" t="s">
        <v>22</v>
      </c>
      <c r="O708" s="6" t="s">
        <v>104</v>
      </c>
      <c r="P708" s="17">
        <v>4.5</v>
      </c>
    </row>
    <row r="709" spans="8:16" ht="15.75" customHeight="1" x14ac:dyDescent="0.3">
      <c r="H709" s="6" t="s">
        <v>195</v>
      </c>
      <c r="I709" s="6" t="s">
        <v>27</v>
      </c>
      <c r="J709" s="6" t="s">
        <v>114</v>
      </c>
      <c r="K709" s="17">
        <v>2737.9243000000001</v>
      </c>
      <c r="L709" s="6" t="s">
        <v>175</v>
      </c>
      <c r="M709" s="6" t="s">
        <v>273</v>
      </c>
      <c r="N709" s="6" t="s">
        <v>23</v>
      </c>
      <c r="O709" s="6" t="s">
        <v>107</v>
      </c>
      <c r="P709" s="17">
        <v>121.5</v>
      </c>
    </row>
    <row r="710" spans="8:16" ht="15.75" customHeight="1" x14ac:dyDescent="0.3">
      <c r="H710" s="6" t="s">
        <v>195</v>
      </c>
      <c r="I710" s="6" t="s">
        <v>115</v>
      </c>
      <c r="J710" s="6" t="s">
        <v>121</v>
      </c>
      <c r="K710" s="19">
        <v>5</v>
      </c>
      <c r="L710" s="6" t="s">
        <v>175</v>
      </c>
      <c r="M710" s="6" t="s">
        <v>273</v>
      </c>
      <c r="N710" s="6" t="s">
        <v>24</v>
      </c>
      <c r="O710" s="6" t="s">
        <v>109</v>
      </c>
      <c r="P710" s="17">
        <v>8.2000000000000007E-3</v>
      </c>
    </row>
    <row r="711" spans="8:16" ht="15.75" customHeight="1" x14ac:dyDescent="0.3">
      <c r="H711" s="6" t="s">
        <v>195</v>
      </c>
      <c r="I711" s="6" t="s">
        <v>116</v>
      </c>
      <c r="J711" s="6" t="s">
        <v>132</v>
      </c>
      <c r="K711" s="19">
        <v>342</v>
      </c>
      <c r="L711" s="6" t="s">
        <v>175</v>
      </c>
      <c r="M711" s="6" t="s">
        <v>273</v>
      </c>
      <c r="N711" s="6" t="s">
        <v>25</v>
      </c>
      <c r="O711" s="6" t="s">
        <v>111</v>
      </c>
      <c r="P711" s="19">
        <v>9</v>
      </c>
    </row>
    <row r="712" spans="8:16" ht="15.75" customHeight="1" x14ac:dyDescent="0.3">
      <c r="H712" s="6" t="s">
        <v>195</v>
      </c>
      <c r="I712" s="6" t="s">
        <v>30</v>
      </c>
      <c r="J712" s="6" t="s">
        <v>137</v>
      </c>
      <c r="K712" s="17">
        <v>20.1235</v>
      </c>
      <c r="L712" s="6" t="s">
        <v>175</v>
      </c>
      <c r="M712" s="6" t="s">
        <v>273</v>
      </c>
      <c r="N712" s="6" t="s">
        <v>26</v>
      </c>
      <c r="O712" s="6" t="s">
        <v>113</v>
      </c>
      <c r="P712" s="19">
        <v>8</v>
      </c>
    </row>
    <row r="713" spans="8:16" ht="15.75" customHeight="1" x14ac:dyDescent="0.3">
      <c r="H713" s="6" t="s">
        <v>195</v>
      </c>
      <c r="I713" s="6" t="s">
        <v>118</v>
      </c>
      <c r="J713" s="6" t="s">
        <v>140</v>
      </c>
      <c r="K713" s="19">
        <v>76</v>
      </c>
      <c r="L713" s="6" t="s">
        <v>175</v>
      </c>
      <c r="M713" s="6" t="s">
        <v>273</v>
      </c>
      <c r="N713" s="6" t="s">
        <v>27</v>
      </c>
      <c r="O713" s="6" t="s">
        <v>117</v>
      </c>
      <c r="P713" s="19">
        <v>27</v>
      </c>
    </row>
    <row r="714" spans="8:16" ht="15.75" customHeight="1" x14ac:dyDescent="0.3">
      <c r="H714" s="6" t="s">
        <v>195</v>
      </c>
      <c r="I714" s="6" t="s">
        <v>31</v>
      </c>
      <c r="J714" s="6" t="s">
        <v>141</v>
      </c>
      <c r="K714" s="19">
        <v>109</v>
      </c>
      <c r="L714" s="6" t="s">
        <v>175</v>
      </c>
      <c r="M714" s="6" t="s">
        <v>273</v>
      </c>
      <c r="N714" s="6" t="s">
        <v>29</v>
      </c>
      <c r="O714" s="6" t="s">
        <v>125</v>
      </c>
      <c r="P714" s="19">
        <v>11</v>
      </c>
    </row>
    <row r="715" spans="8:16" ht="15.75" customHeight="1" x14ac:dyDescent="0.3">
      <c r="H715" s="6" t="s">
        <v>195</v>
      </c>
      <c r="I715" s="6" t="s">
        <v>119</v>
      </c>
      <c r="J715" s="6" t="s">
        <v>142</v>
      </c>
      <c r="K715" s="19">
        <v>5</v>
      </c>
      <c r="L715" s="6" t="s">
        <v>175</v>
      </c>
      <c r="M715" s="6" t="s">
        <v>273</v>
      </c>
      <c r="N715" s="6" t="s">
        <v>135</v>
      </c>
      <c r="O715" s="6" t="s">
        <v>136</v>
      </c>
      <c r="P715" s="19">
        <v>0</v>
      </c>
    </row>
    <row r="716" spans="8:16" ht="15.75" customHeight="1" x14ac:dyDescent="0.3">
      <c r="H716" s="6" t="s">
        <v>195</v>
      </c>
      <c r="I716" s="6" t="s">
        <v>120</v>
      </c>
      <c r="J716" s="6" t="s">
        <v>143</v>
      </c>
      <c r="K716" s="19">
        <v>18</v>
      </c>
      <c r="L716" s="6" t="s">
        <v>175</v>
      </c>
      <c r="M716" s="6" t="s">
        <v>273</v>
      </c>
      <c r="N716" s="6" t="s">
        <v>138</v>
      </c>
      <c r="O716" s="6" t="s">
        <v>139</v>
      </c>
      <c r="P716" s="19">
        <v>0</v>
      </c>
    </row>
    <row r="717" spans="8:16" ht="15.75" customHeight="1" x14ac:dyDescent="0.3">
      <c r="H717" s="6" t="s">
        <v>195</v>
      </c>
      <c r="I717" s="6" t="s">
        <v>122</v>
      </c>
      <c r="J717" s="6" t="s">
        <v>144</v>
      </c>
      <c r="K717" s="19">
        <v>10</v>
      </c>
      <c r="L717" s="6" t="s">
        <v>175</v>
      </c>
      <c r="M717" s="6" t="s">
        <v>273</v>
      </c>
      <c r="N717" s="6" t="s">
        <v>30</v>
      </c>
      <c r="O717" s="6" t="s">
        <v>148</v>
      </c>
      <c r="P717" s="17">
        <v>67.375399999999999</v>
      </c>
    </row>
    <row r="718" spans="8:16" ht="15.75" customHeight="1" x14ac:dyDescent="0.3">
      <c r="H718" s="6" t="s">
        <v>195</v>
      </c>
      <c r="I718" s="6" t="s">
        <v>123</v>
      </c>
      <c r="J718" s="6" t="s">
        <v>145</v>
      </c>
      <c r="K718" s="19">
        <v>60</v>
      </c>
      <c r="L718" s="6" t="s">
        <v>175</v>
      </c>
      <c r="M718" s="6" t="s">
        <v>273</v>
      </c>
      <c r="N718" s="6" t="s">
        <v>156</v>
      </c>
      <c r="O718" s="6" t="s">
        <v>157</v>
      </c>
      <c r="P718" s="19">
        <v>0</v>
      </c>
    </row>
    <row r="719" spans="8:16" ht="15.75" customHeight="1" x14ac:dyDescent="0.3">
      <c r="H719" s="6" t="s">
        <v>195</v>
      </c>
      <c r="I719" s="6" t="s">
        <v>124</v>
      </c>
      <c r="J719" s="6" t="s">
        <v>146</v>
      </c>
      <c r="K719" s="19">
        <v>5</v>
      </c>
      <c r="L719" s="6" t="s">
        <v>175</v>
      </c>
      <c r="M719" s="6" t="s">
        <v>273</v>
      </c>
      <c r="N719" s="6" t="s">
        <v>158</v>
      </c>
      <c r="O719" s="6" t="s">
        <v>159</v>
      </c>
      <c r="P719" s="19">
        <v>1</v>
      </c>
    </row>
    <row r="720" spans="8:16" ht="15.75" customHeight="1" x14ac:dyDescent="0.3">
      <c r="H720" s="6" t="s">
        <v>195</v>
      </c>
      <c r="I720" s="6" t="s">
        <v>126</v>
      </c>
      <c r="J720" s="6" t="s">
        <v>147</v>
      </c>
      <c r="K720" s="19">
        <v>20</v>
      </c>
      <c r="L720" s="6" t="s">
        <v>175</v>
      </c>
      <c r="M720" s="6" t="s">
        <v>273</v>
      </c>
      <c r="N720" s="6" t="s">
        <v>160</v>
      </c>
      <c r="O720" s="6" t="s">
        <v>161</v>
      </c>
      <c r="P720" s="19">
        <v>1</v>
      </c>
    </row>
    <row r="721" spans="8:16" ht="15.75" customHeight="1" x14ac:dyDescent="0.3">
      <c r="H721" s="6" t="s">
        <v>195</v>
      </c>
      <c r="I721" s="6" t="s">
        <v>127</v>
      </c>
      <c r="J721" s="6" t="s">
        <v>149</v>
      </c>
      <c r="K721" s="19">
        <v>50</v>
      </c>
      <c r="L721" s="6" t="s">
        <v>175</v>
      </c>
      <c r="M721" s="6" t="s">
        <v>273</v>
      </c>
      <c r="N721" s="6" t="s">
        <v>162</v>
      </c>
      <c r="O721" s="6" t="s">
        <v>163</v>
      </c>
      <c r="P721" s="19">
        <v>0</v>
      </c>
    </row>
    <row r="722" spans="8:16" ht="15.75" customHeight="1" x14ac:dyDescent="0.3">
      <c r="H722" s="6" t="s">
        <v>195</v>
      </c>
      <c r="I722" s="6" t="s">
        <v>128</v>
      </c>
      <c r="J722" s="6" t="s">
        <v>150</v>
      </c>
      <c r="K722" s="19">
        <v>1</v>
      </c>
      <c r="L722" s="6" t="s">
        <v>175</v>
      </c>
      <c r="M722" s="6" t="s">
        <v>273</v>
      </c>
      <c r="N722" s="6" t="s">
        <v>165</v>
      </c>
      <c r="O722" s="6" t="s">
        <v>166</v>
      </c>
      <c r="P722" s="19">
        <v>1</v>
      </c>
    </row>
    <row r="723" spans="8:16" ht="15.75" customHeight="1" x14ac:dyDescent="0.3">
      <c r="H723" s="6" t="s">
        <v>195</v>
      </c>
      <c r="I723" s="6" t="s">
        <v>129</v>
      </c>
      <c r="J723" s="6" t="s">
        <v>151</v>
      </c>
      <c r="K723" s="19">
        <v>0</v>
      </c>
      <c r="L723" s="6" t="s">
        <v>175</v>
      </c>
      <c r="M723" s="6" t="s">
        <v>276</v>
      </c>
      <c r="N723" s="6" t="s">
        <v>72</v>
      </c>
      <c r="O723" s="6" t="s">
        <v>75</v>
      </c>
      <c r="P723" s="19">
        <v>0</v>
      </c>
    </row>
    <row r="724" spans="8:16" ht="15.75" customHeight="1" x14ac:dyDescent="0.3">
      <c r="H724" s="6" t="s">
        <v>195</v>
      </c>
      <c r="I724" s="6" t="s">
        <v>130</v>
      </c>
      <c r="J724" s="6" t="s">
        <v>152</v>
      </c>
      <c r="K724" s="19">
        <v>42</v>
      </c>
      <c r="L724" s="6" t="s">
        <v>175</v>
      </c>
      <c r="M724" s="6" t="s">
        <v>276</v>
      </c>
      <c r="N724" s="6" t="s">
        <v>83</v>
      </c>
      <c r="O724" s="6" t="s">
        <v>84</v>
      </c>
      <c r="P724" s="19">
        <v>0</v>
      </c>
    </row>
    <row r="725" spans="8:16" ht="15.75" customHeight="1" x14ac:dyDescent="0.3">
      <c r="H725" s="6" t="s">
        <v>195</v>
      </c>
      <c r="I725" s="6" t="s">
        <v>131</v>
      </c>
      <c r="J725" s="6" t="s">
        <v>153</v>
      </c>
      <c r="K725" s="19">
        <v>0</v>
      </c>
      <c r="L725" s="6" t="s">
        <v>175</v>
      </c>
      <c r="M725" s="6" t="s">
        <v>276</v>
      </c>
      <c r="N725" s="6" t="s">
        <v>88</v>
      </c>
      <c r="O725" s="6" t="s">
        <v>90</v>
      </c>
      <c r="P725" s="17">
        <v>0.5</v>
      </c>
    </row>
    <row r="726" spans="8:16" ht="15.75" customHeight="1" x14ac:dyDescent="0.3">
      <c r="H726" s="6" t="s">
        <v>195</v>
      </c>
      <c r="I726" s="6" t="s">
        <v>133</v>
      </c>
      <c r="J726" s="6" t="s">
        <v>154</v>
      </c>
      <c r="K726" s="17">
        <v>0.72219999999999995</v>
      </c>
      <c r="L726" s="6" t="s">
        <v>175</v>
      </c>
      <c r="M726" s="6" t="s">
        <v>276</v>
      </c>
      <c r="N726" s="6" t="s">
        <v>96</v>
      </c>
      <c r="O726" s="6" t="s">
        <v>97</v>
      </c>
      <c r="P726" s="19">
        <v>2</v>
      </c>
    </row>
    <row r="727" spans="8:16" ht="15.75" customHeight="1" x14ac:dyDescent="0.3">
      <c r="H727" s="6" t="s">
        <v>195</v>
      </c>
      <c r="I727" s="6" t="s">
        <v>134</v>
      </c>
      <c r="J727" s="6" t="s">
        <v>155</v>
      </c>
      <c r="K727" s="19">
        <v>52</v>
      </c>
      <c r="L727" s="6" t="s">
        <v>175</v>
      </c>
      <c r="M727" s="6" t="s">
        <v>276</v>
      </c>
      <c r="N727" s="6" t="s">
        <v>100</v>
      </c>
      <c r="O727" s="6" t="s">
        <v>101</v>
      </c>
      <c r="P727" s="19">
        <v>1</v>
      </c>
    </row>
    <row r="728" spans="8:16" ht="15.75" customHeight="1" x14ac:dyDescent="0.3">
      <c r="H728" s="6" t="s">
        <v>196</v>
      </c>
      <c r="I728" s="6" t="s">
        <v>58</v>
      </c>
      <c r="J728" s="6" t="s">
        <v>60</v>
      </c>
      <c r="K728" s="19">
        <v>3</v>
      </c>
      <c r="L728" s="6" t="s">
        <v>175</v>
      </c>
      <c r="M728" s="6" t="s">
        <v>276</v>
      </c>
      <c r="N728" s="6" t="s">
        <v>22</v>
      </c>
      <c r="O728" s="6" t="s">
        <v>104</v>
      </c>
      <c r="P728" s="17">
        <v>3.5</v>
      </c>
    </row>
    <row r="729" spans="8:16" ht="15.75" customHeight="1" x14ac:dyDescent="0.3">
      <c r="H729" s="6" t="s">
        <v>196</v>
      </c>
      <c r="I729" s="6" t="s">
        <v>72</v>
      </c>
      <c r="J729" s="6" t="s">
        <v>82</v>
      </c>
      <c r="K729" s="19">
        <v>30</v>
      </c>
      <c r="L729" s="6" t="s">
        <v>175</v>
      </c>
      <c r="M729" s="6" t="s">
        <v>276</v>
      </c>
      <c r="N729" s="6" t="s">
        <v>23</v>
      </c>
      <c r="O729" s="6" t="s">
        <v>107</v>
      </c>
      <c r="P729" s="17">
        <v>157.4041</v>
      </c>
    </row>
    <row r="730" spans="8:16" ht="15.75" customHeight="1" x14ac:dyDescent="0.3">
      <c r="H730" s="6" t="s">
        <v>196</v>
      </c>
      <c r="I730" s="6" t="s">
        <v>85</v>
      </c>
      <c r="J730" s="6" t="s">
        <v>86</v>
      </c>
      <c r="K730" s="19">
        <v>13</v>
      </c>
      <c r="L730" s="6" t="s">
        <v>175</v>
      </c>
      <c r="M730" s="6" t="s">
        <v>276</v>
      </c>
      <c r="N730" s="6" t="s">
        <v>24</v>
      </c>
      <c r="O730" s="6" t="s">
        <v>109</v>
      </c>
      <c r="P730" s="17">
        <v>9.7000000000000003E-3</v>
      </c>
    </row>
    <row r="731" spans="8:16" ht="15.75" customHeight="1" x14ac:dyDescent="0.3">
      <c r="H731" s="6" t="s">
        <v>196</v>
      </c>
      <c r="I731" s="6" t="s">
        <v>93</v>
      </c>
      <c r="J731" s="6" t="s">
        <v>94</v>
      </c>
      <c r="K731" s="19">
        <v>2</v>
      </c>
      <c r="L731" s="6" t="s">
        <v>175</v>
      </c>
      <c r="M731" s="6" t="s">
        <v>276</v>
      </c>
      <c r="N731" s="6" t="s">
        <v>25</v>
      </c>
      <c r="O731" s="6" t="s">
        <v>111</v>
      </c>
      <c r="P731" s="19">
        <v>13</v>
      </c>
    </row>
    <row r="732" spans="8:16" ht="15.75" customHeight="1" x14ac:dyDescent="0.3">
      <c r="H732" s="6" t="s">
        <v>196</v>
      </c>
      <c r="I732" s="6" t="s">
        <v>98</v>
      </c>
      <c r="J732" s="6" t="s">
        <v>99</v>
      </c>
      <c r="K732" s="19">
        <v>1</v>
      </c>
      <c r="L732" s="6" t="s">
        <v>175</v>
      </c>
      <c r="M732" s="6" t="s">
        <v>276</v>
      </c>
      <c r="N732" s="6" t="s">
        <v>26</v>
      </c>
      <c r="O732" s="6" t="s">
        <v>113</v>
      </c>
      <c r="P732" s="19">
        <v>11</v>
      </c>
    </row>
    <row r="733" spans="8:16" ht="15.75" customHeight="1" x14ac:dyDescent="0.3">
      <c r="H733" s="6" t="s">
        <v>196</v>
      </c>
      <c r="I733" s="6" t="s">
        <v>22</v>
      </c>
      <c r="J733" s="6" t="s">
        <v>103</v>
      </c>
      <c r="K733" s="17">
        <v>92.633899999999997</v>
      </c>
      <c r="L733" s="6" t="s">
        <v>175</v>
      </c>
      <c r="M733" s="6" t="s">
        <v>276</v>
      </c>
      <c r="N733" s="6" t="s">
        <v>27</v>
      </c>
      <c r="O733" s="6" t="s">
        <v>117</v>
      </c>
      <c r="P733" s="17">
        <v>44.9726</v>
      </c>
    </row>
    <row r="734" spans="8:16" ht="15.75" customHeight="1" x14ac:dyDescent="0.3">
      <c r="H734" s="6" t="s">
        <v>196</v>
      </c>
      <c r="I734" s="6" t="s">
        <v>23</v>
      </c>
      <c r="J734" s="6" t="s">
        <v>106</v>
      </c>
      <c r="K734" s="17">
        <v>408019.50099999999</v>
      </c>
      <c r="L734" s="6" t="s">
        <v>175</v>
      </c>
      <c r="M734" s="6" t="s">
        <v>276</v>
      </c>
      <c r="N734" s="6" t="s">
        <v>29</v>
      </c>
      <c r="O734" s="6" t="s">
        <v>125</v>
      </c>
      <c r="P734" s="19">
        <v>14</v>
      </c>
    </row>
    <row r="735" spans="8:16" ht="15.75" customHeight="1" x14ac:dyDescent="0.3">
      <c r="H735" s="6" t="s">
        <v>196</v>
      </c>
      <c r="I735" s="6" t="s">
        <v>24</v>
      </c>
      <c r="J735" s="6" t="s">
        <v>108</v>
      </c>
      <c r="K735" s="17">
        <v>1.8337000000000001</v>
      </c>
      <c r="L735" s="6" t="s">
        <v>175</v>
      </c>
      <c r="M735" s="6" t="s">
        <v>276</v>
      </c>
      <c r="N735" s="6" t="s">
        <v>135</v>
      </c>
      <c r="O735" s="6" t="s">
        <v>136</v>
      </c>
      <c r="P735" s="19">
        <v>0</v>
      </c>
    </row>
    <row r="736" spans="8:16" ht="15.75" customHeight="1" x14ac:dyDescent="0.3">
      <c r="H736" s="6" t="s">
        <v>196</v>
      </c>
      <c r="I736" s="6" t="s">
        <v>25</v>
      </c>
      <c r="J736" s="6" t="s">
        <v>110</v>
      </c>
      <c r="K736" s="19">
        <v>579</v>
      </c>
      <c r="L736" s="6" t="s">
        <v>175</v>
      </c>
      <c r="M736" s="6" t="s">
        <v>276</v>
      </c>
      <c r="N736" s="6" t="s">
        <v>138</v>
      </c>
      <c r="O736" s="6" t="s">
        <v>139</v>
      </c>
      <c r="P736" s="19">
        <v>0</v>
      </c>
    </row>
    <row r="737" spans="8:16" ht="15.75" customHeight="1" x14ac:dyDescent="0.3">
      <c r="H737" s="6" t="s">
        <v>196</v>
      </c>
      <c r="I737" s="6" t="s">
        <v>26</v>
      </c>
      <c r="J737" s="6" t="s">
        <v>112</v>
      </c>
      <c r="K737" s="19">
        <v>195</v>
      </c>
      <c r="L737" s="6" t="s">
        <v>175</v>
      </c>
      <c r="M737" s="6" t="s">
        <v>276</v>
      </c>
      <c r="N737" s="6" t="s">
        <v>30</v>
      </c>
      <c r="O737" s="6" t="s">
        <v>148</v>
      </c>
      <c r="P737" s="17">
        <v>63.490900000000003</v>
      </c>
    </row>
    <row r="738" spans="8:16" ht="15.75" customHeight="1" x14ac:dyDescent="0.3">
      <c r="H738" s="6" t="s">
        <v>196</v>
      </c>
      <c r="I738" s="6" t="s">
        <v>27</v>
      </c>
      <c r="J738" s="6" t="s">
        <v>114</v>
      </c>
      <c r="K738" s="17">
        <v>4404.6442999999999</v>
      </c>
      <c r="L738" s="6" t="s">
        <v>175</v>
      </c>
      <c r="M738" s="6" t="s">
        <v>276</v>
      </c>
      <c r="N738" s="6" t="s">
        <v>156</v>
      </c>
      <c r="O738" s="6" t="s">
        <v>157</v>
      </c>
      <c r="P738" s="19">
        <v>0</v>
      </c>
    </row>
    <row r="739" spans="8:16" ht="15.75" customHeight="1" x14ac:dyDescent="0.3">
      <c r="H739" s="6" t="s">
        <v>196</v>
      </c>
      <c r="I739" s="6" t="s">
        <v>115</v>
      </c>
      <c r="J739" s="6" t="s">
        <v>121</v>
      </c>
      <c r="K739" s="19">
        <v>2</v>
      </c>
      <c r="L739" s="6" t="s">
        <v>175</v>
      </c>
      <c r="M739" s="6" t="s">
        <v>276</v>
      </c>
      <c r="N739" s="6" t="s">
        <v>158</v>
      </c>
      <c r="O739" s="6" t="s">
        <v>159</v>
      </c>
      <c r="P739" s="19">
        <v>1</v>
      </c>
    </row>
    <row r="740" spans="8:16" ht="15.75" customHeight="1" x14ac:dyDescent="0.3">
      <c r="H740" s="6" t="s">
        <v>196</v>
      </c>
      <c r="I740" s="6" t="s">
        <v>116</v>
      </c>
      <c r="J740" s="6" t="s">
        <v>132</v>
      </c>
      <c r="K740" s="19">
        <v>197</v>
      </c>
      <c r="L740" s="6" t="s">
        <v>175</v>
      </c>
      <c r="M740" s="6" t="s">
        <v>276</v>
      </c>
      <c r="N740" s="6" t="s">
        <v>160</v>
      </c>
      <c r="O740" s="6" t="s">
        <v>161</v>
      </c>
      <c r="P740" s="19">
        <v>1</v>
      </c>
    </row>
    <row r="741" spans="8:16" ht="15.75" customHeight="1" x14ac:dyDescent="0.3">
      <c r="H741" s="6" t="s">
        <v>196</v>
      </c>
      <c r="I741" s="6" t="s">
        <v>30</v>
      </c>
      <c r="J741" s="6" t="s">
        <v>137</v>
      </c>
      <c r="K741" s="17">
        <v>23.9223</v>
      </c>
      <c r="L741" s="6" t="s">
        <v>175</v>
      </c>
      <c r="M741" s="6" t="s">
        <v>276</v>
      </c>
      <c r="N741" s="6" t="s">
        <v>162</v>
      </c>
      <c r="O741" s="6" t="s">
        <v>163</v>
      </c>
      <c r="P741" s="19">
        <v>0</v>
      </c>
    </row>
    <row r="742" spans="8:16" ht="15.75" customHeight="1" x14ac:dyDescent="0.3">
      <c r="H742" s="6" t="s">
        <v>196</v>
      </c>
      <c r="I742" s="6" t="s">
        <v>118</v>
      </c>
      <c r="J742" s="6" t="s">
        <v>140</v>
      </c>
      <c r="K742" s="19">
        <v>121</v>
      </c>
      <c r="L742" s="6" t="s">
        <v>175</v>
      </c>
      <c r="M742" s="6" t="s">
        <v>276</v>
      </c>
      <c r="N742" s="6" t="s">
        <v>165</v>
      </c>
      <c r="O742" s="6" t="s">
        <v>166</v>
      </c>
      <c r="P742" s="19">
        <v>0</v>
      </c>
    </row>
    <row r="743" spans="8:16" ht="15.75" customHeight="1" x14ac:dyDescent="0.3">
      <c r="H743" s="6" t="s">
        <v>196</v>
      </c>
      <c r="I743" s="6" t="s">
        <v>31</v>
      </c>
      <c r="J743" s="6" t="s">
        <v>141</v>
      </c>
      <c r="K743" s="19">
        <v>171</v>
      </c>
      <c r="L743" s="6" t="s">
        <v>175</v>
      </c>
      <c r="M743" s="6" t="s">
        <v>281</v>
      </c>
      <c r="N743" s="6" t="s">
        <v>72</v>
      </c>
      <c r="O743" s="6" t="s">
        <v>75</v>
      </c>
      <c r="P743" s="19">
        <v>2</v>
      </c>
    </row>
    <row r="744" spans="8:16" ht="15.75" customHeight="1" x14ac:dyDescent="0.3">
      <c r="H744" s="6" t="s">
        <v>196</v>
      </c>
      <c r="I744" s="6" t="s">
        <v>119</v>
      </c>
      <c r="J744" s="6" t="s">
        <v>142</v>
      </c>
      <c r="K744" s="19">
        <v>0</v>
      </c>
      <c r="L744" s="6" t="s">
        <v>175</v>
      </c>
      <c r="M744" s="6" t="s">
        <v>281</v>
      </c>
      <c r="N744" s="6" t="s">
        <v>83</v>
      </c>
      <c r="O744" s="6" t="s">
        <v>84</v>
      </c>
      <c r="P744" s="19">
        <v>1</v>
      </c>
    </row>
    <row r="745" spans="8:16" ht="15.75" customHeight="1" x14ac:dyDescent="0.3">
      <c r="H745" s="6" t="s">
        <v>196</v>
      </c>
      <c r="I745" s="6" t="s">
        <v>120</v>
      </c>
      <c r="J745" s="6" t="s">
        <v>143</v>
      </c>
      <c r="K745" s="19">
        <v>7</v>
      </c>
      <c r="L745" s="6" t="s">
        <v>175</v>
      </c>
      <c r="M745" s="6" t="s">
        <v>281</v>
      </c>
      <c r="N745" s="6" t="s">
        <v>88</v>
      </c>
      <c r="O745" s="6" t="s">
        <v>90</v>
      </c>
      <c r="P745" s="19">
        <v>1</v>
      </c>
    </row>
    <row r="746" spans="8:16" ht="15.75" customHeight="1" x14ac:dyDescent="0.3">
      <c r="H746" s="6" t="s">
        <v>196</v>
      </c>
      <c r="I746" s="6" t="s">
        <v>122</v>
      </c>
      <c r="J746" s="6" t="s">
        <v>144</v>
      </c>
      <c r="K746" s="19">
        <v>25</v>
      </c>
      <c r="L746" s="6" t="s">
        <v>175</v>
      </c>
      <c r="M746" s="6" t="s">
        <v>281</v>
      </c>
      <c r="N746" s="6" t="s">
        <v>96</v>
      </c>
      <c r="O746" s="6" t="s">
        <v>97</v>
      </c>
      <c r="P746" s="19">
        <v>1</v>
      </c>
    </row>
    <row r="747" spans="8:16" ht="15.75" customHeight="1" x14ac:dyDescent="0.3">
      <c r="H747" s="6" t="s">
        <v>196</v>
      </c>
      <c r="I747" s="6" t="s">
        <v>123</v>
      </c>
      <c r="J747" s="6" t="s">
        <v>145</v>
      </c>
      <c r="K747" s="19">
        <v>45</v>
      </c>
      <c r="L747" s="6" t="s">
        <v>175</v>
      </c>
      <c r="M747" s="6" t="s">
        <v>281</v>
      </c>
      <c r="N747" s="6" t="s">
        <v>100</v>
      </c>
      <c r="O747" s="6" t="s">
        <v>101</v>
      </c>
      <c r="P747" s="19">
        <v>0</v>
      </c>
    </row>
    <row r="748" spans="8:16" ht="15.75" customHeight="1" x14ac:dyDescent="0.3">
      <c r="H748" s="6" t="s">
        <v>196</v>
      </c>
      <c r="I748" s="6" t="s">
        <v>124</v>
      </c>
      <c r="J748" s="6" t="s">
        <v>146</v>
      </c>
      <c r="K748" s="19">
        <v>0</v>
      </c>
      <c r="L748" s="6" t="s">
        <v>175</v>
      </c>
      <c r="M748" s="6" t="s">
        <v>281</v>
      </c>
      <c r="N748" s="6" t="s">
        <v>22</v>
      </c>
      <c r="O748" s="6" t="s">
        <v>104</v>
      </c>
      <c r="P748" s="17">
        <v>6.125</v>
      </c>
    </row>
    <row r="749" spans="8:16" ht="15.75" customHeight="1" x14ac:dyDescent="0.3">
      <c r="H749" s="6" t="s">
        <v>196</v>
      </c>
      <c r="I749" s="6" t="s">
        <v>126</v>
      </c>
      <c r="J749" s="6" t="s">
        <v>147</v>
      </c>
      <c r="K749" s="19">
        <v>7</v>
      </c>
      <c r="L749" s="6" t="s">
        <v>175</v>
      </c>
      <c r="M749" s="6" t="s">
        <v>281</v>
      </c>
      <c r="N749" s="6" t="s">
        <v>23</v>
      </c>
      <c r="O749" s="6" t="s">
        <v>107</v>
      </c>
      <c r="P749" s="17">
        <v>317.83530000000002</v>
      </c>
    </row>
    <row r="750" spans="8:16" ht="15.75" customHeight="1" x14ac:dyDescent="0.3">
      <c r="H750" s="6" t="s">
        <v>196</v>
      </c>
      <c r="I750" s="6" t="s">
        <v>127</v>
      </c>
      <c r="J750" s="6" t="s">
        <v>149</v>
      </c>
      <c r="K750" s="19">
        <v>20</v>
      </c>
      <c r="L750" s="6" t="s">
        <v>175</v>
      </c>
      <c r="M750" s="6" t="s">
        <v>281</v>
      </c>
      <c r="N750" s="6" t="s">
        <v>24</v>
      </c>
      <c r="O750" s="6" t="s">
        <v>109</v>
      </c>
      <c r="P750" s="17">
        <v>1.55E-2</v>
      </c>
    </row>
    <row r="751" spans="8:16" ht="15.75" customHeight="1" x14ac:dyDescent="0.3">
      <c r="H751" s="6" t="s">
        <v>196</v>
      </c>
      <c r="I751" s="6" t="s">
        <v>128</v>
      </c>
      <c r="J751" s="6" t="s">
        <v>150</v>
      </c>
      <c r="K751" s="19">
        <v>0</v>
      </c>
      <c r="L751" s="6" t="s">
        <v>175</v>
      </c>
      <c r="M751" s="6" t="s">
        <v>281</v>
      </c>
      <c r="N751" s="6" t="s">
        <v>25</v>
      </c>
      <c r="O751" s="6" t="s">
        <v>111</v>
      </c>
      <c r="P751" s="19">
        <v>15</v>
      </c>
    </row>
    <row r="752" spans="8:16" ht="15.75" customHeight="1" x14ac:dyDescent="0.3">
      <c r="H752" s="6" t="s">
        <v>196</v>
      </c>
      <c r="I752" s="6" t="s">
        <v>129</v>
      </c>
      <c r="J752" s="6" t="s">
        <v>151</v>
      </c>
      <c r="K752" s="19">
        <v>0</v>
      </c>
      <c r="L752" s="6" t="s">
        <v>175</v>
      </c>
      <c r="M752" s="6" t="s">
        <v>281</v>
      </c>
      <c r="N752" s="6" t="s">
        <v>26</v>
      </c>
      <c r="O752" s="6" t="s">
        <v>113</v>
      </c>
      <c r="P752" s="19">
        <v>11</v>
      </c>
    </row>
    <row r="753" spans="8:16" ht="15.75" customHeight="1" x14ac:dyDescent="0.3">
      <c r="H753" s="6" t="s">
        <v>196</v>
      </c>
      <c r="I753" s="6" t="s">
        <v>130</v>
      </c>
      <c r="J753" s="6" t="s">
        <v>152</v>
      </c>
      <c r="K753" s="19">
        <v>60</v>
      </c>
      <c r="L753" s="6" t="s">
        <v>175</v>
      </c>
      <c r="M753" s="6" t="s">
        <v>281</v>
      </c>
      <c r="N753" s="6" t="s">
        <v>27</v>
      </c>
      <c r="O753" s="6" t="s">
        <v>117</v>
      </c>
      <c r="P753" s="17">
        <v>51.891500000000001</v>
      </c>
    </row>
    <row r="754" spans="8:16" ht="15.75" customHeight="1" x14ac:dyDescent="0.3">
      <c r="H754" s="6" t="s">
        <v>196</v>
      </c>
      <c r="I754" s="6" t="s">
        <v>131</v>
      </c>
      <c r="J754" s="6" t="s">
        <v>153</v>
      </c>
      <c r="K754" s="17">
        <v>0.1429</v>
      </c>
      <c r="L754" s="6" t="s">
        <v>175</v>
      </c>
      <c r="M754" s="6" t="s">
        <v>281</v>
      </c>
      <c r="N754" s="6" t="s">
        <v>29</v>
      </c>
      <c r="O754" s="6" t="s">
        <v>125</v>
      </c>
      <c r="P754" s="19">
        <v>20</v>
      </c>
    </row>
    <row r="755" spans="8:16" ht="15.75" customHeight="1" x14ac:dyDescent="0.3">
      <c r="H755" s="6" t="s">
        <v>196</v>
      </c>
      <c r="I755" s="6" t="s">
        <v>133</v>
      </c>
      <c r="J755" s="6" t="s">
        <v>154</v>
      </c>
      <c r="K755" s="19">
        <v>1</v>
      </c>
      <c r="L755" s="6" t="s">
        <v>175</v>
      </c>
      <c r="M755" s="6" t="s">
        <v>281</v>
      </c>
      <c r="N755" s="6" t="s">
        <v>135</v>
      </c>
      <c r="O755" s="6" t="s">
        <v>136</v>
      </c>
      <c r="P755" s="19">
        <v>1</v>
      </c>
    </row>
    <row r="756" spans="8:16" ht="15.75" customHeight="1" x14ac:dyDescent="0.3">
      <c r="H756" s="6" t="s">
        <v>196</v>
      </c>
      <c r="I756" s="6" t="s">
        <v>134</v>
      </c>
      <c r="J756" s="6" t="s">
        <v>155</v>
      </c>
      <c r="K756" s="19">
        <v>45</v>
      </c>
      <c r="L756" s="6" t="s">
        <v>175</v>
      </c>
      <c r="M756" s="6" t="s">
        <v>281</v>
      </c>
      <c r="N756" s="6" t="s">
        <v>138</v>
      </c>
      <c r="O756" s="6" t="s">
        <v>139</v>
      </c>
      <c r="P756" s="19">
        <v>1</v>
      </c>
    </row>
    <row r="757" spans="8:16" ht="15.75" customHeight="1" x14ac:dyDescent="0.3">
      <c r="H757" s="6" t="s">
        <v>197</v>
      </c>
      <c r="I757" s="6" t="s">
        <v>58</v>
      </c>
      <c r="J757" s="6" t="s">
        <v>60</v>
      </c>
      <c r="K757" s="19">
        <v>3</v>
      </c>
      <c r="L757" s="6" t="s">
        <v>175</v>
      </c>
      <c r="M757" s="6" t="s">
        <v>281</v>
      </c>
      <c r="N757" s="6" t="s">
        <v>30</v>
      </c>
      <c r="O757" s="6" t="s">
        <v>148</v>
      </c>
      <c r="P757" s="17">
        <v>59.5152</v>
      </c>
    </row>
    <row r="758" spans="8:16" ht="15.75" customHeight="1" x14ac:dyDescent="0.3">
      <c r="H758" s="6" t="s">
        <v>197</v>
      </c>
      <c r="I758" s="6" t="s">
        <v>72</v>
      </c>
      <c r="J758" s="6" t="s">
        <v>82</v>
      </c>
      <c r="K758" s="19">
        <v>30</v>
      </c>
      <c r="L758" s="6" t="s">
        <v>175</v>
      </c>
      <c r="M758" s="6" t="s">
        <v>281</v>
      </c>
      <c r="N758" s="6" t="s">
        <v>156</v>
      </c>
      <c r="O758" s="6" t="s">
        <v>157</v>
      </c>
      <c r="P758" s="19">
        <v>0</v>
      </c>
    </row>
    <row r="759" spans="8:16" ht="15.75" customHeight="1" x14ac:dyDescent="0.3">
      <c r="H759" s="6" t="s">
        <v>197</v>
      </c>
      <c r="I759" s="6" t="s">
        <v>85</v>
      </c>
      <c r="J759" s="6" t="s">
        <v>86</v>
      </c>
      <c r="K759" s="19">
        <v>7</v>
      </c>
      <c r="L759" s="6" t="s">
        <v>175</v>
      </c>
      <c r="M759" s="6" t="s">
        <v>281</v>
      </c>
      <c r="N759" s="6" t="s">
        <v>158</v>
      </c>
      <c r="O759" s="6" t="s">
        <v>159</v>
      </c>
      <c r="P759" s="19">
        <v>3</v>
      </c>
    </row>
    <row r="760" spans="8:16" ht="15.75" customHeight="1" x14ac:dyDescent="0.3">
      <c r="H760" s="6" t="s">
        <v>197</v>
      </c>
      <c r="I760" s="6" t="s">
        <v>93</v>
      </c>
      <c r="J760" s="6" t="s">
        <v>94</v>
      </c>
      <c r="K760" s="19">
        <v>0</v>
      </c>
      <c r="L760" s="6" t="s">
        <v>175</v>
      </c>
      <c r="M760" s="6" t="s">
        <v>281</v>
      </c>
      <c r="N760" s="6" t="s">
        <v>160</v>
      </c>
      <c r="O760" s="6" t="s">
        <v>161</v>
      </c>
      <c r="P760" s="19">
        <v>3</v>
      </c>
    </row>
    <row r="761" spans="8:16" ht="15.75" customHeight="1" x14ac:dyDescent="0.3">
      <c r="H761" s="6" t="s">
        <v>197</v>
      </c>
      <c r="I761" s="6" t="s">
        <v>98</v>
      </c>
      <c r="J761" s="6" t="s">
        <v>99</v>
      </c>
      <c r="K761" s="19">
        <v>1</v>
      </c>
      <c r="L761" s="6" t="s">
        <v>175</v>
      </c>
      <c r="M761" s="6" t="s">
        <v>281</v>
      </c>
      <c r="N761" s="6" t="s">
        <v>162</v>
      </c>
      <c r="O761" s="6" t="s">
        <v>163</v>
      </c>
      <c r="P761" s="19">
        <v>1</v>
      </c>
    </row>
    <row r="762" spans="8:16" ht="15.75" customHeight="1" x14ac:dyDescent="0.3">
      <c r="H762" s="6" t="s">
        <v>197</v>
      </c>
      <c r="I762" s="6" t="s">
        <v>22</v>
      </c>
      <c r="J762" s="6" t="s">
        <v>103</v>
      </c>
      <c r="K762" s="19">
        <v>85</v>
      </c>
      <c r="L762" s="6" t="s">
        <v>175</v>
      </c>
      <c r="M762" s="6" t="s">
        <v>281</v>
      </c>
      <c r="N762" s="6" t="s">
        <v>165</v>
      </c>
      <c r="O762" s="6" t="s">
        <v>166</v>
      </c>
      <c r="P762" s="19">
        <v>1</v>
      </c>
    </row>
    <row r="763" spans="8:16" ht="15.75" customHeight="1" x14ac:dyDescent="0.3">
      <c r="H763" s="6" t="s">
        <v>197</v>
      </c>
      <c r="I763" s="6" t="s">
        <v>23</v>
      </c>
      <c r="J763" s="6" t="s">
        <v>106</v>
      </c>
      <c r="K763" s="19">
        <v>117300</v>
      </c>
      <c r="L763" s="6" t="s">
        <v>176</v>
      </c>
      <c r="M763" s="6" t="s">
        <v>263</v>
      </c>
      <c r="N763" s="6" t="s">
        <v>72</v>
      </c>
      <c r="O763" s="6" t="s">
        <v>75</v>
      </c>
      <c r="P763" s="19">
        <v>5</v>
      </c>
    </row>
    <row r="764" spans="8:16" ht="15.75" customHeight="1" x14ac:dyDescent="0.3">
      <c r="H764" s="6" t="s">
        <v>197</v>
      </c>
      <c r="I764" s="6" t="s">
        <v>24</v>
      </c>
      <c r="J764" s="6" t="s">
        <v>108</v>
      </c>
      <c r="K764" s="17">
        <v>0.79869999999999997</v>
      </c>
      <c r="L764" s="6" t="s">
        <v>176</v>
      </c>
      <c r="M764" s="6" t="s">
        <v>263</v>
      </c>
      <c r="N764" s="6" t="s">
        <v>83</v>
      </c>
      <c r="O764" s="6" t="s">
        <v>84</v>
      </c>
      <c r="P764" s="19">
        <v>0</v>
      </c>
    </row>
    <row r="765" spans="8:16" ht="15.75" customHeight="1" x14ac:dyDescent="0.3">
      <c r="H765" s="6" t="s">
        <v>197</v>
      </c>
      <c r="I765" s="6" t="s">
        <v>25</v>
      </c>
      <c r="J765" s="6" t="s">
        <v>110</v>
      </c>
      <c r="K765" s="19">
        <v>230</v>
      </c>
      <c r="L765" s="6" t="s">
        <v>176</v>
      </c>
      <c r="M765" s="6" t="s">
        <v>263</v>
      </c>
      <c r="N765" s="6" t="s">
        <v>88</v>
      </c>
      <c r="O765" s="6" t="s">
        <v>90</v>
      </c>
      <c r="P765" s="17">
        <v>0.5</v>
      </c>
    </row>
    <row r="766" spans="8:16" ht="15.75" customHeight="1" x14ac:dyDescent="0.3">
      <c r="H766" s="6" t="s">
        <v>197</v>
      </c>
      <c r="I766" s="6" t="s">
        <v>26</v>
      </c>
      <c r="J766" s="6" t="s">
        <v>112</v>
      </c>
      <c r="K766" s="19">
        <v>64</v>
      </c>
      <c r="L766" s="6" t="s">
        <v>176</v>
      </c>
      <c r="M766" s="6" t="s">
        <v>263</v>
      </c>
      <c r="N766" s="6" t="s">
        <v>96</v>
      </c>
      <c r="O766" s="6" t="s">
        <v>97</v>
      </c>
      <c r="P766" s="19">
        <v>6</v>
      </c>
    </row>
    <row r="767" spans="8:16" ht="15.75" customHeight="1" x14ac:dyDescent="0.3">
      <c r="H767" s="6" t="s">
        <v>197</v>
      </c>
      <c r="I767" s="6" t="s">
        <v>27</v>
      </c>
      <c r="J767" s="6" t="s">
        <v>114</v>
      </c>
      <c r="K767" s="19">
        <v>1380</v>
      </c>
      <c r="L767" s="6" t="s">
        <v>176</v>
      </c>
      <c r="M767" s="6" t="s">
        <v>263</v>
      </c>
      <c r="N767" s="6" t="s">
        <v>100</v>
      </c>
      <c r="O767" s="6" t="s">
        <v>101</v>
      </c>
      <c r="P767" s="19">
        <v>1</v>
      </c>
    </row>
    <row r="768" spans="8:16" ht="15.75" customHeight="1" x14ac:dyDescent="0.3">
      <c r="H768" s="6" t="s">
        <v>197</v>
      </c>
      <c r="I768" s="6" t="s">
        <v>115</v>
      </c>
      <c r="J768" s="6" t="s">
        <v>121</v>
      </c>
      <c r="K768" s="19">
        <v>1</v>
      </c>
      <c r="L768" s="6" t="s">
        <v>176</v>
      </c>
      <c r="M768" s="6" t="s">
        <v>263</v>
      </c>
      <c r="N768" s="6" t="s">
        <v>22</v>
      </c>
      <c r="O768" s="6" t="s">
        <v>104</v>
      </c>
      <c r="P768" s="19">
        <v>27</v>
      </c>
    </row>
    <row r="769" spans="8:16" ht="15.75" customHeight="1" x14ac:dyDescent="0.3">
      <c r="H769" s="6" t="s">
        <v>197</v>
      </c>
      <c r="I769" s="6" t="s">
        <v>116</v>
      </c>
      <c r="J769" s="6" t="s">
        <v>132</v>
      </c>
      <c r="K769" s="19">
        <v>98</v>
      </c>
      <c r="L769" s="6" t="s">
        <v>176</v>
      </c>
      <c r="M769" s="6" t="s">
        <v>263</v>
      </c>
      <c r="N769" s="6" t="s">
        <v>23</v>
      </c>
      <c r="O769" s="6" t="s">
        <v>107</v>
      </c>
      <c r="P769" s="17">
        <v>12198.390299999999</v>
      </c>
    </row>
    <row r="770" spans="8:16" ht="15.75" customHeight="1" x14ac:dyDescent="0.3">
      <c r="H770" s="6" t="s">
        <v>197</v>
      </c>
      <c r="I770" s="6" t="s">
        <v>30</v>
      </c>
      <c r="J770" s="6" t="s">
        <v>137</v>
      </c>
      <c r="K770" s="17">
        <v>34.099800000000002</v>
      </c>
      <c r="L770" s="6" t="s">
        <v>176</v>
      </c>
      <c r="M770" s="6" t="s">
        <v>263</v>
      </c>
      <c r="N770" s="6" t="s">
        <v>24</v>
      </c>
      <c r="O770" s="6" t="s">
        <v>109</v>
      </c>
      <c r="P770" s="17">
        <v>0.17660000000000001</v>
      </c>
    </row>
    <row r="771" spans="8:16" ht="15.75" customHeight="1" x14ac:dyDescent="0.3">
      <c r="H771" s="6" t="s">
        <v>197</v>
      </c>
      <c r="I771" s="6" t="s">
        <v>118</v>
      </c>
      <c r="J771" s="6" t="s">
        <v>140</v>
      </c>
      <c r="K771" s="19">
        <v>46</v>
      </c>
      <c r="L771" s="6" t="s">
        <v>176</v>
      </c>
      <c r="M771" s="6" t="s">
        <v>263</v>
      </c>
      <c r="N771" s="6" t="s">
        <v>25</v>
      </c>
      <c r="O771" s="6" t="s">
        <v>111</v>
      </c>
      <c r="P771" s="19">
        <v>93</v>
      </c>
    </row>
    <row r="772" spans="8:16" ht="15.75" customHeight="1" x14ac:dyDescent="0.3">
      <c r="H772" s="6" t="s">
        <v>197</v>
      </c>
      <c r="I772" s="6" t="s">
        <v>31</v>
      </c>
      <c r="J772" s="6" t="s">
        <v>141</v>
      </c>
      <c r="K772" s="19">
        <v>74</v>
      </c>
      <c r="L772" s="6" t="s">
        <v>176</v>
      </c>
      <c r="M772" s="6" t="s">
        <v>263</v>
      </c>
      <c r="N772" s="6" t="s">
        <v>26</v>
      </c>
      <c r="O772" s="6" t="s">
        <v>113</v>
      </c>
      <c r="P772" s="19">
        <v>29</v>
      </c>
    </row>
    <row r="773" spans="8:16" ht="15.75" customHeight="1" x14ac:dyDescent="0.3">
      <c r="H773" s="6" t="s">
        <v>197</v>
      </c>
      <c r="I773" s="6" t="s">
        <v>119</v>
      </c>
      <c r="J773" s="6" t="s">
        <v>142</v>
      </c>
      <c r="K773" s="19">
        <v>0</v>
      </c>
      <c r="L773" s="6" t="s">
        <v>176</v>
      </c>
      <c r="M773" s="6" t="s">
        <v>263</v>
      </c>
      <c r="N773" s="6" t="s">
        <v>27</v>
      </c>
      <c r="O773" s="6" t="s">
        <v>117</v>
      </c>
      <c r="P773" s="17">
        <v>451.79219999999998</v>
      </c>
    </row>
    <row r="774" spans="8:16" ht="15.75" customHeight="1" x14ac:dyDescent="0.3">
      <c r="H774" s="6" t="s">
        <v>197</v>
      </c>
      <c r="I774" s="6" t="s">
        <v>120</v>
      </c>
      <c r="J774" s="6" t="s">
        <v>143</v>
      </c>
      <c r="K774" s="19">
        <v>3</v>
      </c>
      <c r="L774" s="6" t="s">
        <v>176</v>
      </c>
      <c r="M774" s="6" t="s">
        <v>263</v>
      </c>
      <c r="N774" s="6" t="s">
        <v>29</v>
      </c>
      <c r="O774" s="6" t="s">
        <v>125</v>
      </c>
      <c r="P774" s="19">
        <v>27</v>
      </c>
    </row>
    <row r="775" spans="8:16" ht="15.75" customHeight="1" x14ac:dyDescent="0.3">
      <c r="H775" s="6" t="s">
        <v>197</v>
      </c>
      <c r="I775" s="6" t="s">
        <v>122</v>
      </c>
      <c r="J775" s="6" t="s">
        <v>144</v>
      </c>
      <c r="K775" s="19">
        <v>0</v>
      </c>
      <c r="L775" s="6" t="s">
        <v>176</v>
      </c>
      <c r="M775" s="6" t="s">
        <v>263</v>
      </c>
      <c r="N775" s="6" t="s">
        <v>135</v>
      </c>
      <c r="O775" s="6" t="s">
        <v>136</v>
      </c>
      <c r="P775" s="19">
        <v>0</v>
      </c>
    </row>
    <row r="776" spans="8:16" ht="15.75" customHeight="1" x14ac:dyDescent="0.3">
      <c r="H776" s="6" t="s">
        <v>197</v>
      </c>
      <c r="I776" s="6" t="s">
        <v>123</v>
      </c>
      <c r="J776" s="6" t="s">
        <v>145</v>
      </c>
      <c r="K776" s="19">
        <v>16</v>
      </c>
      <c r="L776" s="6" t="s">
        <v>176</v>
      </c>
      <c r="M776" s="6" t="s">
        <v>263</v>
      </c>
      <c r="N776" s="6" t="s">
        <v>138</v>
      </c>
      <c r="O776" s="6" t="s">
        <v>139</v>
      </c>
      <c r="P776" s="19">
        <v>1</v>
      </c>
    </row>
    <row r="777" spans="8:16" ht="15.75" customHeight="1" x14ac:dyDescent="0.3">
      <c r="H777" s="6" t="s">
        <v>197</v>
      </c>
      <c r="I777" s="6" t="s">
        <v>124</v>
      </c>
      <c r="J777" s="6" t="s">
        <v>146</v>
      </c>
      <c r="K777" s="19">
        <v>0</v>
      </c>
      <c r="L777" s="6" t="s">
        <v>176</v>
      </c>
      <c r="M777" s="6" t="s">
        <v>263</v>
      </c>
      <c r="N777" s="6" t="s">
        <v>30</v>
      </c>
      <c r="O777" s="6" t="s">
        <v>148</v>
      </c>
      <c r="P777" s="17">
        <v>49.8962</v>
      </c>
    </row>
    <row r="778" spans="8:16" ht="15.75" customHeight="1" x14ac:dyDescent="0.3">
      <c r="H778" s="6" t="s">
        <v>197</v>
      </c>
      <c r="I778" s="6" t="s">
        <v>126</v>
      </c>
      <c r="J778" s="6" t="s">
        <v>147</v>
      </c>
      <c r="K778" s="19">
        <v>3</v>
      </c>
      <c r="L778" s="6" t="s">
        <v>176</v>
      </c>
      <c r="M778" s="6" t="s">
        <v>263</v>
      </c>
      <c r="N778" s="6" t="s">
        <v>156</v>
      </c>
      <c r="O778" s="6" t="s">
        <v>157</v>
      </c>
      <c r="P778" s="19">
        <v>1</v>
      </c>
    </row>
    <row r="779" spans="8:16" ht="15.75" customHeight="1" x14ac:dyDescent="0.3">
      <c r="H779" s="6" t="s">
        <v>197</v>
      </c>
      <c r="I779" s="6" t="s">
        <v>127</v>
      </c>
      <c r="J779" s="6" t="s">
        <v>149</v>
      </c>
      <c r="K779" s="19">
        <v>16</v>
      </c>
      <c r="L779" s="6" t="s">
        <v>176</v>
      </c>
      <c r="M779" s="6" t="s">
        <v>263</v>
      </c>
      <c r="N779" s="6" t="s">
        <v>158</v>
      </c>
      <c r="O779" s="6" t="s">
        <v>159</v>
      </c>
      <c r="P779" s="19">
        <v>9</v>
      </c>
    </row>
    <row r="780" spans="8:16" ht="15.75" customHeight="1" x14ac:dyDescent="0.3">
      <c r="H780" s="6" t="s">
        <v>197</v>
      </c>
      <c r="I780" s="6" t="s">
        <v>128</v>
      </c>
      <c r="J780" s="6" t="s">
        <v>150</v>
      </c>
      <c r="K780" s="19">
        <v>0</v>
      </c>
      <c r="L780" s="6" t="s">
        <v>176</v>
      </c>
      <c r="M780" s="6" t="s">
        <v>263</v>
      </c>
      <c r="N780" s="6" t="s">
        <v>160</v>
      </c>
      <c r="O780" s="6" t="s">
        <v>161</v>
      </c>
      <c r="P780" s="19">
        <v>10</v>
      </c>
    </row>
    <row r="781" spans="8:16" ht="15.75" customHeight="1" x14ac:dyDescent="0.3">
      <c r="H781" s="6" t="s">
        <v>197</v>
      </c>
      <c r="I781" s="6" t="s">
        <v>129</v>
      </c>
      <c r="J781" s="6" t="s">
        <v>151</v>
      </c>
      <c r="K781" s="19">
        <v>0</v>
      </c>
      <c r="L781" s="6" t="s">
        <v>176</v>
      </c>
      <c r="M781" s="6" t="s">
        <v>263</v>
      </c>
      <c r="N781" s="6" t="s">
        <v>162</v>
      </c>
      <c r="O781" s="6" t="s">
        <v>163</v>
      </c>
      <c r="P781" s="19">
        <v>4</v>
      </c>
    </row>
    <row r="782" spans="8:16" ht="15.75" customHeight="1" x14ac:dyDescent="0.3">
      <c r="H782" s="6" t="s">
        <v>197</v>
      </c>
      <c r="I782" s="6" t="s">
        <v>130</v>
      </c>
      <c r="J782" s="6" t="s">
        <v>152</v>
      </c>
      <c r="K782" s="19">
        <v>27</v>
      </c>
      <c r="L782" s="6" t="s">
        <v>176</v>
      </c>
      <c r="M782" s="6" t="s">
        <v>263</v>
      </c>
      <c r="N782" s="6" t="s">
        <v>165</v>
      </c>
      <c r="O782" s="6" t="s">
        <v>166</v>
      </c>
      <c r="P782" s="19">
        <v>2</v>
      </c>
    </row>
    <row r="783" spans="8:16" ht="15.75" customHeight="1" x14ac:dyDescent="0.3">
      <c r="H783" s="6" t="s">
        <v>197</v>
      </c>
      <c r="I783" s="6" t="s">
        <v>131</v>
      </c>
      <c r="J783" s="6" t="s">
        <v>153</v>
      </c>
      <c r="K783" s="17">
        <v>0.33329999999999999</v>
      </c>
      <c r="L783" s="6" t="s">
        <v>177</v>
      </c>
      <c r="M783" s="6" t="s">
        <v>288</v>
      </c>
      <c r="N783" s="6" t="s">
        <v>72</v>
      </c>
      <c r="O783" s="6" t="s">
        <v>75</v>
      </c>
      <c r="P783" s="19">
        <v>1</v>
      </c>
    </row>
    <row r="784" spans="8:16" ht="15.75" customHeight="1" x14ac:dyDescent="0.3">
      <c r="H784" s="6" t="s">
        <v>197</v>
      </c>
      <c r="I784" s="6" t="s">
        <v>133</v>
      </c>
      <c r="J784" s="6" t="s">
        <v>154</v>
      </c>
      <c r="K784" s="19">
        <v>1</v>
      </c>
      <c r="L784" s="6" t="s">
        <v>177</v>
      </c>
      <c r="M784" s="6" t="s">
        <v>288</v>
      </c>
      <c r="N784" s="6" t="s">
        <v>83</v>
      </c>
      <c r="O784" s="6" t="s">
        <v>84</v>
      </c>
      <c r="P784" s="19">
        <v>0</v>
      </c>
    </row>
    <row r="785" spans="8:16" ht="15.75" customHeight="1" x14ac:dyDescent="0.3">
      <c r="H785" s="6" t="s">
        <v>197</v>
      </c>
      <c r="I785" s="6" t="s">
        <v>134</v>
      </c>
      <c r="J785" s="6" t="s">
        <v>155</v>
      </c>
      <c r="K785" s="19">
        <v>35</v>
      </c>
      <c r="L785" s="6" t="s">
        <v>177</v>
      </c>
      <c r="M785" s="6" t="s">
        <v>288</v>
      </c>
      <c r="N785" s="6" t="s">
        <v>88</v>
      </c>
      <c r="O785" s="6" t="s">
        <v>90</v>
      </c>
      <c r="P785" s="17">
        <v>0.2</v>
      </c>
    </row>
    <row r="786" spans="8:16" ht="15.75" customHeight="1" x14ac:dyDescent="0.3">
      <c r="H786" s="6" t="s">
        <v>198</v>
      </c>
      <c r="I786" s="6" t="s">
        <v>58</v>
      </c>
      <c r="J786" s="6" t="s">
        <v>60</v>
      </c>
      <c r="K786" s="19">
        <v>0</v>
      </c>
      <c r="L786" s="6" t="s">
        <v>177</v>
      </c>
      <c r="M786" s="6" t="s">
        <v>288</v>
      </c>
      <c r="N786" s="6" t="s">
        <v>96</v>
      </c>
      <c r="O786" s="6" t="s">
        <v>97</v>
      </c>
      <c r="P786" s="19">
        <v>1</v>
      </c>
    </row>
    <row r="787" spans="8:16" ht="15.75" customHeight="1" x14ac:dyDescent="0.3">
      <c r="H787" s="6" t="s">
        <v>198</v>
      </c>
      <c r="I787" s="6" t="s">
        <v>72</v>
      </c>
      <c r="J787" s="6" t="s">
        <v>82</v>
      </c>
      <c r="K787" s="19">
        <v>0</v>
      </c>
      <c r="L787" s="6" t="s">
        <v>177</v>
      </c>
      <c r="M787" s="6" t="s">
        <v>288</v>
      </c>
      <c r="N787" s="6" t="s">
        <v>100</v>
      </c>
      <c r="O787" s="6" t="s">
        <v>101</v>
      </c>
      <c r="P787" s="19">
        <v>1</v>
      </c>
    </row>
    <row r="788" spans="8:16" ht="15.75" customHeight="1" x14ac:dyDescent="0.3">
      <c r="H788" s="6" t="s">
        <v>198</v>
      </c>
      <c r="I788" s="6" t="s">
        <v>85</v>
      </c>
      <c r="J788" s="6" t="s">
        <v>86</v>
      </c>
      <c r="K788" s="19">
        <v>0</v>
      </c>
      <c r="L788" s="6" t="s">
        <v>177</v>
      </c>
      <c r="M788" s="6" t="s">
        <v>288</v>
      </c>
      <c r="N788" s="6" t="s">
        <v>22</v>
      </c>
      <c r="O788" s="6" t="s">
        <v>104</v>
      </c>
      <c r="P788" s="17">
        <v>8.125</v>
      </c>
    </row>
    <row r="789" spans="8:16" ht="15.75" customHeight="1" x14ac:dyDescent="0.3">
      <c r="H789" s="6" t="s">
        <v>198</v>
      </c>
      <c r="I789" s="6" t="s">
        <v>93</v>
      </c>
      <c r="J789" s="6" t="s">
        <v>94</v>
      </c>
      <c r="K789" s="19">
        <v>0</v>
      </c>
      <c r="L789" s="6" t="s">
        <v>177</v>
      </c>
      <c r="M789" s="6" t="s">
        <v>288</v>
      </c>
      <c r="N789" s="6" t="s">
        <v>23</v>
      </c>
      <c r="O789" s="6" t="s">
        <v>107</v>
      </c>
      <c r="P789" s="17">
        <v>982.53859999999997</v>
      </c>
    </row>
    <row r="790" spans="8:16" ht="15.75" customHeight="1" x14ac:dyDescent="0.3">
      <c r="H790" s="6" t="s">
        <v>198</v>
      </c>
      <c r="I790" s="6" t="s">
        <v>98</v>
      </c>
      <c r="J790" s="6" t="s">
        <v>99</v>
      </c>
      <c r="K790" s="19">
        <v>1</v>
      </c>
      <c r="L790" s="6" t="s">
        <v>177</v>
      </c>
      <c r="M790" s="6" t="s">
        <v>288</v>
      </c>
      <c r="N790" s="6" t="s">
        <v>24</v>
      </c>
      <c r="O790" s="6" t="s">
        <v>109</v>
      </c>
      <c r="P790" s="17">
        <v>3.2899999999999999E-2</v>
      </c>
    </row>
    <row r="791" spans="8:16" ht="15.75" customHeight="1" x14ac:dyDescent="0.3">
      <c r="H791" s="6" t="s">
        <v>198</v>
      </c>
      <c r="I791" s="6" t="s">
        <v>22</v>
      </c>
      <c r="J791" s="6" t="s">
        <v>103</v>
      </c>
      <c r="K791" s="17">
        <v>2.5</v>
      </c>
      <c r="L791" s="6" t="s">
        <v>177</v>
      </c>
      <c r="M791" s="6" t="s">
        <v>288</v>
      </c>
      <c r="N791" s="6" t="s">
        <v>25</v>
      </c>
      <c r="O791" s="6" t="s">
        <v>111</v>
      </c>
      <c r="P791" s="19">
        <v>29</v>
      </c>
    </row>
    <row r="792" spans="8:16" ht="15.75" customHeight="1" x14ac:dyDescent="0.3">
      <c r="H792" s="6" t="s">
        <v>198</v>
      </c>
      <c r="I792" s="6" t="s">
        <v>23</v>
      </c>
      <c r="J792" s="6" t="s">
        <v>106</v>
      </c>
      <c r="K792" s="17">
        <v>51.699300000000001</v>
      </c>
      <c r="L792" s="6" t="s">
        <v>177</v>
      </c>
      <c r="M792" s="6" t="s">
        <v>288</v>
      </c>
      <c r="N792" s="6" t="s">
        <v>26</v>
      </c>
      <c r="O792" s="6" t="s">
        <v>113</v>
      </c>
      <c r="P792" s="19">
        <v>18</v>
      </c>
    </row>
    <row r="793" spans="8:16" ht="15.75" customHeight="1" x14ac:dyDescent="0.3">
      <c r="H793" s="6" t="s">
        <v>198</v>
      </c>
      <c r="I793" s="6" t="s">
        <v>24</v>
      </c>
      <c r="J793" s="6" t="s">
        <v>108</v>
      </c>
      <c r="K793" s="17">
        <v>4.5999999999999999E-3</v>
      </c>
      <c r="L793" s="6" t="s">
        <v>177</v>
      </c>
      <c r="M793" s="6" t="s">
        <v>288</v>
      </c>
      <c r="N793" s="6" t="s">
        <v>27</v>
      </c>
      <c r="O793" s="6" t="s">
        <v>117</v>
      </c>
      <c r="P793" s="17">
        <v>120.9278</v>
      </c>
    </row>
    <row r="794" spans="8:16" ht="15.75" customHeight="1" x14ac:dyDescent="0.3">
      <c r="H794" s="6" t="s">
        <v>198</v>
      </c>
      <c r="I794" s="6" t="s">
        <v>25</v>
      </c>
      <c r="J794" s="6" t="s">
        <v>110</v>
      </c>
      <c r="K794" s="19">
        <v>8</v>
      </c>
      <c r="L794" s="6" t="s">
        <v>177</v>
      </c>
      <c r="M794" s="6" t="s">
        <v>288</v>
      </c>
      <c r="N794" s="6" t="s">
        <v>29</v>
      </c>
      <c r="O794" s="6" t="s">
        <v>125</v>
      </c>
      <c r="P794" s="19">
        <v>23</v>
      </c>
    </row>
    <row r="795" spans="8:16" ht="15.75" customHeight="1" x14ac:dyDescent="0.3">
      <c r="H795" s="6" t="s">
        <v>198</v>
      </c>
      <c r="I795" s="6" t="s">
        <v>26</v>
      </c>
      <c r="J795" s="6" t="s">
        <v>112</v>
      </c>
      <c r="K795" s="19">
        <v>6</v>
      </c>
      <c r="L795" s="6" t="s">
        <v>177</v>
      </c>
      <c r="M795" s="6" t="s">
        <v>288</v>
      </c>
      <c r="N795" s="6" t="s">
        <v>135</v>
      </c>
      <c r="O795" s="6" t="s">
        <v>136</v>
      </c>
      <c r="P795" s="19">
        <v>0</v>
      </c>
    </row>
    <row r="796" spans="8:16" ht="15.75" customHeight="1" x14ac:dyDescent="0.3">
      <c r="H796" s="6" t="s">
        <v>198</v>
      </c>
      <c r="I796" s="6" t="s">
        <v>27</v>
      </c>
      <c r="J796" s="6" t="s">
        <v>114</v>
      </c>
      <c r="K796" s="17">
        <v>20.6797</v>
      </c>
      <c r="L796" s="6" t="s">
        <v>177</v>
      </c>
      <c r="M796" s="6" t="s">
        <v>288</v>
      </c>
      <c r="N796" s="6" t="s">
        <v>138</v>
      </c>
      <c r="O796" s="6" t="s">
        <v>139</v>
      </c>
      <c r="P796" s="19">
        <v>0</v>
      </c>
    </row>
    <row r="797" spans="8:16" ht="15.75" customHeight="1" x14ac:dyDescent="0.3">
      <c r="H797" s="6" t="s">
        <v>198</v>
      </c>
      <c r="I797" s="6" t="s">
        <v>115</v>
      </c>
      <c r="J797" s="6" t="s">
        <v>121</v>
      </c>
      <c r="K797" s="19">
        <v>1</v>
      </c>
      <c r="L797" s="6" t="s">
        <v>177</v>
      </c>
      <c r="M797" s="6" t="s">
        <v>288</v>
      </c>
      <c r="N797" s="6" t="s">
        <v>30</v>
      </c>
      <c r="O797" s="6" t="s">
        <v>148</v>
      </c>
      <c r="P797" s="17">
        <v>55.520400000000002</v>
      </c>
    </row>
    <row r="798" spans="8:16" ht="15.75" customHeight="1" x14ac:dyDescent="0.3">
      <c r="H798" s="6" t="s">
        <v>198</v>
      </c>
      <c r="I798" s="6" t="s">
        <v>116</v>
      </c>
      <c r="J798" s="6" t="s">
        <v>132</v>
      </c>
      <c r="K798" s="19">
        <v>3</v>
      </c>
      <c r="L798" s="6" t="s">
        <v>177</v>
      </c>
      <c r="M798" s="6" t="s">
        <v>288</v>
      </c>
      <c r="N798" s="6" t="s">
        <v>156</v>
      </c>
      <c r="O798" s="6" t="s">
        <v>157</v>
      </c>
      <c r="P798" s="19">
        <v>1</v>
      </c>
    </row>
    <row r="799" spans="8:16" ht="15.75" customHeight="1" x14ac:dyDescent="0.3">
      <c r="H799" s="6" t="s">
        <v>198</v>
      </c>
      <c r="I799" s="6" t="s">
        <v>30</v>
      </c>
      <c r="J799" s="6" t="s">
        <v>137</v>
      </c>
      <c r="K799" s="17">
        <v>80.482299999999995</v>
      </c>
      <c r="L799" s="6" t="s">
        <v>177</v>
      </c>
      <c r="M799" s="6" t="s">
        <v>288</v>
      </c>
      <c r="N799" s="6" t="s">
        <v>158</v>
      </c>
      <c r="O799" s="6" t="s">
        <v>159</v>
      </c>
      <c r="P799" s="19">
        <v>5</v>
      </c>
    </row>
    <row r="800" spans="8:16" ht="15.75" customHeight="1" x14ac:dyDescent="0.3">
      <c r="H800" s="6" t="s">
        <v>198</v>
      </c>
      <c r="I800" s="6" t="s">
        <v>118</v>
      </c>
      <c r="J800" s="6" t="s">
        <v>140</v>
      </c>
      <c r="K800" s="19">
        <v>1</v>
      </c>
      <c r="L800" s="6" t="s">
        <v>177</v>
      </c>
      <c r="M800" s="6" t="s">
        <v>288</v>
      </c>
      <c r="N800" s="6" t="s">
        <v>160</v>
      </c>
      <c r="O800" s="6" t="s">
        <v>161</v>
      </c>
      <c r="P800" s="19">
        <v>6</v>
      </c>
    </row>
    <row r="801" spans="8:16" ht="15.75" customHeight="1" x14ac:dyDescent="0.3">
      <c r="H801" s="6" t="s">
        <v>198</v>
      </c>
      <c r="I801" s="6" t="s">
        <v>31</v>
      </c>
      <c r="J801" s="6" t="s">
        <v>141</v>
      </c>
      <c r="K801" s="19">
        <v>1</v>
      </c>
      <c r="L801" s="6" t="s">
        <v>177</v>
      </c>
      <c r="M801" s="6" t="s">
        <v>288</v>
      </c>
      <c r="N801" s="6" t="s">
        <v>162</v>
      </c>
      <c r="O801" s="6" t="s">
        <v>163</v>
      </c>
      <c r="P801" s="19">
        <v>0</v>
      </c>
    </row>
    <row r="802" spans="8:16" ht="15.75" customHeight="1" x14ac:dyDescent="0.3">
      <c r="H802" s="6" t="s">
        <v>198</v>
      </c>
      <c r="I802" s="6" t="s">
        <v>119</v>
      </c>
      <c r="J802" s="6" t="s">
        <v>142</v>
      </c>
      <c r="K802" s="19">
        <v>0</v>
      </c>
      <c r="L802" s="6" t="s">
        <v>177</v>
      </c>
      <c r="M802" s="6" t="s">
        <v>288</v>
      </c>
      <c r="N802" s="6" t="s">
        <v>165</v>
      </c>
      <c r="O802" s="6" t="s">
        <v>166</v>
      </c>
      <c r="P802" s="19">
        <v>2</v>
      </c>
    </row>
    <row r="803" spans="8:16" ht="15.75" customHeight="1" x14ac:dyDescent="0.3">
      <c r="H803" s="6" t="s">
        <v>198</v>
      </c>
      <c r="I803" s="6" t="s">
        <v>120</v>
      </c>
      <c r="J803" s="6" t="s">
        <v>143</v>
      </c>
      <c r="K803" s="19">
        <v>1</v>
      </c>
      <c r="L803" s="6" t="s">
        <v>177</v>
      </c>
      <c r="M803" s="6" t="s">
        <v>292</v>
      </c>
      <c r="N803" s="6" t="s">
        <v>72</v>
      </c>
      <c r="O803" s="6" t="s">
        <v>75</v>
      </c>
      <c r="P803" s="19">
        <v>1</v>
      </c>
    </row>
    <row r="804" spans="8:16" ht="15.75" customHeight="1" x14ac:dyDescent="0.3">
      <c r="H804" s="6" t="s">
        <v>198</v>
      </c>
      <c r="I804" s="6" t="s">
        <v>122</v>
      </c>
      <c r="J804" s="6" t="s">
        <v>144</v>
      </c>
      <c r="K804" s="19">
        <v>0</v>
      </c>
      <c r="L804" s="6" t="s">
        <v>177</v>
      </c>
      <c r="M804" s="6" t="s">
        <v>292</v>
      </c>
      <c r="N804" s="6" t="s">
        <v>83</v>
      </c>
      <c r="O804" s="6" t="s">
        <v>84</v>
      </c>
      <c r="P804" s="19">
        <v>0</v>
      </c>
    </row>
    <row r="805" spans="8:16" ht="15.75" customHeight="1" x14ac:dyDescent="0.3">
      <c r="H805" s="6" t="s">
        <v>198</v>
      </c>
      <c r="I805" s="6" t="s">
        <v>123</v>
      </c>
      <c r="J805" s="6" t="s">
        <v>145</v>
      </c>
      <c r="K805" s="19">
        <v>14</v>
      </c>
      <c r="L805" s="6" t="s">
        <v>177</v>
      </c>
      <c r="M805" s="6" t="s">
        <v>292</v>
      </c>
      <c r="N805" s="6" t="s">
        <v>88</v>
      </c>
      <c r="O805" s="6" t="s">
        <v>90</v>
      </c>
      <c r="P805" s="17">
        <v>0.75</v>
      </c>
    </row>
    <row r="806" spans="8:16" ht="15.75" customHeight="1" x14ac:dyDescent="0.3">
      <c r="H806" s="6" t="s">
        <v>198</v>
      </c>
      <c r="I806" s="6" t="s">
        <v>124</v>
      </c>
      <c r="J806" s="6" t="s">
        <v>146</v>
      </c>
      <c r="K806" s="19">
        <v>0</v>
      </c>
      <c r="L806" s="6" t="s">
        <v>177</v>
      </c>
      <c r="M806" s="6" t="s">
        <v>292</v>
      </c>
      <c r="N806" s="6" t="s">
        <v>96</v>
      </c>
      <c r="O806" s="6" t="s">
        <v>97</v>
      </c>
      <c r="P806" s="19">
        <v>4</v>
      </c>
    </row>
    <row r="807" spans="8:16" ht="15.75" customHeight="1" x14ac:dyDescent="0.3">
      <c r="H807" s="6" t="s">
        <v>198</v>
      </c>
      <c r="I807" s="6" t="s">
        <v>126</v>
      </c>
      <c r="J807" s="6" t="s">
        <v>147</v>
      </c>
      <c r="K807" s="19">
        <v>1</v>
      </c>
      <c r="L807" s="6" t="s">
        <v>177</v>
      </c>
      <c r="M807" s="6" t="s">
        <v>292</v>
      </c>
      <c r="N807" s="6" t="s">
        <v>100</v>
      </c>
      <c r="O807" s="6" t="s">
        <v>101</v>
      </c>
      <c r="P807" s="19">
        <v>0</v>
      </c>
    </row>
    <row r="808" spans="8:16" ht="15.75" customHeight="1" x14ac:dyDescent="0.3">
      <c r="H808" s="6" t="s">
        <v>198</v>
      </c>
      <c r="I808" s="6" t="s">
        <v>127</v>
      </c>
      <c r="J808" s="6" t="s">
        <v>149</v>
      </c>
      <c r="K808" s="19">
        <v>14</v>
      </c>
      <c r="L808" s="6" t="s">
        <v>177</v>
      </c>
      <c r="M808" s="6" t="s">
        <v>292</v>
      </c>
      <c r="N808" s="6" t="s">
        <v>22</v>
      </c>
      <c r="O808" s="6" t="s">
        <v>104</v>
      </c>
      <c r="P808" s="17">
        <v>15.166700000000001</v>
      </c>
    </row>
    <row r="809" spans="8:16" ht="15.75" customHeight="1" x14ac:dyDescent="0.3">
      <c r="H809" s="6" t="s">
        <v>198</v>
      </c>
      <c r="I809" s="6" t="s">
        <v>128</v>
      </c>
      <c r="J809" s="6" t="s">
        <v>150</v>
      </c>
      <c r="K809" s="19">
        <v>0</v>
      </c>
      <c r="L809" s="6" t="s">
        <v>177</v>
      </c>
      <c r="M809" s="6" t="s">
        <v>292</v>
      </c>
      <c r="N809" s="6" t="s">
        <v>23</v>
      </c>
      <c r="O809" s="6" t="s">
        <v>107</v>
      </c>
      <c r="P809" s="17">
        <v>2512.6491000000001</v>
      </c>
    </row>
    <row r="810" spans="8:16" ht="15.75" customHeight="1" x14ac:dyDescent="0.3">
      <c r="H810" s="6" t="s">
        <v>198</v>
      </c>
      <c r="I810" s="6" t="s">
        <v>129</v>
      </c>
      <c r="J810" s="6" t="s">
        <v>151</v>
      </c>
      <c r="K810" s="19">
        <v>0</v>
      </c>
      <c r="L810" s="6" t="s">
        <v>177</v>
      </c>
      <c r="M810" s="6" t="s">
        <v>292</v>
      </c>
      <c r="N810" s="6" t="s">
        <v>24</v>
      </c>
      <c r="O810" s="6" t="s">
        <v>109</v>
      </c>
      <c r="P810" s="17">
        <v>6.1600000000000002E-2</v>
      </c>
    </row>
    <row r="811" spans="8:16" ht="15.75" customHeight="1" x14ac:dyDescent="0.3">
      <c r="H811" s="6" t="s">
        <v>198</v>
      </c>
      <c r="I811" s="6" t="s">
        <v>130</v>
      </c>
      <c r="J811" s="6" t="s">
        <v>152</v>
      </c>
      <c r="K811" s="19">
        <v>2</v>
      </c>
      <c r="L811" s="6" t="s">
        <v>177</v>
      </c>
      <c r="M811" s="6" t="s">
        <v>292</v>
      </c>
      <c r="N811" s="6" t="s">
        <v>25</v>
      </c>
      <c r="O811" s="6" t="s">
        <v>111</v>
      </c>
      <c r="P811" s="19">
        <v>39</v>
      </c>
    </row>
    <row r="812" spans="8:16" ht="15.75" customHeight="1" x14ac:dyDescent="0.3">
      <c r="H812" s="6" t="s">
        <v>198</v>
      </c>
      <c r="I812" s="6" t="s">
        <v>131</v>
      </c>
      <c r="J812" s="6" t="s">
        <v>153</v>
      </c>
      <c r="K812" s="19">
        <v>0</v>
      </c>
      <c r="L812" s="6" t="s">
        <v>177</v>
      </c>
      <c r="M812" s="6" t="s">
        <v>292</v>
      </c>
      <c r="N812" s="6" t="s">
        <v>26</v>
      </c>
      <c r="O812" s="6" t="s">
        <v>113</v>
      </c>
      <c r="P812" s="19">
        <v>19</v>
      </c>
    </row>
    <row r="813" spans="8:16" ht="15.75" customHeight="1" x14ac:dyDescent="0.3">
      <c r="H813" s="6" t="s">
        <v>198</v>
      </c>
      <c r="I813" s="6" t="s">
        <v>133</v>
      </c>
      <c r="J813" s="6" t="s">
        <v>154</v>
      </c>
      <c r="K813" s="19">
        <v>1</v>
      </c>
      <c r="L813" s="6" t="s">
        <v>177</v>
      </c>
      <c r="M813" s="6" t="s">
        <v>292</v>
      </c>
      <c r="N813" s="6" t="s">
        <v>27</v>
      </c>
      <c r="O813" s="6" t="s">
        <v>117</v>
      </c>
      <c r="P813" s="17">
        <v>165.66919999999999</v>
      </c>
    </row>
    <row r="814" spans="8:16" ht="15.75" customHeight="1" x14ac:dyDescent="0.3">
      <c r="H814" s="6" t="s">
        <v>198</v>
      </c>
      <c r="I814" s="6" t="s">
        <v>134</v>
      </c>
      <c r="J814" s="6" t="s">
        <v>155</v>
      </c>
      <c r="K814" s="19">
        <v>1</v>
      </c>
      <c r="L814" s="6" t="s">
        <v>177</v>
      </c>
      <c r="M814" s="6" t="s">
        <v>292</v>
      </c>
      <c r="N814" s="6" t="s">
        <v>29</v>
      </c>
      <c r="O814" s="6" t="s">
        <v>125</v>
      </c>
      <c r="P814" s="19">
        <v>12</v>
      </c>
    </row>
    <row r="815" spans="8:16" ht="15.75" customHeight="1" x14ac:dyDescent="0.3">
      <c r="H815" s="6" t="s">
        <v>199</v>
      </c>
      <c r="I815" s="6" t="s">
        <v>58</v>
      </c>
      <c r="J815" s="6" t="s">
        <v>60</v>
      </c>
      <c r="K815" s="19">
        <v>7</v>
      </c>
      <c r="L815" s="6" t="s">
        <v>177</v>
      </c>
      <c r="M815" s="6" t="s">
        <v>292</v>
      </c>
      <c r="N815" s="6" t="s">
        <v>135</v>
      </c>
      <c r="O815" s="6" t="s">
        <v>136</v>
      </c>
      <c r="P815" s="19">
        <v>0</v>
      </c>
    </row>
    <row r="816" spans="8:16" ht="15.75" customHeight="1" x14ac:dyDescent="0.3">
      <c r="H816" s="6" t="s">
        <v>199</v>
      </c>
      <c r="I816" s="6" t="s">
        <v>72</v>
      </c>
      <c r="J816" s="6" t="s">
        <v>82</v>
      </c>
      <c r="K816" s="19">
        <v>11</v>
      </c>
      <c r="L816" s="6" t="s">
        <v>177</v>
      </c>
      <c r="M816" s="6" t="s">
        <v>292</v>
      </c>
      <c r="N816" s="6" t="s">
        <v>138</v>
      </c>
      <c r="O816" s="6" t="s">
        <v>139</v>
      </c>
      <c r="P816" s="19">
        <v>1</v>
      </c>
    </row>
    <row r="817" spans="8:16" ht="15.75" customHeight="1" x14ac:dyDescent="0.3">
      <c r="H817" s="6" t="s">
        <v>199</v>
      </c>
      <c r="I817" s="6" t="s">
        <v>85</v>
      </c>
      <c r="J817" s="6" t="s">
        <v>86</v>
      </c>
      <c r="K817" s="19">
        <v>10</v>
      </c>
      <c r="L817" s="6" t="s">
        <v>177</v>
      </c>
      <c r="M817" s="6" t="s">
        <v>292</v>
      </c>
      <c r="N817" s="6" t="s">
        <v>30</v>
      </c>
      <c r="O817" s="6" t="s">
        <v>148</v>
      </c>
      <c r="P817" s="17">
        <v>60.838700000000003</v>
      </c>
    </row>
    <row r="818" spans="8:16" ht="15.75" customHeight="1" x14ac:dyDescent="0.3">
      <c r="H818" s="6" t="s">
        <v>199</v>
      </c>
      <c r="I818" s="6" t="s">
        <v>93</v>
      </c>
      <c r="J818" s="6" t="s">
        <v>94</v>
      </c>
      <c r="K818" s="19">
        <v>2</v>
      </c>
      <c r="L818" s="6" t="s">
        <v>177</v>
      </c>
      <c r="M818" s="6" t="s">
        <v>292</v>
      </c>
      <c r="N818" s="6" t="s">
        <v>156</v>
      </c>
      <c r="O818" s="6" t="s">
        <v>157</v>
      </c>
      <c r="P818" s="19">
        <v>1</v>
      </c>
    </row>
    <row r="819" spans="8:16" ht="15.75" customHeight="1" x14ac:dyDescent="0.3">
      <c r="H819" s="6" t="s">
        <v>199</v>
      </c>
      <c r="I819" s="6" t="s">
        <v>98</v>
      </c>
      <c r="J819" s="6" t="s">
        <v>99</v>
      </c>
      <c r="K819" s="19">
        <v>1</v>
      </c>
      <c r="L819" s="6" t="s">
        <v>177</v>
      </c>
      <c r="M819" s="6" t="s">
        <v>292</v>
      </c>
      <c r="N819" s="6" t="s">
        <v>158</v>
      </c>
      <c r="O819" s="6" t="s">
        <v>159</v>
      </c>
      <c r="P819" s="19">
        <v>2</v>
      </c>
    </row>
    <row r="820" spans="8:16" ht="15.75" customHeight="1" x14ac:dyDescent="0.3">
      <c r="H820" s="6" t="s">
        <v>199</v>
      </c>
      <c r="I820" s="6" t="s">
        <v>22</v>
      </c>
      <c r="J820" s="6" t="s">
        <v>103</v>
      </c>
      <c r="K820" s="17">
        <v>52.854500000000002</v>
      </c>
      <c r="L820" s="6" t="s">
        <v>177</v>
      </c>
      <c r="M820" s="6" t="s">
        <v>292</v>
      </c>
      <c r="N820" s="6" t="s">
        <v>160</v>
      </c>
      <c r="O820" s="6" t="s">
        <v>161</v>
      </c>
      <c r="P820" s="19">
        <v>2</v>
      </c>
    </row>
    <row r="821" spans="8:16" ht="15.75" customHeight="1" x14ac:dyDescent="0.3">
      <c r="H821" s="6" t="s">
        <v>199</v>
      </c>
      <c r="I821" s="6" t="s">
        <v>23</v>
      </c>
      <c r="J821" s="6" t="s">
        <v>106</v>
      </c>
      <c r="K821" s="17">
        <v>76277.525800000003</v>
      </c>
      <c r="L821" s="6" t="s">
        <v>177</v>
      </c>
      <c r="M821" s="6" t="s">
        <v>292</v>
      </c>
      <c r="N821" s="6" t="s">
        <v>162</v>
      </c>
      <c r="O821" s="6" t="s">
        <v>163</v>
      </c>
      <c r="P821" s="19">
        <v>1</v>
      </c>
    </row>
    <row r="822" spans="8:16" ht="15.75" customHeight="1" x14ac:dyDescent="0.3">
      <c r="H822" s="6" t="s">
        <v>199</v>
      </c>
      <c r="I822" s="6" t="s">
        <v>24</v>
      </c>
      <c r="J822" s="6" t="s">
        <v>108</v>
      </c>
      <c r="K822" s="17">
        <v>0.59950000000000003</v>
      </c>
      <c r="L822" s="6" t="s">
        <v>177</v>
      </c>
      <c r="M822" s="6" t="s">
        <v>292</v>
      </c>
      <c r="N822" s="6" t="s">
        <v>165</v>
      </c>
      <c r="O822" s="6" t="s">
        <v>166</v>
      </c>
      <c r="P822" s="19">
        <v>1</v>
      </c>
    </row>
    <row r="823" spans="8:16" ht="15.75" customHeight="1" x14ac:dyDescent="0.3">
      <c r="H823" s="6" t="s">
        <v>199</v>
      </c>
      <c r="I823" s="6" t="s">
        <v>25</v>
      </c>
      <c r="J823" s="6" t="s">
        <v>110</v>
      </c>
      <c r="K823" s="19">
        <v>212</v>
      </c>
      <c r="L823" s="6" t="s">
        <v>177</v>
      </c>
      <c r="M823" s="6" t="s">
        <v>294</v>
      </c>
      <c r="N823" s="6" t="s">
        <v>72</v>
      </c>
      <c r="O823" s="6" t="s">
        <v>75</v>
      </c>
      <c r="P823" s="19">
        <v>1</v>
      </c>
    </row>
    <row r="824" spans="8:16" ht="15.75" customHeight="1" x14ac:dyDescent="0.3">
      <c r="H824" s="6" t="s">
        <v>199</v>
      </c>
      <c r="I824" s="6" t="s">
        <v>26</v>
      </c>
      <c r="J824" s="6" t="s">
        <v>112</v>
      </c>
      <c r="K824" s="19">
        <v>112</v>
      </c>
      <c r="L824" s="6" t="s">
        <v>177</v>
      </c>
      <c r="M824" s="6" t="s">
        <v>294</v>
      </c>
      <c r="N824" s="6" t="s">
        <v>83</v>
      </c>
      <c r="O824" s="6" t="s">
        <v>84</v>
      </c>
      <c r="P824" s="19">
        <v>0</v>
      </c>
    </row>
    <row r="825" spans="8:16" ht="15.75" customHeight="1" x14ac:dyDescent="0.3">
      <c r="H825" s="6" t="s">
        <v>199</v>
      </c>
      <c r="I825" s="6" t="s">
        <v>27</v>
      </c>
      <c r="J825" s="6" t="s">
        <v>114</v>
      </c>
      <c r="K825" s="17">
        <v>1443.1592000000001</v>
      </c>
      <c r="L825" s="6" t="s">
        <v>177</v>
      </c>
      <c r="M825" s="6" t="s">
        <v>294</v>
      </c>
      <c r="N825" s="6" t="s">
        <v>88</v>
      </c>
      <c r="O825" s="6" t="s">
        <v>90</v>
      </c>
      <c r="P825" s="17">
        <v>0.75</v>
      </c>
    </row>
    <row r="826" spans="8:16" ht="15.75" customHeight="1" x14ac:dyDescent="0.3">
      <c r="H826" s="6" t="s">
        <v>199</v>
      </c>
      <c r="I826" s="6" t="s">
        <v>115</v>
      </c>
      <c r="J826" s="6" t="s">
        <v>121</v>
      </c>
      <c r="K826" s="19">
        <v>1</v>
      </c>
      <c r="L826" s="6" t="s">
        <v>177</v>
      </c>
      <c r="M826" s="6" t="s">
        <v>294</v>
      </c>
      <c r="N826" s="6" t="s">
        <v>96</v>
      </c>
      <c r="O826" s="6" t="s">
        <v>97</v>
      </c>
      <c r="P826" s="19">
        <v>4</v>
      </c>
    </row>
    <row r="827" spans="8:16" ht="15.75" customHeight="1" x14ac:dyDescent="0.3">
      <c r="H827" s="6" t="s">
        <v>199</v>
      </c>
      <c r="I827" s="6" t="s">
        <v>116</v>
      </c>
      <c r="J827" s="6" t="s">
        <v>132</v>
      </c>
      <c r="K827" s="19">
        <v>88</v>
      </c>
      <c r="L827" s="6" t="s">
        <v>177</v>
      </c>
      <c r="M827" s="6" t="s">
        <v>294</v>
      </c>
      <c r="N827" s="6" t="s">
        <v>100</v>
      </c>
      <c r="O827" s="6" t="s">
        <v>101</v>
      </c>
      <c r="P827" s="19">
        <v>0</v>
      </c>
    </row>
    <row r="828" spans="8:16" ht="15.75" customHeight="1" x14ac:dyDescent="0.3">
      <c r="H828" s="6" t="s">
        <v>199</v>
      </c>
      <c r="I828" s="6" t="s">
        <v>30</v>
      </c>
      <c r="J828" s="6" t="s">
        <v>137</v>
      </c>
      <c r="K828" s="17">
        <v>35.106900000000003</v>
      </c>
      <c r="L828" s="6" t="s">
        <v>177</v>
      </c>
      <c r="M828" s="6" t="s">
        <v>294</v>
      </c>
      <c r="N828" s="6" t="s">
        <v>22</v>
      </c>
      <c r="O828" s="6" t="s">
        <v>104</v>
      </c>
      <c r="P828" s="19">
        <v>15</v>
      </c>
    </row>
    <row r="829" spans="8:16" ht="15.75" customHeight="1" x14ac:dyDescent="0.3">
      <c r="H829" s="6" t="s">
        <v>199</v>
      </c>
      <c r="I829" s="6" t="s">
        <v>118</v>
      </c>
      <c r="J829" s="6" t="s">
        <v>140</v>
      </c>
      <c r="K829" s="19">
        <v>53</v>
      </c>
      <c r="L829" s="6" t="s">
        <v>177</v>
      </c>
      <c r="M829" s="6" t="s">
        <v>294</v>
      </c>
      <c r="N829" s="6" t="s">
        <v>23</v>
      </c>
      <c r="O829" s="6" t="s">
        <v>107</v>
      </c>
      <c r="P829" s="17">
        <v>2564.5039000000002</v>
      </c>
    </row>
    <row r="830" spans="8:16" ht="15.75" customHeight="1" x14ac:dyDescent="0.3">
      <c r="H830" s="6" t="s">
        <v>199</v>
      </c>
      <c r="I830" s="6" t="s">
        <v>31</v>
      </c>
      <c r="J830" s="6" t="s">
        <v>141</v>
      </c>
      <c r="K830" s="19">
        <v>51</v>
      </c>
      <c r="L830" s="6" t="s">
        <v>177</v>
      </c>
      <c r="M830" s="6" t="s">
        <v>294</v>
      </c>
      <c r="N830" s="6" t="s">
        <v>24</v>
      </c>
      <c r="O830" s="6" t="s">
        <v>109</v>
      </c>
      <c r="P830" s="17">
        <v>6.25E-2</v>
      </c>
    </row>
    <row r="831" spans="8:16" ht="15.75" customHeight="1" x14ac:dyDescent="0.3">
      <c r="H831" s="6" t="s">
        <v>199</v>
      </c>
      <c r="I831" s="6" t="s">
        <v>119</v>
      </c>
      <c r="J831" s="6" t="s">
        <v>142</v>
      </c>
      <c r="K831" s="19">
        <v>0</v>
      </c>
      <c r="L831" s="6" t="s">
        <v>177</v>
      </c>
      <c r="M831" s="6" t="s">
        <v>294</v>
      </c>
      <c r="N831" s="6" t="s">
        <v>25</v>
      </c>
      <c r="O831" s="6" t="s">
        <v>111</v>
      </c>
      <c r="P831" s="19">
        <v>41</v>
      </c>
    </row>
    <row r="832" spans="8:16" ht="15.75" customHeight="1" x14ac:dyDescent="0.3">
      <c r="H832" s="6" t="s">
        <v>199</v>
      </c>
      <c r="I832" s="6" t="s">
        <v>120</v>
      </c>
      <c r="J832" s="6" t="s">
        <v>143</v>
      </c>
      <c r="K832" s="19">
        <v>2</v>
      </c>
      <c r="L832" s="6" t="s">
        <v>177</v>
      </c>
      <c r="M832" s="6" t="s">
        <v>294</v>
      </c>
      <c r="N832" s="6" t="s">
        <v>26</v>
      </c>
      <c r="O832" s="6" t="s">
        <v>113</v>
      </c>
      <c r="P832" s="19">
        <v>18</v>
      </c>
    </row>
    <row r="833" spans="8:16" ht="15.75" customHeight="1" x14ac:dyDescent="0.3">
      <c r="H833" s="6" t="s">
        <v>199</v>
      </c>
      <c r="I833" s="6" t="s">
        <v>122</v>
      </c>
      <c r="J833" s="6" t="s">
        <v>144</v>
      </c>
      <c r="K833" s="19">
        <v>2</v>
      </c>
      <c r="L833" s="6" t="s">
        <v>177</v>
      </c>
      <c r="M833" s="6" t="s">
        <v>294</v>
      </c>
      <c r="N833" s="6" t="s">
        <v>27</v>
      </c>
      <c r="O833" s="6" t="s">
        <v>117</v>
      </c>
      <c r="P833" s="17">
        <v>170.96690000000001</v>
      </c>
    </row>
    <row r="834" spans="8:16" ht="15.75" customHeight="1" x14ac:dyDescent="0.3">
      <c r="H834" s="6" t="s">
        <v>199</v>
      </c>
      <c r="I834" s="6" t="s">
        <v>123</v>
      </c>
      <c r="J834" s="6" t="s">
        <v>145</v>
      </c>
      <c r="K834" s="19">
        <v>18</v>
      </c>
      <c r="L834" s="6" t="s">
        <v>177</v>
      </c>
      <c r="M834" s="6" t="s">
        <v>294</v>
      </c>
      <c r="N834" s="6" t="s">
        <v>29</v>
      </c>
      <c r="O834" s="6" t="s">
        <v>125</v>
      </c>
      <c r="P834" s="19">
        <v>12</v>
      </c>
    </row>
    <row r="835" spans="8:16" ht="15.75" customHeight="1" x14ac:dyDescent="0.3">
      <c r="H835" s="6" t="s">
        <v>199</v>
      </c>
      <c r="I835" s="6" t="s">
        <v>124</v>
      </c>
      <c r="J835" s="6" t="s">
        <v>146</v>
      </c>
      <c r="K835" s="19">
        <v>0</v>
      </c>
      <c r="L835" s="6" t="s">
        <v>177</v>
      </c>
      <c r="M835" s="6" t="s">
        <v>294</v>
      </c>
      <c r="N835" s="6" t="s">
        <v>135</v>
      </c>
      <c r="O835" s="6" t="s">
        <v>136</v>
      </c>
      <c r="P835" s="19">
        <v>0</v>
      </c>
    </row>
    <row r="836" spans="8:16" ht="15.75" customHeight="1" x14ac:dyDescent="0.3">
      <c r="H836" s="6" t="s">
        <v>199</v>
      </c>
      <c r="I836" s="6" t="s">
        <v>126</v>
      </c>
      <c r="J836" s="6" t="s">
        <v>147</v>
      </c>
      <c r="K836" s="19">
        <v>3</v>
      </c>
      <c r="L836" s="6" t="s">
        <v>177</v>
      </c>
      <c r="M836" s="6" t="s">
        <v>294</v>
      </c>
      <c r="N836" s="6" t="s">
        <v>138</v>
      </c>
      <c r="O836" s="6" t="s">
        <v>139</v>
      </c>
      <c r="P836" s="19">
        <v>1</v>
      </c>
    </row>
    <row r="837" spans="8:16" ht="15.75" customHeight="1" x14ac:dyDescent="0.3">
      <c r="H837" s="6" t="s">
        <v>199</v>
      </c>
      <c r="I837" s="6" t="s">
        <v>127</v>
      </c>
      <c r="J837" s="6" t="s">
        <v>149</v>
      </c>
      <c r="K837" s="19">
        <v>16</v>
      </c>
      <c r="L837" s="6" t="s">
        <v>177</v>
      </c>
      <c r="M837" s="6" t="s">
        <v>294</v>
      </c>
      <c r="N837" s="6" t="s">
        <v>30</v>
      </c>
      <c r="O837" s="6" t="s">
        <v>148</v>
      </c>
      <c r="P837" s="17">
        <v>60.747900000000001</v>
      </c>
    </row>
    <row r="838" spans="8:16" ht="15.75" customHeight="1" x14ac:dyDescent="0.3">
      <c r="H838" s="6" t="s">
        <v>199</v>
      </c>
      <c r="I838" s="6" t="s">
        <v>128</v>
      </c>
      <c r="J838" s="6" t="s">
        <v>150</v>
      </c>
      <c r="K838" s="19">
        <v>0</v>
      </c>
      <c r="L838" s="6" t="s">
        <v>177</v>
      </c>
      <c r="M838" s="6" t="s">
        <v>294</v>
      </c>
      <c r="N838" s="6" t="s">
        <v>156</v>
      </c>
      <c r="O838" s="6" t="s">
        <v>157</v>
      </c>
      <c r="P838" s="19">
        <v>1</v>
      </c>
    </row>
    <row r="839" spans="8:16" ht="15.75" customHeight="1" x14ac:dyDescent="0.3">
      <c r="H839" s="6" t="s">
        <v>199</v>
      </c>
      <c r="I839" s="6" t="s">
        <v>129</v>
      </c>
      <c r="J839" s="6" t="s">
        <v>151</v>
      </c>
      <c r="K839" s="19">
        <v>0</v>
      </c>
      <c r="L839" s="6" t="s">
        <v>177</v>
      </c>
      <c r="M839" s="6" t="s">
        <v>294</v>
      </c>
      <c r="N839" s="6" t="s">
        <v>158</v>
      </c>
      <c r="O839" s="6" t="s">
        <v>159</v>
      </c>
      <c r="P839" s="19">
        <v>2</v>
      </c>
    </row>
    <row r="840" spans="8:16" ht="15.75" customHeight="1" x14ac:dyDescent="0.3">
      <c r="H840" s="6" t="s">
        <v>199</v>
      </c>
      <c r="I840" s="6" t="s">
        <v>130</v>
      </c>
      <c r="J840" s="6" t="s">
        <v>152</v>
      </c>
      <c r="K840" s="19">
        <v>41</v>
      </c>
      <c r="L840" s="6" t="s">
        <v>177</v>
      </c>
      <c r="M840" s="6" t="s">
        <v>294</v>
      </c>
      <c r="N840" s="6" t="s">
        <v>160</v>
      </c>
      <c r="O840" s="6" t="s">
        <v>161</v>
      </c>
      <c r="P840" s="19">
        <v>2</v>
      </c>
    </row>
    <row r="841" spans="8:16" ht="15.75" customHeight="1" x14ac:dyDescent="0.3">
      <c r="H841" s="6" t="s">
        <v>199</v>
      </c>
      <c r="I841" s="6" t="s">
        <v>131</v>
      </c>
      <c r="J841" s="6" t="s">
        <v>153</v>
      </c>
      <c r="K841" s="19">
        <v>0</v>
      </c>
      <c r="L841" s="6" t="s">
        <v>177</v>
      </c>
      <c r="M841" s="6" t="s">
        <v>294</v>
      </c>
      <c r="N841" s="6" t="s">
        <v>162</v>
      </c>
      <c r="O841" s="6" t="s">
        <v>163</v>
      </c>
      <c r="P841" s="19">
        <v>1</v>
      </c>
    </row>
    <row r="842" spans="8:16" ht="15.75" customHeight="1" x14ac:dyDescent="0.3">
      <c r="H842" s="6" t="s">
        <v>199</v>
      </c>
      <c r="I842" s="6" t="s">
        <v>133</v>
      </c>
      <c r="J842" s="6" t="s">
        <v>154</v>
      </c>
      <c r="K842" s="19">
        <v>1</v>
      </c>
      <c r="L842" s="6" t="s">
        <v>177</v>
      </c>
      <c r="M842" s="6" t="s">
        <v>294</v>
      </c>
      <c r="N842" s="6" t="s">
        <v>165</v>
      </c>
      <c r="O842" s="6" t="s">
        <v>166</v>
      </c>
      <c r="P842" s="19">
        <v>1</v>
      </c>
    </row>
    <row r="843" spans="8:16" ht="15.75" customHeight="1" x14ac:dyDescent="0.3">
      <c r="H843" s="6" t="s">
        <v>199</v>
      </c>
      <c r="I843" s="6" t="s">
        <v>134</v>
      </c>
      <c r="J843" s="6" t="s">
        <v>155</v>
      </c>
      <c r="K843" s="19">
        <v>14</v>
      </c>
      <c r="L843" s="6" t="s">
        <v>177</v>
      </c>
      <c r="M843" s="6" t="s">
        <v>299</v>
      </c>
      <c r="N843" s="6" t="s">
        <v>72</v>
      </c>
      <c r="O843" s="6" t="s">
        <v>75</v>
      </c>
      <c r="P843" s="19">
        <v>2</v>
      </c>
    </row>
    <row r="844" spans="8:16" ht="15.75" customHeight="1" x14ac:dyDescent="0.3">
      <c r="H844" s="6" t="s">
        <v>200</v>
      </c>
      <c r="I844" s="6" t="s">
        <v>58</v>
      </c>
      <c r="J844" s="6" t="s">
        <v>60</v>
      </c>
      <c r="K844" s="19">
        <v>0</v>
      </c>
      <c r="L844" s="6" t="s">
        <v>177</v>
      </c>
      <c r="M844" s="6" t="s">
        <v>299</v>
      </c>
      <c r="N844" s="6" t="s">
        <v>83</v>
      </c>
      <c r="O844" s="6" t="s">
        <v>84</v>
      </c>
      <c r="P844" s="19">
        <v>0</v>
      </c>
    </row>
    <row r="845" spans="8:16" ht="15.75" customHeight="1" x14ac:dyDescent="0.3">
      <c r="H845" s="6" t="s">
        <v>200</v>
      </c>
      <c r="I845" s="6" t="s">
        <v>72</v>
      </c>
      <c r="J845" s="6" t="s">
        <v>82</v>
      </c>
      <c r="K845" s="19">
        <v>0</v>
      </c>
      <c r="L845" s="6" t="s">
        <v>177</v>
      </c>
      <c r="M845" s="6" t="s">
        <v>299</v>
      </c>
      <c r="N845" s="6" t="s">
        <v>88</v>
      </c>
      <c r="O845" s="6" t="s">
        <v>90</v>
      </c>
      <c r="P845" s="17">
        <v>0.75</v>
      </c>
    </row>
    <row r="846" spans="8:16" ht="15.75" customHeight="1" x14ac:dyDescent="0.3">
      <c r="H846" s="6" t="s">
        <v>200</v>
      </c>
      <c r="I846" s="6" t="s">
        <v>85</v>
      </c>
      <c r="J846" s="6" t="s">
        <v>86</v>
      </c>
      <c r="K846" s="19">
        <v>0</v>
      </c>
      <c r="L846" s="6" t="s">
        <v>177</v>
      </c>
      <c r="M846" s="6" t="s">
        <v>299</v>
      </c>
      <c r="N846" s="6" t="s">
        <v>96</v>
      </c>
      <c r="O846" s="6" t="s">
        <v>97</v>
      </c>
      <c r="P846" s="19">
        <v>4</v>
      </c>
    </row>
    <row r="847" spans="8:16" ht="15.75" customHeight="1" x14ac:dyDescent="0.3">
      <c r="H847" s="6" t="s">
        <v>200</v>
      </c>
      <c r="I847" s="6" t="s">
        <v>93</v>
      </c>
      <c r="J847" s="6" t="s">
        <v>94</v>
      </c>
      <c r="K847" s="19">
        <v>0</v>
      </c>
      <c r="L847" s="6" t="s">
        <v>177</v>
      </c>
      <c r="M847" s="6" t="s">
        <v>299</v>
      </c>
      <c r="N847" s="6" t="s">
        <v>100</v>
      </c>
      <c r="O847" s="6" t="s">
        <v>101</v>
      </c>
      <c r="P847" s="19">
        <v>0</v>
      </c>
    </row>
    <row r="848" spans="8:16" ht="15.75" customHeight="1" x14ac:dyDescent="0.3">
      <c r="H848" s="6" t="s">
        <v>200</v>
      </c>
      <c r="I848" s="6" t="s">
        <v>98</v>
      </c>
      <c r="J848" s="6" t="s">
        <v>99</v>
      </c>
      <c r="K848" s="19">
        <v>1</v>
      </c>
      <c r="L848" s="6" t="s">
        <v>177</v>
      </c>
      <c r="M848" s="6" t="s">
        <v>299</v>
      </c>
      <c r="N848" s="6" t="s">
        <v>22</v>
      </c>
      <c r="O848" s="6" t="s">
        <v>104</v>
      </c>
      <c r="P848" s="17">
        <v>14.857100000000001</v>
      </c>
    </row>
    <row r="849" spans="8:16" ht="15.75" customHeight="1" x14ac:dyDescent="0.3">
      <c r="H849" s="6" t="s">
        <v>200</v>
      </c>
      <c r="I849" s="6" t="s">
        <v>22</v>
      </c>
      <c r="J849" s="6" t="s">
        <v>103</v>
      </c>
      <c r="K849" s="17">
        <v>2.5</v>
      </c>
      <c r="L849" s="6" t="s">
        <v>177</v>
      </c>
      <c r="M849" s="6" t="s">
        <v>299</v>
      </c>
      <c r="N849" s="6" t="s">
        <v>23</v>
      </c>
      <c r="O849" s="6" t="s">
        <v>107</v>
      </c>
      <c r="P849" s="17">
        <v>2568.4600999999998</v>
      </c>
    </row>
    <row r="850" spans="8:16" ht="15.75" customHeight="1" x14ac:dyDescent="0.3">
      <c r="H850" s="6" t="s">
        <v>200</v>
      </c>
      <c r="I850" s="6" t="s">
        <v>23</v>
      </c>
      <c r="J850" s="6" t="s">
        <v>106</v>
      </c>
      <c r="K850" s="17">
        <v>343.90100000000001</v>
      </c>
      <c r="L850" s="6" t="s">
        <v>177</v>
      </c>
      <c r="M850" s="6" t="s">
        <v>299</v>
      </c>
      <c r="N850" s="6" t="s">
        <v>24</v>
      </c>
      <c r="O850" s="6" t="s">
        <v>109</v>
      </c>
      <c r="P850" s="17">
        <v>6.25E-2</v>
      </c>
    </row>
    <row r="851" spans="8:16" ht="15.75" customHeight="1" x14ac:dyDescent="0.3">
      <c r="H851" s="6" t="s">
        <v>200</v>
      </c>
      <c r="I851" s="6" t="s">
        <v>24</v>
      </c>
      <c r="J851" s="6" t="s">
        <v>108</v>
      </c>
      <c r="K851" s="17">
        <v>1.6400000000000001E-2</v>
      </c>
      <c r="L851" s="6" t="s">
        <v>177</v>
      </c>
      <c r="M851" s="6" t="s">
        <v>299</v>
      </c>
      <c r="N851" s="6" t="s">
        <v>25</v>
      </c>
      <c r="O851" s="6" t="s">
        <v>111</v>
      </c>
      <c r="P851" s="19">
        <v>40</v>
      </c>
    </row>
    <row r="852" spans="8:16" ht="15.75" customHeight="1" x14ac:dyDescent="0.3">
      <c r="H852" s="6" t="s">
        <v>200</v>
      </c>
      <c r="I852" s="6" t="s">
        <v>25</v>
      </c>
      <c r="J852" s="6" t="s">
        <v>110</v>
      </c>
      <c r="K852" s="19">
        <v>49</v>
      </c>
      <c r="L852" s="6" t="s">
        <v>177</v>
      </c>
      <c r="M852" s="6" t="s">
        <v>299</v>
      </c>
      <c r="N852" s="6" t="s">
        <v>26</v>
      </c>
      <c r="O852" s="6" t="s">
        <v>113</v>
      </c>
      <c r="P852" s="19">
        <v>20</v>
      </c>
    </row>
    <row r="853" spans="8:16" ht="15.75" customHeight="1" x14ac:dyDescent="0.3">
      <c r="H853" s="6" t="s">
        <v>200</v>
      </c>
      <c r="I853" s="6" t="s">
        <v>26</v>
      </c>
      <c r="J853" s="6" t="s">
        <v>112</v>
      </c>
      <c r="K853" s="19">
        <v>7</v>
      </c>
      <c r="L853" s="6" t="s">
        <v>177</v>
      </c>
      <c r="M853" s="6" t="s">
        <v>299</v>
      </c>
      <c r="N853" s="6" t="s">
        <v>27</v>
      </c>
      <c r="O853" s="6" t="s">
        <v>117</v>
      </c>
      <c r="P853" s="17">
        <v>172.87710000000001</v>
      </c>
    </row>
    <row r="854" spans="8:16" ht="15.75" customHeight="1" x14ac:dyDescent="0.3">
      <c r="H854" s="6" t="s">
        <v>200</v>
      </c>
      <c r="I854" s="6" t="s">
        <v>27</v>
      </c>
      <c r="J854" s="6" t="s">
        <v>114</v>
      </c>
      <c r="K854" s="17">
        <v>137.56039999999999</v>
      </c>
      <c r="L854" s="6" t="s">
        <v>177</v>
      </c>
      <c r="M854" s="6" t="s">
        <v>299</v>
      </c>
      <c r="N854" s="6" t="s">
        <v>29</v>
      </c>
      <c r="O854" s="6" t="s">
        <v>125</v>
      </c>
      <c r="P854" s="19">
        <v>13</v>
      </c>
    </row>
    <row r="855" spans="8:16" ht="15.75" customHeight="1" x14ac:dyDescent="0.3">
      <c r="H855" s="6" t="s">
        <v>200</v>
      </c>
      <c r="I855" s="6" t="s">
        <v>115</v>
      </c>
      <c r="J855" s="6" t="s">
        <v>121</v>
      </c>
      <c r="K855" s="19">
        <v>0</v>
      </c>
      <c r="L855" s="6" t="s">
        <v>177</v>
      </c>
      <c r="M855" s="6" t="s">
        <v>299</v>
      </c>
      <c r="N855" s="6" t="s">
        <v>135</v>
      </c>
      <c r="O855" s="6" t="s">
        <v>136</v>
      </c>
      <c r="P855" s="19">
        <v>0</v>
      </c>
    </row>
    <row r="856" spans="8:16" ht="15.75" customHeight="1" x14ac:dyDescent="0.3">
      <c r="H856" s="6" t="s">
        <v>200</v>
      </c>
      <c r="I856" s="6" t="s">
        <v>116</v>
      </c>
      <c r="J856" s="6" t="s">
        <v>132</v>
      </c>
      <c r="K856" s="19">
        <v>0</v>
      </c>
      <c r="L856" s="6" t="s">
        <v>177</v>
      </c>
      <c r="M856" s="6" t="s">
        <v>299</v>
      </c>
      <c r="N856" s="6" t="s">
        <v>138</v>
      </c>
      <c r="O856" s="6" t="s">
        <v>139</v>
      </c>
      <c r="P856" s="19">
        <v>1</v>
      </c>
    </row>
    <row r="857" spans="8:16" ht="15.75" customHeight="1" x14ac:dyDescent="0.3">
      <c r="H857" s="6" t="s">
        <v>200</v>
      </c>
      <c r="I857" s="6" t="s">
        <v>30</v>
      </c>
      <c r="J857" s="6" t="s">
        <v>137</v>
      </c>
      <c r="K857" s="19">
        <v>0</v>
      </c>
      <c r="L857" s="6" t="s">
        <v>177</v>
      </c>
      <c r="M857" s="6" t="s">
        <v>299</v>
      </c>
      <c r="N857" s="6" t="s">
        <v>30</v>
      </c>
      <c r="O857" s="6" t="s">
        <v>148</v>
      </c>
      <c r="P857" s="17">
        <v>59.899500000000003</v>
      </c>
    </row>
    <row r="858" spans="8:16" ht="15.75" customHeight="1" x14ac:dyDescent="0.3">
      <c r="H858" s="6" t="s">
        <v>200</v>
      </c>
      <c r="I858" s="6" t="s">
        <v>118</v>
      </c>
      <c r="J858" s="6" t="s">
        <v>140</v>
      </c>
      <c r="K858" s="19">
        <v>0</v>
      </c>
      <c r="L858" s="6" t="s">
        <v>177</v>
      </c>
      <c r="M858" s="6" t="s">
        <v>299</v>
      </c>
      <c r="N858" s="6" t="s">
        <v>156</v>
      </c>
      <c r="O858" s="6" t="s">
        <v>157</v>
      </c>
      <c r="P858" s="19">
        <v>1</v>
      </c>
    </row>
    <row r="859" spans="8:16" ht="15.75" customHeight="1" x14ac:dyDescent="0.3">
      <c r="H859" s="6" t="s">
        <v>200</v>
      </c>
      <c r="I859" s="6" t="s">
        <v>31</v>
      </c>
      <c r="J859" s="6" t="s">
        <v>141</v>
      </c>
      <c r="K859" s="19">
        <v>0</v>
      </c>
      <c r="L859" s="6" t="s">
        <v>177</v>
      </c>
      <c r="M859" s="6" t="s">
        <v>299</v>
      </c>
      <c r="N859" s="6" t="s">
        <v>158</v>
      </c>
      <c r="O859" s="6" t="s">
        <v>159</v>
      </c>
      <c r="P859" s="19">
        <v>3</v>
      </c>
    </row>
    <row r="860" spans="8:16" ht="15.75" customHeight="1" x14ac:dyDescent="0.3">
      <c r="H860" s="6" t="s">
        <v>200</v>
      </c>
      <c r="I860" s="6" t="s">
        <v>119</v>
      </c>
      <c r="J860" s="6" t="s">
        <v>142</v>
      </c>
      <c r="K860" s="19">
        <v>0</v>
      </c>
      <c r="L860" s="6" t="s">
        <v>177</v>
      </c>
      <c r="M860" s="6" t="s">
        <v>299</v>
      </c>
      <c r="N860" s="6" t="s">
        <v>160</v>
      </c>
      <c r="O860" s="6" t="s">
        <v>161</v>
      </c>
      <c r="P860" s="19">
        <v>3</v>
      </c>
    </row>
    <row r="861" spans="8:16" ht="15.75" customHeight="1" x14ac:dyDescent="0.3">
      <c r="H861" s="6" t="s">
        <v>200</v>
      </c>
      <c r="I861" s="6" t="s">
        <v>120</v>
      </c>
      <c r="J861" s="6" t="s">
        <v>143</v>
      </c>
      <c r="K861" s="19">
        <v>0</v>
      </c>
      <c r="L861" s="6" t="s">
        <v>177</v>
      </c>
      <c r="M861" s="6" t="s">
        <v>299</v>
      </c>
      <c r="N861" s="6" t="s">
        <v>162</v>
      </c>
      <c r="O861" s="6" t="s">
        <v>163</v>
      </c>
      <c r="P861" s="19">
        <v>2</v>
      </c>
    </row>
    <row r="862" spans="8:16" ht="15.75" customHeight="1" x14ac:dyDescent="0.3">
      <c r="H862" s="6" t="s">
        <v>200</v>
      </c>
      <c r="I862" s="6" t="s">
        <v>122</v>
      </c>
      <c r="J862" s="6" t="s">
        <v>144</v>
      </c>
      <c r="K862" s="19">
        <v>0</v>
      </c>
      <c r="L862" s="6" t="s">
        <v>177</v>
      </c>
      <c r="M862" s="6" t="s">
        <v>299</v>
      </c>
      <c r="N862" s="6" t="s">
        <v>165</v>
      </c>
      <c r="O862" s="6" t="s">
        <v>166</v>
      </c>
      <c r="P862" s="19">
        <v>1</v>
      </c>
    </row>
    <row r="863" spans="8:16" ht="15.75" customHeight="1" x14ac:dyDescent="0.3">
      <c r="H863" s="6" t="s">
        <v>200</v>
      </c>
      <c r="I863" s="6" t="s">
        <v>123</v>
      </c>
      <c r="J863" s="6" t="s">
        <v>145</v>
      </c>
      <c r="K863" s="19">
        <v>13</v>
      </c>
      <c r="L863" s="6" t="s">
        <v>177</v>
      </c>
      <c r="M863" s="6" t="s">
        <v>304</v>
      </c>
      <c r="N863" s="6" t="s">
        <v>72</v>
      </c>
      <c r="O863" s="6" t="s">
        <v>75</v>
      </c>
      <c r="P863" s="19">
        <v>1</v>
      </c>
    </row>
    <row r="864" spans="8:16" ht="15.75" customHeight="1" x14ac:dyDescent="0.3">
      <c r="H864" s="6" t="s">
        <v>200</v>
      </c>
      <c r="I864" s="6" t="s">
        <v>124</v>
      </c>
      <c r="J864" s="6" t="s">
        <v>146</v>
      </c>
      <c r="K864" s="19">
        <v>0</v>
      </c>
      <c r="L864" s="6" t="s">
        <v>177</v>
      </c>
      <c r="M864" s="6" t="s">
        <v>304</v>
      </c>
      <c r="N864" s="6" t="s">
        <v>83</v>
      </c>
      <c r="O864" s="6" t="s">
        <v>84</v>
      </c>
      <c r="P864" s="19">
        <v>0</v>
      </c>
    </row>
    <row r="865" spans="8:16" ht="15.75" customHeight="1" x14ac:dyDescent="0.3">
      <c r="H865" s="6" t="s">
        <v>200</v>
      </c>
      <c r="I865" s="6" t="s">
        <v>126</v>
      </c>
      <c r="J865" s="6" t="s">
        <v>147</v>
      </c>
      <c r="K865" s="19">
        <v>0</v>
      </c>
      <c r="L865" s="6" t="s">
        <v>177</v>
      </c>
      <c r="M865" s="6" t="s">
        <v>304</v>
      </c>
      <c r="N865" s="6" t="s">
        <v>88</v>
      </c>
      <c r="O865" s="6" t="s">
        <v>90</v>
      </c>
      <c r="P865" s="17">
        <v>0.75</v>
      </c>
    </row>
    <row r="866" spans="8:16" ht="15.75" customHeight="1" x14ac:dyDescent="0.3">
      <c r="H866" s="6" t="s">
        <v>200</v>
      </c>
      <c r="I866" s="6" t="s">
        <v>127</v>
      </c>
      <c r="J866" s="6" t="s">
        <v>149</v>
      </c>
      <c r="K866" s="19">
        <v>13</v>
      </c>
      <c r="L866" s="6" t="s">
        <v>177</v>
      </c>
      <c r="M866" s="6" t="s">
        <v>304</v>
      </c>
      <c r="N866" s="6" t="s">
        <v>96</v>
      </c>
      <c r="O866" s="6" t="s">
        <v>97</v>
      </c>
      <c r="P866" s="19">
        <v>4</v>
      </c>
    </row>
    <row r="867" spans="8:16" ht="15.75" customHeight="1" x14ac:dyDescent="0.3">
      <c r="H867" s="6" t="s">
        <v>200</v>
      </c>
      <c r="I867" s="6" t="s">
        <v>128</v>
      </c>
      <c r="J867" s="6" t="s">
        <v>150</v>
      </c>
      <c r="K867" s="19">
        <v>0</v>
      </c>
      <c r="L867" s="6" t="s">
        <v>177</v>
      </c>
      <c r="M867" s="6" t="s">
        <v>304</v>
      </c>
      <c r="N867" s="6" t="s">
        <v>100</v>
      </c>
      <c r="O867" s="6" t="s">
        <v>101</v>
      </c>
      <c r="P867" s="19">
        <v>0</v>
      </c>
    </row>
    <row r="868" spans="8:16" ht="15.75" customHeight="1" x14ac:dyDescent="0.3">
      <c r="H868" s="6" t="s">
        <v>200</v>
      </c>
      <c r="I868" s="6" t="s">
        <v>129</v>
      </c>
      <c r="J868" s="6" t="s">
        <v>151</v>
      </c>
      <c r="K868" s="19">
        <v>0</v>
      </c>
      <c r="L868" s="6" t="s">
        <v>177</v>
      </c>
      <c r="M868" s="6" t="s">
        <v>304</v>
      </c>
      <c r="N868" s="6" t="s">
        <v>22</v>
      </c>
      <c r="O868" s="6" t="s">
        <v>104</v>
      </c>
      <c r="P868" s="17">
        <v>18.2</v>
      </c>
    </row>
    <row r="869" spans="8:16" ht="15.75" customHeight="1" x14ac:dyDescent="0.3">
      <c r="H869" s="6" t="s">
        <v>200</v>
      </c>
      <c r="I869" s="6" t="s">
        <v>130</v>
      </c>
      <c r="J869" s="6" t="s">
        <v>152</v>
      </c>
      <c r="K869" s="19">
        <v>0</v>
      </c>
      <c r="L869" s="6" t="s">
        <v>177</v>
      </c>
      <c r="M869" s="6" t="s">
        <v>304</v>
      </c>
      <c r="N869" s="6" t="s">
        <v>23</v>
      </c>
      <c r="O869" s="6" t="s">
        <v>107</v>
      </c>
      <c r="P869" s="17">
        <v>2959.8128000000002</v>
      </c>
    </row>
    <row r="870" spans="8:16" ht="15.75" customHeight="1" x14ac:dyDescent="0.3">
      <c r="H870" s="6" t="s">
        <v>200</v>
      </c>
      <c r="I870" s="6" t="s">
        <v>131</v>
      </c>
      <c r="J870" s="6" t="s">
        <v>153</v>
      </c>
      <c r="K870" s="19">
        <v>0</v>
      </c>
      <c r="L870" s="6" t="s">
        <v>177</v>
      </c>
      <c r="M870" s="6" t="s">
        <v>304</v>
      </c>
      <c r="N870" s="6" t="s">
        <v>24</v>
      </c>
      <c r="O870" s="6" t="s">
        <v>109</v>
      </c>
      <c r="P870" s="17">
        <v>6.8699999999999997E-2</v>
      </c>
    </row>
    <row r="871" spans="8:16" ht="15.75" customHeight="1" x14ac:dyDescent="0.3">
      <c r="H871" s="6" t="s">
        <v>200</v>
      </c>
      <c r="I871" s="6" t="s">
        <v>133</v>
      </c>
      <c r="J871" s="6" t="s">
        <v>154</v>
      </c>
      <c r="K871" s="19">
        <v>0</v>
      </c>
      <c r="L871" s="6" t="s">
        <v>177</v>
      </c>
      <c r="M871" s="6" t="s">
        <v>304</v>
      </c>
      <c r="N871" s="6" t="s">
        <v>25</v>
      </c>
      <c r="O871" s="6" t="s">
        <v>111</v>
      </c>
      <c r="P871" s="19">
        <v>39</v>
      </c>
    </row>
    <row r="872" spans="8:16" ht="15.75" customHeight="1" x14ac:dyDescent="0.3">
      <c r="H872" s="6" t="s">
        <v>200</v>
      </c>
      <c r="I872" s="6" t="s">
        <v>134</v>
      </c>
      <c r="J872" s="6" t="s">
        <v>155</v>
      </c>
      <c r="K872" s="19">
        <v>0</v>
      </c>
      <c r="L872" s="6" t="s">
        <v>177</v>
      </c>
      <c r="M872" s="6" t="s">
        <v>304</v>
      </c>
      <c r="N872" s="6" t="s">
        <v>26</v>
      </c>
      <c r="O872" s="6" t="s">
        <v>113</v>
      </c>
      <c r="P872" s="19">
        <v>18</v>
      </c>
    </row>
    <row r="873" spans="8:16" ht="15.75" customHeight="1" x14ac:dyDescent="0.3">
      <c r="H873" s="6" t="s">
        <v>202</v>
      </c>
      <c r="I873" s="6" t="s">
        <v>58</v>
      </c>
      <c r="J873" s="6" t="s">
        <v>60</v>
      </c>
      <c r="K873" s="19">
        <v>0</v>
      </c>
      <c r="L873" s="6" t="s">
        <v>177</v>
      </c>
      <c r="M873" s="6" t="s">
        <v>304</v>
      </c>
      <c r="N873" s="6" t="s">
        <v>27</v>
      </c>
      <c r="O873" s="6" t="s">
        <v>117</v>
      </c>
      <c r="P873" s="17">
        <v>162.62710000000001</v>
      </c>
    </row>
    <row r="874" spans="8:16" ht="15.75" customHeight="1" x14ac:dyDescent="0.3">
      <c r="H874" s="6" t="s">
        <v>202</v>
      </c>
      <c r="I874" s="6" t="s">
        <v>72</v>
      </c>
      <c r="J874" s="6" t="s">
        <v>82</v>
      </c>
      <c r="K874" s="19">
        <v>0</v>
      </c>
      <c r="L874" s="6" t="s">
        <v>177</v>
      </c>
      <c r="M874" s="6" t="s">
        <v>304</v>
      </c>
      <c r="N874" s="6" t="s">
        <v>29</v>
      </c>
      <c r="O874" s="6" t="s">
        <v>125</v>
      </c>
      <c r="P874" s="19">
        <v>12</v>
      </c>
    </row>
    <row r="875" spans="8:16" ht="15.75" customHeight="1" x14ac:dyDescent="0.3">
      <c r="H875" s="6" t="s">
        <v>202</v>
      </c>
      <c r="I875" s="6" t="s">
        <v>85</v>
      </c>
      <c r="J875" s="6" t="s">
        <v>86</v>
      </c>
      <c r="K875" s="19">
        <v>1</v>
      </c>
      <c r="L875" s="6" t="s">
        <v>177</v>
      </c>
      <c r="M875" s="6" t="s">
        <v>304</v>
      </c>
      <c r="N875" s="6" t="s">
        <v>135</v>
      </c>
      <c r="O875" s="6" t="s">
        <v>136</v>
      </c>
      <c r="P875" s="19">
        <v>0</v>
      </c>
    </row>
    <row r="876" spans="8:16" ht="15.75" customHeight="1" x14ac:dyDescent="0.3">
      <c r="H876" s="6" t="s">
        <v>202</v>
      </c>
      <c r="I876" s="6" t="s">
        <v>93</v>
      </c>
      <c r="J876" s="6" t="s">
        <v>94</v>
      </c>
      <c r="K876" s="19">
        <v>1</v>
      </c>
      <c r="L876" s="6" t="s">
        <v>177</v>
      </c>
      <c r="M876" s="6" t="s">
        <v>304</v>
      </c>
      <c r="N876" s="6" t="s">
        <v>138</v>
      </c>
      <c r="O876" s="6" t="s">
        <v>139</v>
      </c>
      <c r="P876" s="19">
        <v>1</v>
      </c>
    </row>
    <row r="877" spans="8:16" ht="15.75" customHeight="1" x14ac:dyDescent="0.3">
      <c r="H877" s="6" t="s">
        <v>202</v>
      </c>
      <c r="I877" s="6" t="s">
        <v>98</v>
      </c>
      <c r="J877" s="6" t="s">
        <v>99</v>
      </c>
      <c r="K877" s="19">
        <v>1</v>
      </c>
      <c r="L877" s="6" t="s">
        <v>177</v>
      </c>
      <c r="M877" s="6" t="s">
        <v>304</v>
      </c>
      <c r="N877" s="6" t="s">
        <v>30</v>
      </c>
      <c r="O877" s="6" t="s">
        <v>148</v>
      </c>
      <c r="P877" s="17">
        <v>60.894500000000001</v>
      </c>
    </row>
    <row r="878" spans="8:16" ht="15.75" customHeight="1" x14ac:dyDescent="0.3">
      <c r="H878" s="6" t="s">
        <v>202</v>
      </c>
      <c r="I878" s="6" t="s">
        <v>22</v>
      </c>
      <c r="J878" s="6" t="s">
        <v>103</v>
      </c>
      <c r="K878" s="19">
        <v>2</v>
      </c>
      <c r="L878" s="6" t="s">
        <v>177</v>
      </c>
      <c r="M878" s="6" t="s">
        <v>304</v>
      </c>
      <c r="N878" s="6" t="s">
        <v>156</v>
      </c>
      <c r="O878" s="6" t="s">
        <v>157</v>
      </c>
      <c r="P878" s="19">
        <v>1</v>
      </c>
    </row>
    <row r="879" spans="8:16" ht="15.75" customHeight="1" x14ac:dyDescent="0.3">
      <c r="H879" s="6" t="s">
        <v>202</v>
      </c>
      <c r="I879" s="6" t="s">
        <v>23</v>
      </c>
      <c r="J879" s="6" t="s">
        <v>106</v>
      </c>
      <c r="K879" s="17">
        <v>41.359400000000001</v>
      </c>
      <c r="L879" s="6" t="s">
        <v>177</v>
      </c>
      <c r="M879" s="6" t="s">
        <v>304</v>
      </c>
      <c r="N879" s="6" t="s">
        <v>158</v>
      </c>
      <c r="O879" s="6" t="s">
        <v>159</v>
      </c>
      <c r="P879" s="19">
        <v>2</v>
      </c>
    </row>
    <row r="880" spans="8:16" ht="15.75" customHeight="1" x14ac:dyDescent="0.3">
      <c r="H880" s="6" t="s">
        <v>202</v>
      </c>
      <c r="I880" s="6" t="s">
        <v>24</v>
      </c>
      <c r="J880" s="6" t="s">
        <v>108</v>
      </c>
      <c r="K880" s="17">
        <v>4.0000000000000001E-3</v>
      </c>
      <c r="L880" s="6" t="s">
        <v>177</v>
      </c>
      <c r="M880" s="6" t="s">
        <v>304</v>
      </c>
      <c r="N880" s="6" t="s">
        <v>160</v>
      </c>
      <c r="O880" s="6" t="s">
        <v>161</v>
      </c>
      <c r="P880" s="19">
        <v>2</v>
      </c>
    </row>
    <row r="881" spans="8:16" ht="15.75" customHeight="1" x14ac:dyDescent="0.3">
      <c r="H881" s="6" t="s">
        <v>202</v>
      </c>
      <c r="I881" s="6" t="s">
        <v>25</v>
      </c>
      <c r="J881" s="6" t="s">
        <v>110</v>
      </c>
      <c r="K881" s="19">
        <v>8</v>
      </c>
      <c r="L881" s="6" t="s">
        <v>177</v>
      </c>
      <c r="M881" s="6" t="s">
        <v>304</v>
      </c>
      <c r="N881" s="6" t="s">
        <v>162</v>
      </c>
      <c r="O881" s="6" t="s">
        <v>163</v>
      </c>
      <c r="P881" s="19">
        <v>1</v>
      </c>
    </row>
    <row r="882" spans="8:16" ht="15.75" customHeight="1" x14ac:dyDescent="0.3">
      <c r="H882" s="6" t="s">
        <v>202</v>
      </c>
      <c r="I882" s="6" t="s">
        <v>26</v>
      </c>
      <c r="J882" s="6" t="s">
        <v>112</v>
      </c>
      <c r="K882" s="19">
        <v>6</v>
      </c>
      <c r="L882" s="6" t="s">
        <v>177</v>
      </c>
      <c r="M882" s="6" t="s">
        <v>304</v>
      </c>
      <c r="N882" s="6" t="s">
        <v>165</v>
      </c>
      <c r="O882" s="6" t="s">
        <v>166</v>
      </c>
      <c r="P882" s="19">
        <v>1</v>
      </c>
    </row>
    <row r="883" spans="8:16" ht="15.75" customHeight="1" x14ac:dyDescent="0.3">
      <c r="H883" s="6" t="s">
        <v>202</v>
      </c>
      <c r="I883" s="6" t="s">
        <v>27</v>
      </c>
      <c r="J883" s="6" t="s">
        <v>114</v>
      </c>
      <c r="K883" s="17">
        <v>20.6797</v>
      </c>
      <c r="L883" s="6" t="s">
        <v>178</v>
      </c>
      <c r="M883" s="6" t="s">
        <v>307</v>
      </c>
      <c r="N883" s="6" t="s">
        <v>72</v>
      </c>
      <c r="O883" s="6" t="s">
        <v>75</v>
      </c>
      <c r="P883" s="19">
        <v>0</v>
      </c>
    </row>
    <row r="884" spans="8:16" ht="15.75" customHeight="1" x14ac:dyDescent="0.3">
      <c r="H884" s="6" t="s">
        <v>202</v>
      </c>
      <c r="I884" s="6" t="s">
        <v>115</v>
      </c>
      <c r="J884" s="6" t="s">
        <v>121</v>
      </c>
      <c r="K884" s="19">
        <v>0</v>
      </c>
      <c r="L884" s="6" t="s">
        <v>178</v>
      </c>
      <c r="M884" s="6" t="s">
        <v>307</v>
      </c>
      <c r="N884" s="6" t="s">
        <v>83</v>
      </c>
      <c r="O884" s="6" t="s">
        <v>84</v>
      </c>
      <c r="P884" s="19">
        <v>0</v>
      </c>
    </row>
    <row r="885" spans="8:16" ht="15.75" customHeight="1" x14ac:dyDescent="0.3">
      <c r="H885" s="6" t="s">
        <v>202</v>
      </c>
      <c r="I885" s="6" t="s">
        <v>116</v>
      </c>
      <c r="J885" s="6" t="s">
        <v>132</v>
      </c>
      <c r="K885" s="19">
        <v>1</v>
      </c>
      <c r="L885" s="6" t="s">
        <v>178</v>
      </c>
      <c r="M885" s="6" t="s">
        <v>307</v>
      </c>
      <c r="N885" s="6" t="s">
        <v>88</v>
      </c>
      <c r="O885" s="6" t="s">
        <v>90</v>
      </c>
      <c r="P885" s="19">
        <v>0</v>
      </c>
    </row>
    <row r="886" spans="8:16" ht="15.75" customHeight="1" x14ac:dyDescent="0.3">
      <c r="H886" s="6" t="s">
        <v>202</v>
      </c>
      <c r="I886" s="6" t="s">
        <v>30</v>
      </c>
      <c r="J886" s="6" t="s">
        <v>137</v>
      </c>
      <c r="K886" s="17">
        <v>90.890199999999993</v>
      </c>
      <c r="L886" s="6" t="s">
        <v>178</v>
      </c>
      <c r="M886" s="6" t="s">
        <v>307</v>
      </c>
      <c r="N886" s="6" t="s">
        <v>96</v>
      </c>
      <c r="O886" s="6" t="s">
        <v>97</v>
      </c>
      <c r="P886" s="19">
        <v>0</v>
      </c>
    </row>
    <row r="887" spans="8:16" ht="15.75" customHeight="1" x14ac:dyDescent="0.3">
      <c r="H887" s="6" t="s">
        <v>202</v>
      </c>
      <c r="I887" s="6" t="s">
        <v>118</v>
      </c>
      <c r="J887" s="6" t="s">
        <v>140</v>
      </c>
      <c r="K887" s="19">
        <v>0</v>
      </c>
      <c r="L887" s="6" t="s">
        <v>178</v>
      </c>
      <c r="M887" s="6" t="s">
        <v>307</v>
      </c>
      <c r="N887" s="6" t="s">
        <v>100</v>
      </c>
      <c r="O887" s="6" t="s">
        <v>101</v>
      </c>
      <c r="P887" s="19">
        <v>0</v>
      </c>
    </row>
    <row r="888" spans="8:16" ht="15.75" customHeight="1" x14ac:dyDescent="0.3">
      <c r="H888" s="6" t="s">
        <v>202</v>
      </c>
      <c r="I888" s="6" t="s">
        <v>31</v>
      </c>
      <c r="J888" s="6" t="s">
        <v>141</v>
      </c>
      <c r="K888" s="19">
        <v>1</v>
      </c>
      <c r="L888" s="6" t="s">
        <v>178</v>
      </c>
      <c r="M888" s="6" t="s">
        <v>307</v>
      </c>
      <c r="N888" s="6" t="s">
        <v>22</v>
      </c>
      <c r="O888" s="6" t="s">
        <v>104</v>
      </c>
      <c r="P888" s="17">
        <v>1.875</v>
      </c>
    </row>
    <row r="889" spans="8:16" ht="15.75" customHeight="1" x14ac:dyDescent="0.3">
      <c r="H889" s="6" t="s">
        <v>202</v>
      </c>
      <c r="I889" s="6" t="s">
        <v>119</v>
      </c>
      <c r="J889" s="6" t="s">
        <v>142</v>
      </c>
      <c r="K889" s="19">
        <v>0</v>
      </c>
      <c r="L889" s="6" t="s">
        <v>178</v>
      </c>
      <c r="M889" s="6" t="s">
        <v>307</v>
      </c>
      <c r="N889" s="6" t="s">
        <v>23</v>
      </c>
      <c r="O889" s="6" t="s">
        <v>107</v>
      </c>
      <c r="P889" s="17">
        <v>205.11179999999999</v>
      </c>
    </row>
    <row r="890" spans="8:16" ht="15.75" customHeight="1" x14ac:dyDescent="0.3">
      <c r="H890" s="6" t="s">
        <v>202</v>
      </c>
      <c r="I890" s="6" t="s">
        <v>120</v>
      </c>
      <c r="J890" s="6" t="s">
        <v>143</v>
      </c>
      <c r="K890" s="19">
        <v>0</v>
      </c>
      <c r="L890" s="6" t="s">
        <v>178</v>
      </c>
      <c r="M890" s="6" t="s">
        <v>307</v>
      </c>
      <c r="N890" s="6" t="s">
        <v>24</v>
      </c>
      <c r="O890" s="6" t="s">
        <v>109</v>
      </c>
      <c r="P890" s="17">
        <v>1.1599999999999999E-2</v>
      </c>
    </row>
    <row r="891" spans="8:16" ht="15.75" customHeight="1" x14ac:dyDescent="0.3">
      <c r="H891" s="6" t="s">
        <v>202</v>
      </c>
      <c r="I891" s="6" t="s">
        <v>122</v>
      </c>
      <c r="J891" s="6" t="s">
        <v>144</v>
      </c>
      <c r="K891" s="19">
        <v>1</v>
      </c>
      <c r="L891" s="6" t="s">
        <v>178</v>
      </c>
      <c r="M891" s="6" t="s">
        <v>307</v>
      </c>
      <c r="N891" s="6" t="s">
        <v>25</v>
      </c>
      <c r="O891" s="6" t="s">
        <v>111</v>
      </c>
      <c r="P891" s="19">
        <v>28</v>
      </c>
    </row>
    <row r="892" spans="8:16" ht="15.75" customHeight="1" x14ac:dyDescent="0.3">
      <c r="H892" s="6" t="s">
        <v>202</v>
      </c>
      <c r="I892" s="6" t="s">
        <v>123</v>
      </c>
      <c r="J892" s="6" t="s">
        <v>145</v>
      </c>
      <c r="K892" s="19">
        <v>15</v>
      </c>
      <c r="L892" s="6" t="s">
        <v>178</v>
      </c>
      <c r="M892" s="6" t="s">
        <v>307</v>
      </c>
      <c r="N892" s="6" t="s">
        <v>26</v>
      </c>
      <c r="O892" s="6" t="s">
        <v>113</v>
      </c>
      <c r="P892" s="19">
        <v>15</v>
      </c>
    </row>
    <row r="893" spans="8:16" ht="15.75" customHeight="1" x14ac:dyDescent="0.3">
      <c r="H893" s="6" t="s">
        <v>202</v>
      </c>
      <c r="I893" s="6" t="s">
        <v>124</v>
      </c>
      <c r="J893" s="6" t="s">
        <v>146</v>
      </c>
      <c r="K893" s="19">
        <v>0</v>
      </c>
      <c r="L893" s="6" t="s">
        <v>178</v>
      </c>
      <c r="M893" s="6" t="s">
        <v>307</v>
      </c>
      <c r="N893" s="6" t="s">
        <v>27</v>
      </c>
      <c r="O893" s="6" t="s">
        <v>117</v>
      </c>
      <c r="P893" s="17">
        <v>109.3929</v>
      </c>
    </row>
    <row r="894" spans="8:16" ht="15.75" customHeight="1" x14ac:dyDescent="0.3">
      <c r="H894" s="6" t="s">
        <v>202</v>
      </c>
      <c r="I894" s="6" t="s">
        <v>126</v>
      </c>
      <c r="J894" s="6" t="s">
        <v>147</v>
      </c>
      <c r="K894" s="19">
        <v>1</v>
      </c>
      <c r="L894" s="6" t="s">
        <v>178</v>
      </c>
      <c r="M894" s="6" t="s">
        <v>307</v>
      </c>
      <c r="N894" s="6" t="s">
        <v>29</v>
      </c>
      <c r="O894" s="6" t="s">
        <v>125</v>
      </c>
      <c r="P894" s="19">
        <v>13</v>
      </c>
    </row>
    <row r="895" spans="8:16" ht="15.75" customHeight="1" x14ac:dyDescent="0.3">
      <c r="H895" s="6" t="s">
        <v>202</v>
      </c>
      <c r="I895" s="6" t="s">
        <v>127</v>
      </c>
      <c r="J895" s="6" t="s">
        <v>149</v>
      </c>
      <c r="K895" s="19">
        <v>14</v>
      </c>
      <c r="L895" s="6" t="s">
        <v>178</v>
      </c>
      <c r="M895" s="6" t="s">
        <v>307</v>
      </c>
      <c r="N895" s="6" t="s">
        <v>135</v>
      </c>
      <c r="O895" s="6" t="s">
        <v>136</v>
      </c>
      <c r="P895" s="19">
        <v>1</v>
      </c>
    </row>
    <row r="896" spans="8:16" ht="15.75" customHeight="1" x14ac:dyDescent="0.3">
      <c r="H896" s="6" t="s">
        <v>202</v>
      </c>
      <c r="I896" s="6" t="s">
        <v>128</v>
      </c>
      <c r="J896" s="6" t="s">
        <v>150</v>
      </c>
      <c r="K896" s="19">
        <v>0</v>
      </c>
      <c r="L896" s="6" t="s">
        <v>178</v>
      </c>
      <c r="M896" s="6" t="s">
        <v>307</v>
      </c>
      <c r="N896" s="6" t="s">
        <v>138</v>
      </c>
      <c r="O896" s="6" t="s">
        <v>139</v>
      </c>
      <c r="P896" s="19">
        <v>0</v>
      </c>
    </row>
    <row r="897" spans="8:16" ht="15.75" customHeight="1" x14ac:dyDescent="0.3">
      <c r="H897" s="6" t="s">
        <v>202</v>
      </c>
      <c r="I897" s="6" t="s">
        <v>129</v>
      </c>
      <c r="J897" s="6" t="s">
        <v>151</v>
      </c>
      <c r="K897" s="19">
        <v>1</v>
      </c>
      <c r="L897" s="6" t="s">
        <v>178</v>
      </c>
      <c r="M897" s="6" t="s">
        <v>307</v>
      </c>
      <c r="N897" s="6" t="s">
        <v>30</v>
      </c>
      <c r="O897" s="6" t="s">
        <v>148</v>
      </c>
      <c r="P897" s="17">
        <v>61.434399999999997</v>
      </c>
    </row>
    <row r="898" spans="8:16" ht="15.75" customHeight="1" x14ac:dyDescent="0.3">
      <c r="H898" s="6" t="s">
        <v>202</v>
      </c>
      <c r="I898" s="6" t="s">
        <v>130</v>
      </c>
      <c r="J898" s="6" t="s">
        <v>152</v>
      </c>
      <c r="K898" s="19">
        <v>1</v>
      </c>
      <c r="L898" s="6" t="s">
        <v>178</v>
      </c>
      <c r="M898" s="6" t="s">
        <v>307</v>
      </c>
      <c r="N898" s="6" t="s">
        <v>156</v>
      </c>
      <c r="O898" s="6" t="s">
        <v>157</v>
      </c>
      <c r="P898" s="19">
        <v>0</v>
      </c>
    </row>
    <row r="899" spans="8:16" ht="15.75" customHeight="1" x14ac:dyDescent="0.3">
      <c r="H899" s="6" t="s">
        <v>202</v>
      </c>
      <c r="I899" s="6" t="s">
        <v>131</v>
      </c>
      <c r="J899" s="6" t="s">
        <v>153</v>
      </c>
      <c r="K899" s="19">
        <v>0</v>
      </c>
      <c r="L899" s="6" t="s">
        <v>178</v>
      </c>
      <c r="M899" s="6" t="s">
        <v>307</v>
      </c>
      <c r="N899" s="6" t="s">
        <v>158</v>
      </c>
      <c r="O899" s="6" t="s">
        <v>159</v>
      </c>
      <c r="P899" s="19">
        <v>1</v>
      </c>
    </row>
    <row r="900" spans="8:16" ht="15.75" customHeight="1" x14ac:dyDescent="0.3">
      <c r="H900" s="6" t="s">
        <v>202</v>
      </c>
      <c r="I900" s="6" t="s">
        <v>133</v>
      </c>
      <c r="J900" s="6" t="s">
        <v>154</v>
      </c>
      <c r="K900" s="19">
        <v>0</v>
      </c>
      <c r="L900" s="6" t="s">
        <v>178</v>
      </c>
      <c r="M900" s="6" t="s">
        <v>307</v>
      </c>
      <c r="N900" s="6" t="s">
        <v>160</v>
      </c>
      <c r="O900" s="6" t="s">
        <v>161</v>
      </c>
      <c r="P900" s="19">
        <v>10</v>
      </c>
    </row>
    <row r="901" spans="8:16" ht="15.75" customHeight="1" x14ac:dyDescent="0.3">
      <c r="H901" s="6" t="s">
        <v>202</v>
      </c>
      <c r="I901" s="6" t="s">
        <v>134</v>
      </c>
      <c r="J901" s="6" t="s">
        <v>155</v>
      </c>
      <c r="K901" s="19">
        <v>1</v>
      </c>
      <c r="L901" s="6" t="s">
        <v>178</v>
      </c>
      <c r="M901" s="6" t="s">
        <v>307</v>
      </c>
      <c r="N901" s="6" t="s">
        <v>162</v>
      </c>
      <c r="O901" s="6" t="s">
        <v>163</v>
      </c>
      <c r="P901" s="19">
        <v>0</v>
      </c>
    </row>
    <row r="902" spans="8:16" ht="15.75" customHeight="1" x14ac:dyDescent="0.3">
      <c r="H902" s="6" t="s">
        <v>203</v>
      </c>
      <c r="I902" s="6" t="s">
        <v>58</v>
      </c>
      <c r="J902" s="6" t="s">
        <v>60</v>
      </c>
      <c r="K902" s="19">
        <v>0</v>
      </c>
      <c r="L902" s="6" t="s">
        <v>178</v>
      </c>
      <c r="M902" s="6" t="s">
        <v>307</v>
      </c>
      <c r="N902" s="6" t="s">
        <v>165</v>
      </c>
      <c r="O902" s="6" t="s">
        <v>166</v>
      </c>
      <c r="P902" s="19">
        <v>1</v>
      </c>
    </row>
    <row r="903" spans="8:16" ht="15.75" customHeight="1" x14ac:dyDescent="0.3">
      <c r="H903" s="6" t="s">
        <v>203</v>
      </c>
      <c r="I903" s="6" t="s">
        <v>72</v>
      </c>
      <c r="J903" s="6" t="s">
        <v>82</v>
      </c>
      <c r="K903" s="19">
        <v>0</v>
      </c>
      <c r="L903" s="6" t="s">
        <v>178</v>
      </c>
      <c r="M903" s="6" t="s">
        <v>310</v>
      </c>
      <c r="N903" s="6" t="s">
        <v>72</v>
      </c>
      <c r="O903" s="6" t="s">
        <v>75</v>
      </c>
      <c r="P903" s="19">
        <v>2</v>
      </c>
    </row>
    <row r="904" spans="8:16" ht="15.75" customHeight="1" x14ac:dyDescent="0.3">
      <c r="H904" s="6" t="s">
        <v>203</v>
      </c>
      <c r="I904" s="6" t="s">
        <v>85</v>
      </c>
      <c r="J904" s="6" t="s">
        <v>86</v>
      </c>
      <c r="K904" s="19">
        <v>1</v>
      </c>
      <c r="L904" s="6" t="s">
        <v>178</v>
      </c>
      <c r="M904" s="6" t="s">
        <v>310</v>
      </c>
      <c r="N904" s="6" t="s">
        <v>83</v>
      </c>
      <c r="O904" s="6" t="s">
        <v>84</v>
      </c>
      <c r="P904" s="19">
        <v>1</v>
      </c>
    </row>
    <row r="905" spans="8:16" ht="15.75" customHeight="1" x14ac:dyDescent="0.3">
      <c r="H905" s="6" t="s">
        <v>203</v>
      </c>
      <c r="I905" s="6" t="s">
        <v>93</v>
      </c>
      <c r="J905" s="6" t="s">
        <v>94</v>
      </c>
      <c r="K905" s="19">
        <v>1</v>
      </c>
      <c r="L905" s="6" t="s">
        <v>178</v>
      </c>
      <c r="M905" s="6" t="s">
        <v>310</v>
      </c>
      <c r="N905" s="6" t="s">
        <v>88</v>
      </c>
      <c r="O905" s="6" t="s">
        <v>90</v>
      </c>
      <c r="P905" s="17">
        <v>0.4</v>
      </c>
    </row>
    <row r="906" spans="8:16" ht="15.75" customHeight="1" x14ac:dyDescent="0.3">
      <c r="H906" s="6" t="s">
        <v>203</v>
      </c>
      <c r="I906" s="6" t="s">
        <v>98</v>
      </c>
      <c r="J906" s="6" t="s">
        <v>99</v>
      </c>
      <c r="K906" s="19">
        <v>1</v>
      </c>
      <c r="L906" s="6" t="s">
        <v>178</v>
      </c>
      <c r="M906" s="6" t="s">
        <v>310</v>
      </c>
      <c r="N906" s="6" t="s">
        <v>96</v>
      </c>
      <c r="O906" s="6" t="s">
        <v>97</v>
      </c>
      <c r="P906" s="19">
        <v>4</v>
      </c>
    </row>
    <row r="907" spans="8:16" ht="15.75" customHeight="1" x14ac:dyDescent="0.3">
      <c r="H907" s="6" t="s">
        <v>203</v>
      </c>
      <c r="I907" s="6" t="s">
        <v>22</v>
      </c>
      <c r="J907" s="6" t="s">
        <v>103</v>
      </c>
      <c r="K907" s="19">
        <v>0</v>
      </c>
      <c r="L907" s="6" t="s">
        <v>178</v>
      </c>
      <c r="M907" s="6" t="s">
        <v>310</v>
      </c>
      <c r="N907" s="6" t="s">
        <v>100</v>
      </c>
      <c r="O907" s="6" t="s">
        <v>101</v>
      </c>
      <c r="P907" s="19">
        <v>0</v>
      </c>
    </row>
    <row r="908" spans="8:16" ht="15.75" customHeight="1" x14ac:dyDescent="0.3">
      <c r="H908" s="6" t="s">
        <v>203</v>
      </c>
      <c r="I908" s="6" t="s">
        <v>23</v>
      </c>
      <c r="J908" s="6" t="s">
        <v>106</v>
      </c>
      <c r="K908" s="19">
        <v>0</v>
      </c>
      <c r="L908" s="6" t="s">
        <v>178</v>
      </c>
      <c r="M908" s="6" t="s">
        <v>310</v>
      </c>
      <c r="N908" s="6" t="s">
        <v>22</v>
      </c>
      <c r="O908" s="6" t="s">
        <v>104</v>
      </c>
      <c r="P908" s="17">
        <v>12.833299999999999</v>
      </c>
    </row>
    <row r="909" spans="8:16" ht="15.75" customHeight="1" x14ac:dyDescent="0.3">
      <c r="H909" s="6" t="s">
        <v>203</v>
      </c>
      <c r="I909" s="6" t="s">
        <v>24</v>
      </c>
      <c r="J909" s="6" t="s">
        <v>108</v>
      </c>
      <c r="K909" s="19">
        <v>0</v>
      </c>
      <c r="L909" s="6" t="s">
        <v>178</v>
      </c>
      <c r="M909" s="6" t="s">
        <v>310</v>
      </c>
      <c r="N909" s="6" t="s">
        <v>23</v>
      </c>
      <c r="O909" s="6" t="s">
        <v>107</v>
      </c>
      <c r="P909" s="17">
        <v>2533.5369999999998</v>
      </c>
    </row>
    <row r="910" spans="8:16" ht="15.75" customHeight="1" x14ac:dyDescent="0.3">
      <c r="H910" s="6" t="s">
        <v>203</v>
      </c>
      <c r="I910" s="6" t="s">
        <v>25</v>
      </c>
      <c r="J910" s="6" t="s">
        <v>110</v>
      </c>
      <c r="K910" s="19">
        <v>5</v>
      </c>
      <c r="L910" s="6" t="s">
        <v>178</v>
      </c>
      <c r="M910" s="6" t="s">
        <v>310</v>
      </c>
      <c r="N910" s="6" t="s">
        <v>24</v>
      </c>
      <c r="O910" s="6" t="s">
        <v>109</v>
      </c>
      <c r="P910" s="17">
        <v>6.1899999999999997E-2</v>
      </c>
    </row>
    <row r="911" spans="8:16" ht="15.75" customHeight="1" x14ac:dyDescent="0.3">
      <c r="H911" s="6" t="s">
        <v>203</v>
      </c>
      <c r="I911" s="6" t="s">
        <v>26</v>
      </c>
      <c r="J911" s="6" t="s">
        <v>112</v>
      </c>
      <c r="K911" s="19">
        <v>3</v>
      </c>
      <c r="L911" s="6" t="s">
        <v>178</v>
      </c>
      <c r="M911" s="6" t="s">
        <v>310</v>
      </c>
      <c r="N911" s="6" t="s">
        <v>25</v>
      </c>
      <c r="O911" s="6" t="s">
        <v>111</v>
      </c>
      <c r="P911" s="19">
        <v>42</v>
      </c>
    </row>
    <row r="912" spans="8:16" ht="15.75" customHeight="1" x14ac:dyDescent="0.3">
      <c r="H912" s="6" t="s">
        <v>203</v>
      </c>
      <c r="I912" s="6" t="s">
        <v>27</v>
      </c>
      <c r="J912" s="6" t="s">
        <v>114</v>
      </c>
      <c r="K912" s="17">
        <v>7.9248000000000003</v>
      </c>
      <c r="L912" s="6" t="s">
        <v>178</v>
      </c>
      <c r="M912" s="6" t="s">
        <v>310</v>
      </c>
      <c r="N912" s="6" t="s">
        <v>26</v>
      </c>
      <c r="O912" s="6" t="s">
        <v>113</v>
      </c>
      <c r="P912" s="19">
        <v>26</v>
      </c>
    </row>
    <row r="913" spans="8:16" ht="15.75" customHeight="1" x14ac:dyDescent="0.3">
      <c r="H913" s="6" t="s">
        <v>203</v>
      </c>
      <c r="I913" s="6" t="s">
        <v>115</v>
      </c>
      <c r="J913" s="6" t="s">
        <v>121</v>
      </c>
      <c r="K913" s="19">
        <v>0</v>
      </c>
      <c r="L913" s="6" t="s">
        <v>178</v>
      </c>
      <c r="M913" s="6" t="s">
        <v>310</v>
      </c>
      <c r="N913" s="6" t="s">
        <v>27</v>
      </c>
      <c r="O913" s="6" t="s">
        <v>117</v>
      </c>
      <c r="P913" s="17">
        <v>197.41849999999999</v>
      </c>
    </row>
    <row r="914" spans="8:16" ht="15.75" customHeight="1" x14ac:dyDescent="0.3">
      <c r="H914" s="6" t="s">
        <v>203</v>
      </c>
      <c r="I914" s="6" t="s">
        <v>116</v>
      </c>
      <c r="J914" s="6" t="s">
        <v>132</v>
      </c>
      <c r="K914" s="19">
        <v>0</v>
      </c>
      <c r="L914" s="6" t="s">
        <v>178</v>
      </c>
      <c r="M914" s="6" t="s">
        <v>310</v>
      </c>
      <c r="N914" s="6" t="s">
        <v>29</v>
      </c>
      <c r="O914" s="6" t="s">
        <v>125</v>
      </c>
      <c r="P914" s="19">
        <v>30</v>
      </c>
    </row>
    <row r="915" spans="8:16" ht="15.75" customHeight="1" x14ac:dyDescent="0.3">
      <c r="H915" s="6" t="s">
        <v>203</v>
      </c>
      <c r="I915" s="6" t="s">
        <v>30</v>
      </c>
      <c r="J915" s="6" t="s">
        <v>137</v>
      </c>
      <c r="K915" s="19">
        <v>0</v>
      </c>
      <c r="L915" s="6" t="s">
        <v>178</v>
      </c>
      <c r="M915" s="6" t="s">
        <v>310</v>
      </c>
      <c r="N915" s="6" t="s">
        <v>135</v>
      </c>
      <c r="O915" s="6" t="s">
        <v>136</v>
      </c>
      <c r="P915" s="19">
        <v>1</v>
      </c>
    </row>
    <row r="916" spans="8:16" ht="15.75" customHeight="1" x14ac:dyDescent="0.3">
      <c r="H916" s="6" t="s">
        <v>203</v>
      </c>
      <c r="I916" s="6" t="s">
        <v>118</v>
      </c>
      <c r="J916" s="6" t="s">
        <v>140</v>
      </c>
      <c r="K916" s="19">
        <v>0</v>
      </c>
      <c r="L916" s="6" t="s">
        <v>178</v>
      </c>
      <c r="M916" s="6" t="s">
        <v>310</v>
      </c>
      <c r="N916" s="6" t="s">
        <v>138</v>
      </c>
      <c r="O916" s="6" t="s">
        <v>139</v>
      </c>
      <c r="P916" s="19">
        <v>1</v>
      </c>
    </row>
    <row r="917" spans="8:16" ht="15.75" customHeight="1" x14ac:dyDescent="0.3">
      <c r="H917" s="6" t="s">
        <v>203</v>
      </c>
      <c r="I917" s="6" t="s">
        <v>31</v>
      </c>
      <c r="J917" s="6" t="s">
        <v>141</v>
      </c>
      <c r="K917" s="19">
        <v>0</v>
      </c>
      <c r="L917" s="6" t="s">
        <v>178</v>
      </c>
      <c r="M917" s="6" t="s">
        <v>310</v>
      </c>
      <c r="N917" s="6" t="s">
        <v>30</v>
      </c>
      <c r="O917" s="6" t="s">
        <v>148</v>
      </c>
      <c r="P917" s="17">
        <v>51.564500000000002</v>
      </c>
    </row>
    <row r="918" spans="8:16" ht="15.75" customHeight="1" x14ac:dyDescent="0.3">
      <c r="H918" s="6" t="s">
        <v>203</v>
      </c>
      <c r="I918" s="6" t="s">
        <v>119</v>
      </c>
      <c r="J918" s="6" t="s">
        <v>142</v>
      </c>
      <c r="K918" s="19">
        <v>0</v>
      </c>
      <c r="L918" s="6" t="s">
        <v>178</v>
      </c>
      <c r="M918" s="6" t="s">
        <v>310</v>
      </c>
      <c r="N918" s="6" t="s">
        <v>156</v>
      </c>
      <c r="O918" s="6" t="s">
        <v>157</v>
      </c>
      <c r="P918" s="19">
        <v>1</v>
      </c>
    </row>
    <row r="919" spans="8:16" ht="15.75" customHeight="1" x14ac:dyDescent="0.3">
      <c r="H919" s="6" t="s">
        <v>203</v>
      </c>
      <c r="I919" s="6" t="s">
        <v>120</v>
      </c>
      <c r="J919" s="6" t="s">
        <v>143</v>
      </c>
      <c r="K919" s="19">
        <v>0</v>
      </c>
      <c r="L919" s="6" t="s">
        <v>178</v>
      </c>
      <c r="M919" s="6" t="s">
        <v>310</v>
      </c>
      <c r="N919" s="6" t="s">
        <v>158</v>
      </c>
      <c r="O919" s="6" t="s">
        <v>159</v>
      </c>
      <c r="P919" s="19">
        <v>3</v>
      </c>
    </row>
    <row r="920" spans="8:16" ht="15.75" customHeight="1" x14ac:dyDescent="0.3">
      <c r="H920" s="6" t="s">
        <v>203</v>
      </c>
      <c r="I920" s="6" t="s">
        <v>122</v>
      </c>
      <c r="J920" s="6" t="s">
        <v>144</v>
      </c>
      <c r="K920" s="19">
        <v>2</v>
      </c>
      <c r="L920" s="6" t="s">
        <v>178</v>
      </c>
      <c r="M920" s="6" t="s">
        <v>310</v>
      </c>
      <c r="N920" s="6" t="s">
        <v>160</v>
      </c>
      <c r="O920" s="6" t="s">
        <v>161</v>
      </c>
      <c r="P920" s="19">
        <v>8</v>
      </c>
    </row>
    <row r="921" spans="8:16" ht="15.75" customHeight="1" x14ac:dyDescent="0.3">
      <c r="H921" s="6" t="s">
        <v>203</v>
      </c>
      <c r="I921" s="6" t="s">
        <v>123</v>
      </c>
      <c r="J921" s="6" t="s">
        <v>145</v>
      </c>
      <c r="K921" s="19">
        <v>15</v>
      </c>
      <c r="L921" s="6" t="s">
        <v>178</v>
      </c>
      <c r="M921" s="6" t="s">
        <v>310</v>
      </c>
      <c r="N921" s="6" t="s">
        <v>162</v>
      </c>
      <c r="O921" s="6" t="s">
        <v>163</v>
      </c>
      <c r="P921" s="19">
        <v>1</v>
      </c>
    </row>
    <row r="922" spans="8:16" ht="15.75" customHeight="1" x14ac:dyDescent="0.3">
      <c r="H922" s="6" t="s">
        <v>203</v>
      </c>
      <c r="I922" s="6" t="s">
        <v>124</v>
      </c>
      <c r="J922" s="6" t="s">
        <v>146</v>
      </c>
      <c r="K922" s="19">
        <v>0</v>
      </c>
      <c r="L922" s="6" t="s">
        <v>178</v>
      </c>
      <c r="M922" s="6" t="s">
        <v>310</v>
      </c>
      <c r="N922" s="6" t="s">
        <v>165</v>
      </c>
      <c r="O922" s="6" t="s">
        <v>166</v>
      </c>
      <c r="P922" s="19">
        <v>1</v>
      </c>
    </row>
    <row r="923" spans="8:16" ht="15.75" customHeight="1" x14ac:dyDescent="0.3">
      <c r="H923" s="6" t="s">
        <v>203</v>
      </c>
      <c r="I923" s="6" t="s">
        <v>126</v>
      </c>
      <c r="J923" s="6" t="s">
        <v>147</v>
      </c>
      <c r="K923" s="19">
        <v>0</v>
      </c>
      <c r="L923" s="6" t="s">
        <v>178</v>
      </c>
      <c r="M923" s="6" t="s">
        <v>279</v>
      </c>
      <c r="N923" s="6" t="s">
        <v>72</v>
      </c>
      <c r="O923" s="6" t="s">
        <v>75</v>
      </c>
      <c r="P923" s="19">
        <v>6</v>
      </c>
    </row>
    <row r="924" spans="8:16" ht="15.75" customHeight="1" x14ac:dyDescent="0.3">
      <c r="H924" s="6" t="s">
        <v>203</v>
      </c>
      <c r="I924" s="6" t="s">
        <v>127</v>
      </c>
      <c r="J924" s="6" t="s">
        <v>149</v>
      </c>
      <c r="K924" s="19">
        <v>13</v>
      </c>
      <c r="L924" s="6" t="s">
        <v>178</v>
      </c>
      <c r="M924" s="6" t="s">
        <v>279</v>
      </c>
      <c r="N924" s="6" t="s">
        <v>83</v>
      </c>
      <c r="O924" s="6" t="s">
        <v>84</v>
      </c>
      <c r="P924" s="19">
        <v>2</v>
      </c>
    </row>
    <row r="925" spans="8:16" ht="15.75" customHeight="1" x14ac:dyDescent="0.3">
      <c r="H925" s="6" t="s">
        <v>203</v>
      </c>
      <c r="I925" s="6" t="s">
        <v>128</v>
      </c>
      <c r="J925" s="6" t="s">
        <v>150</v>
      </c>
      <c r="K925" s="19">
        <v>0</v>
      </c>
      <c r="L925" s="6" t="s">
        <v>178</v>
      </c>
      <c r="M925" s="6" t="s">
        <v>279</v>
      </c>
      <c r="N925" s="6" t="s">
        <v>88</v>
      </c>
      <c r="O925" s="6" t="s">
        <v>90</v>
      </c>
      <c r="P925" s="17">
        <v>0.6</v>
      </c>
    </row>
    <row r="926" spans="8:16" ht="15.75" customHeight="1" x14ac:dyDescent="0.3">
      <c r="H926" s="6" t="s">
        <v>203</v>
      </c>
      <c r="I926" s="6" t="s">
        <v>129</v>
      </c>
      <c r="J926" s="6" t="s">
        <v>151</v>
      </c>
      <c r="K926" s="19">
        <v>2</v>
      </c>
      <c r="L926" s="6" t="s">
        <v>178</v>
      </c>
      <c r="M926" s="6" t="s">
        <v>279</v>
      </c>
      <c r="N926" s="6" t="s">
        <v>96</v>
      </c>
      <c r="O926" s="6" t="s">
        <v>97</v>
      </c>
      <c r="P926" s="19">
        <v>4</v>
      </c>
    </row>
    <row r="927" spans="8:16" ht="15.75" customHeight="1" x14ac:dyDescent="0.3">
      <c r="H927" s="6" t="s">
        <v>203</v>
      </c>
      <c r="I927" s="6" t="s">
        <v>130</v>
      </c>
      <c r="J927" s="6" t="s">
        <v>152</v>
      </c>
      <c r="K927" s="19">
        <v>0</v>
      </c>
      <c r="L927" s="6" t="s">
        <v>178</v>
      </c>
      <c r="M927" s="6" t="s">
        <v>279</v>
      </c>
      <c r="N927" s="6" t="s">
        <v>100</v>
      </c>
      <c r="O927" s="6" t="s">
        <v>101</v>
      </c>
      <c r="P927" s="19">
        <v>0</v>
      </c>
    </row>
    <row r="928" spans="8:16" ht="15.75" customHeight="1" x14ac:dyDescent="0.3">
      <c r="H928" s="6" t="s">
        <v>203</v>
      </c>
      <c r="I928" s="6" t="s">
        <v>131</v>
      </c>
      <c r="J928" s="6" t="s">
        <v>153</v>
      </c>
      <c r="K928" s="19">
        <v>0</v>
      </c>
      <c r="L928" s="6" t="s">
        <v>178</v>
      </c>
      <c r="M928" s="6" t="s">
        <v>279</v>
      </c>
      <c r="N928" s="6" t="s">
        <v>22</v>
      </c>
      <c r="O928" s="6" t="s">
        <v>104</v>
      </c>
      <c r="P928" s="17">
        <v>24.7273</v>
      </c>
    </row>
    <row r="929" spans="8:16" ht="15.75" customHeight="1" x14ac:dyDescent="0.3">
      <c r="H929" s="6" t="s">
        <v>203</v>
      </c>
      <c r="I929" s="6" t="s">
        <v>133</v>
      </c>
      <c r="J929" s="6" t="s">
        <v>154</v>
      </c>
      <c r="K929" s="19">
        <v>0</v>
      </c>
      <c r="L929" s="6" t="s">
        <v>178</v>
      </c>
      <c r="M929" s="6" t="s">
        <v>279</v>
      </c>
      <c r="N929" s="6" t="s">
        <v>23</v>
      </c>
      <c r="O929" s="6" t="s">
        <v>107</v>
      </c>
      <c r="P929" s="17">
        <v>7607.8576999999996</v>
      </c>
    </row>
    <row r="930" spans="8:16" ht="15.75" customHeight="1" x14ac:dyDescent="0.3">
      <c r="H930" s="6" t="s">
        <v>203</v>
      </c>
      <c r="I930" s="6" t="s">
        <v>134</v>
      </c>
      <c r="J930" s="6" t="s">
        <v>155</v>
      </c>
      <c r="K930" s="19">
        <v>0</v>
      </c>
      <c r="L930" s="6" t="s">
        <v>178</v>
      </c>
      <c r="M930" s="6" t="s">
        <v>279</v>
      </c>
      <c r="N930" s="6" t="s">
        <v>24</v>
      </c>
      <c r="O930" s="6" t="s">
        <v>109</v>
      </c>
      <c r="P930" s="17">
        <v>0.12889999999999999</v>
      </c>
    </row>
    <row r="931" spans="8:16" ht="15.75" customHeight="1" x14ac:dyDescent="0.3">
      <c r="H931" s="6" t="s">
        <v>204</v>
      </c>
      <c r="I931" s="6" t="s">
        <v>58</v>
      </c>
      <c r="J931" s="6" t="s">
        <v>60</v>
      </c>
      <c r="K931" s="19">
        <v>0</v>
      </c>
      <c r="L931" s="6" t="s">
        <v>178</v>
      </c>
      <c r="M931" s="6" t="s">
        <v>279</v>
      </c>
      <c r="N931" s="6" t="s">
        <v>25</v>
      </c>
      <c r="O931" s="6" t="s">
        <v>111</v>
      </c>
      <c r="P931" s="19">
        <v>64</v>
      </c>
    </row>
    <row r="932" spans="8:16" ht="15.75" customHeight="1" x14ac:dyDescent="0.3">
      <c r="H932" s="6" t="s">
        <v>204</v>
      </c>
      <c r="I932" s="6" t="s">
        <v>72</v>
      </c>
      <c r="J932" s="6" t="s">
        <v>82</v>
      </c>
      <c r="K932" s="19">
        <v>0</v>
      </c>
      <c r="L932" s="6" t="s">
        <v>178</v>
      </c>
      <c r="M932" s="6" t="s">
        <v>279</v>
      </c>
      <c r="N932" s="6" t="s">
        <v>26</v>
      </c>
      <c r="O932" s="6" t="s">
        <v>113</v>
      </c>
      <c r="P932" s="19">
        <v>28</v>
      </c>
    </row>
    <row r="933" spans="8:16" ht="15.75" customHeight="1" x14ac:dyDescent="0.3">
      <c r="H933" s="6" t="s">
        <v>204</v>
      </c>
      <c r="I933" s="6" t="s">
        <v>85</v>
      </c>
      <c r="J933" s="6" t="s">
        <v>86</v>
      </c>
      <c r="K933" s="19">
        <v>1</v>
      </c>
      <c r="L933" s="6" t="s">
        <v>178</v>
      </c>
      <c r="M933" s="6" t="s">
        <v>279</v>
      </c>
      <c r="N933" s="6" t="s">
        <v>27</v>
      </c>
      <c r="O933" s="6" t="s">
        <v>117</v>
      </c>
      <c r="P933" s="17">
        <v>307.67070000000001</v>
      </c>
    </row>
    <row r="934" spans="8:16" ht="15.75" customHeight="1" x14ac:dyDescent="0.3">
      <c r="H934" s="6" t="s">
        <v>204</v>
      </c>
      <c r="I934" s="6" t="s">
        <v>93</v>
      </c>
      <c r="J934" s="6" t="s">
        <v>94</v>
      </c>
      <c r="K934" s="19">
        <v>1</v>
      </c>
      <c r="L934" s="6" t="s">
        <v>178</v>
      </c>
      <c r="M934" s="6" t="s">
        <v>279</v>
      </c>
      <c r="N934" s="6" t="s">
        <v>29</v>
      </c>
      <c r="O934" s="6" t="s">
        <v>125</v>
      </c>
      <c r="P934" s="19">
        <v>33</v>
      </c>
    </row>
    <row r="935" spans="8:16" ht="15.75" customHeight="1" x14ac:dyDescent="0.3">
      <c r="H935" s="6" t="s">
        <v>204</v>
      </c>
      <c r="I935" s="6" t="s">
        <v>98</v>
      </c>
      <c r="J935" s="6" t="s">
        <v>99</v>
      </c>
      <c r="K935" s="19">
        <v>1</v>
      </c>
      <c r="L935" s="6" t="s">
        <v>178</v>
      </c>
      <c r="M935" s="6" t="s">
        <v>279</v>
      </c>
      <c r="N935" s="6" t="s">
        <v>135</v>
      </c>
      <c r="O935" s="6" t="s">
        <v>136</v>
      </c>
      <c r="P935" s="19">
        <v>1</v>
      </c>
    </row>
    <row r="936" spans="8:16" ht="15.75" customHeight="1" x14ac:dyDescent="0.3">
      <c r="H936" s="6" t="s">
        <v>204</v>
      </c>
      <c r="I936" s="6" t="s">
        <v>22</v>
      </c>
      <c r="J936" s="6" t="s">
        <v>103</v>
      </c>
      <c r="K936" s="19">
        <v>0</v>
      </c>
      <c r="L936" s="6" t="s">
        <v>178</v>
      </c>
      <c r="M936" s="6" t="s">
        <v>279</v>
      </c>
      <c r="N936" s="6" t="s">
        <v>138</v>
      </c>
      <c r="O936" s="6" t="s">
        <v>139</v>
      </c>
      <c r="P936" s="19">
        <v>0</v>
      </c>
    </row>
    <row r="937" spans="8:16" ht="15.75" customHeight="1" x14ac:dyDescent="0.3">
      <c r="H937" s="6" t="s">
        <v>204</v>
      </c>
      <c r="I937" s="6" t="s">
        <v>23</v>
      </c>
      <c r="J937" s="6" t="s">
        <v>106</v>
      </c>
      <c r="K937" s="19">
        <v>0</v>
      </c>
      <c r="L937" s="6" t="s">
        <v>178</v>
      </c>
      <c r="M937" s="6" t="s">
        <v>279</v>
      </c>
      <c r="N937" s="6" t="s">
        <v>30</v>
      </c>
      <c r="O937" s="6" t="s">
        <v>148</v>
      </c>
      <c r="P937" s="17">
        <v>49.219200000000001</v>
      </c>
    </row>
    <row r="938" spans="8:16" ht="15.75" customHeight="1" x14ac:dyDescent="0.3">
      <c r="H938" s="6" t="s">
        <v>204</v>
      </c>
      <c r="I938" s="6" t="s">
        <v>24</v>
      </c>
      <c r="J938" s="6" t="s">
        <v>108</v>
      </c>
      <c r="K938" s="19">
        <v>0</v>
      </c>
      <c r="L938" s="6" t="s">
        <v>178</v>
      </c>
      <c r="M938" s="6" t="s">
        <v>279</v>
      </c>
      <c r="N938" s="6" t="s">
        <v>156</v>
      </c>
      <c r="O938" s="6" t="s">
        <v>157</v>
      </c>
      <c r="P938" s="19">
        <v>2</v>
      </c>
    </row>
    <row r="939" spans="8:16" ht="15.75" customHeight="1" x14ac:dyDescent="0.3">
      <c r="H939" s="6" t="s">
        <v>204</v>
      </c>
      <c r="I939" s="6" t="s">
        <v>25</v>
      </c>
      <c r="J939" s="6" t="s">
        <v>110</v>
      </c>
      <c r="K939" s="19">
        <v>8</v>
      </c>
      <c r="L939" s="6" t="s">
        <v>178</v>
      </c>
      <c r="M939" s="6" t="s">
        <v>279</v>
      </c>
      <c r="N939" s="6" t="s">
        <v>158</v>
      </c>
      <c r="O939" s="6" t="s">
        <v>159</v>
      </c>
      <c r="P939" s="19">
        <v>6</v>
      </c>
    </row>
    <row r="940" spans="8:16" ht="15.75" customHeight="1" x14ac:dyDescent="0.3">
      <c r="H940" s="6" t="s">
        <v>204</v>
      </c>
      <c r="I940" s="6" t="s">
        <v>26</v>
      </c>
      <c r="J940" s="6" t="s">
        <v>112</v>
      </c>
      <c r="K940" s="19">
        <v>4</v>
      </c>
      <c r="L940" s="6" t="s">
        <v>178</v>
      </c>
      <c r="M940" s="6" t="s">
        <v>279</v>
      </c>
      <c r="N940" s="6" t="s">
        <v>160</v>
      </c>
      <c r="O940" s="6" t="s">
        <v>161</v>
      </c>
      <c r="P940" s="19">
        <v>8</v>
      </c>
    </row>
    <row r="941" spans="8:16" ht="15.75" customHeight="1" x14ac:dyDescent="0.3">
      <c r="H941" s="6" t="s">
        <v>204</v>
      </c>
      <c r="I941" s="6" t="s">
        <v>27</v>
      </c>
      <c r="J941" s="6" t="s">
        <v>114</v>
      </c>
      <c r="K941" s="19">
        <v>16</v>
      </c>
      <c r="L941" s="6" t="s">
        <v>178</v>
      </c>
      <c r="M941" s="6" t="s">
        <v>279</v>
      </c>
      <c r="N941" s="6" t="s">
        <v>162</v>
      </c>
      <c r="O941" s="6" t="s">
        <v>163</v>
      </c>
      <c r="P941" s="19">
        <v>0</v>
      </c>
    </row>
    <row r="942" spans="8:16" ht="15.75" customHeight="1" x14ac:dyDescent="0.3">
      <c r="H942" s="6" t="s">
        <v>204</v>
      </c>
      <c r="I942" s="6" t="s">
        <v>115</v>
      </c>
      <c r="J942" s="6" t="s">
        <v>121</v>
      </c>
      <c r="K942" s="19">
        <v>0</v>
      </c>
      <c r="L942" s="6" t="s">
        <v>178</v>
      </c>
      <c r="M942" s="6" t="s">
        <v>279</v>
      </c>
      <c r="N942" s="6" t="s">
        <v>165</v>
      </c>
      <c r="O942" s="6" t="s">
        <v>166</v>
      </c>
      <c r="P942" s="19">
        <v>2</v>
      </c>
    </row>
    <row r="943" spans="8:16" ht="15.75" customHeight="1" x14ac:dyDescent="0.3">
      <c r="H943" s="6" t="s">
        <v>204</v>
      </c>
      <c r="I943" s="6" t="s">
        <v>116</v>
      </c>
      <c r="J943" s="6" t="s">
        <v>132</v>
      </c>
      <c r="K943" s="19">
        <v>0</v>
      </c>
      <c r="L943" s="6" t="s">
        <v>178</v>
      </c>
      <c r="M943" s="6" t="s">
        <v>315</v>
      </c>
      <c r="N943" s="6" t="s">
        <v>72</v>
      </c>
      <c r="O943" s="6" t="s">
        <v>75</v>
      </c>
      <c r="P943" s="19">
        <v>0</v>
      </c>
    </row>
    <row r="944" spans="8:16" ht="15.75" customHeight="1" x14ac:dyDescent="0.3">
      <c r="H944" s="6" t="s">
        <v>204</v>
      </c>
      <c r="I944" s="6" t="s">
        <v>30</v>
      </c>
      <c r="J944" s="6" t="s">
        <v>137</v>
      </c>
      <c r="K944" s="19">
        <v>0</v>
      </c>
      <c r="L944" s="6" t="s">
        <v>178</v>
      </c>
      <c r="M944" s="6" t="s">
        <v>315</v>
      </c>
      <c r="N944" s="6" t="s">
        <v>83</v>
      </c>
      <c r="O944" s="6" t="s">
        <v>84</v>
      </c>
      <c r="P944" s="19">
        <v>0</v>
      </c>
    </row>
    <row r="945" spans="8:16" ht="15.75" customHeight="1" x14ac:dyDescent="0.3">
      <c r="H945" s="6" t="s">
        <v>204</v>
      </c>
      <c r="I945" s="6" t="s">
        <v>118</v>
      </c>
      <c r="J945" s="6" t="s">
        <v>140</v>
      </c>
      <c r="K945" s="19">
        <v>0</v>
      </c>
      <c r="L945" s="6" t="s">
        <v>178</v>
      </c>
      <c r="M945" s="6" t="s">
        <v>315</v>
      </c>
      <c r="N945" s="6" t="s">
        <v>88</v>
      </c>
      <c r="O945" s="6" t="s">
        <v>90</v>
      </c>
      <c r="P945" s="19">
        <v>0</v>
      </c>
    </row>
    <row r="946" spans="8:16" ht="15.75" customHeight="1" x14ac:dyDescent="0.3">
      <c r="H946" s="6" t="s">
        <v>204</v>
      </c>
      <c r="I946" s="6" t="s">
        <v>31</v>
      </c>
      <c r="J946" s="6" t="s">
        <v>141</v>
      </c>
      <c r="K946" s="19">
        <v>0</v>
      </c>
      <c r="L946" s="6" t="s">
        <v>178</v>
      </c>
      <c r="M946" s="6" t="s">
        <v>315</v>
      </c>
      <c r="N946" s="6" t="s">
        <v>96</v>
      </c>
      <c r="O946" s="6" t="s">
        <v>97</v>
      </c>
      <c r="P946" s="19">
        <v>0</v>
      </c>
    </row>
    <row r="947" spans="8:16" ht="15.75" customHeight="1" x14ac:dyDescent="0.3">
      <c r="H947" s="6" t="s">
        <v>204</v>
      </c>
      <c r="I947" s="6" t="s">
        <v>119</v>
      </c>
      <c r="J947" s="6" t="s">
        <v>142</v>
      </c>
      <c r="K947" s="19">
        <v>0</v>
      </c>
      <c r="L947" s="6" t="s">
        <v>178</v>
      </c>
      <c r="M947" s="6" t="s">
        <v>315</v>
      </c>
      <c r="N947" s="6" t="s">
        <v>100</v>
      </c>
      <c r="O947" s="6" t="s">
        <v>101</v>
      </c>
      <c r="P947" s="19">
        <v>0</v>
      </c>
    </row>
    <row r="948" spans="8:16" ht="15.75" customHeight="1" x14ac:dyDescent="0.3">
      <c r="H948" s="6" t="s">
        <v>204</v>
      </c>
      <c r="I948" s="6" t="s">
        <v>120</v>
      </c>
      <c r="J948" s="6" t="s">
        <v>143</v>
      </c>
      <c r="K948" s="19">
        <v>0</v>
      </c>
      <c r="L948" s="6" t="s">
        <v>178</v>
      </c>
      <c r="M948" s="6" t="s">
        <v>315</v>
      </c>
      <c r="N948" s="6" t="s">
        <v>22</v>
      </c>
      <c r="O948" s="6" t="s">
        <v>104</v>
      </c>
      <c r="P948" s="19">
        <v>1</v>
      </c>
    </row>
    <row r="949" spans="8:16" ht="15.75" customHeight="1" x14ac:dyDescent="0.3">
      <c r="H949" s="6" t="s">
        <v>204</v>
      </c>
      <c r="I949" s="6" t="s">
        <v>122</v>
      </c>
      <c r="J949" s="6" t="s">
        <v>144</v>
      </c>
      <c r="K949" s="19">
        <v>4</v>
      </c>
      <c r="L949" s="6" t="s">
        <v>178</v>
      </c>
      <c r="M949" s="6" t="s">
        <v>315</v>
      </c>
      <c r="N949" s="6" t="s">
        <v>23</v>
      </c>
      <c r="O949" s="6" t="s">
        <v>107</v>
      </c>
      <c r="P949" s="17">
        <v>4.7549000000000001</v>
      </c>
    </row>
    <row r="950" spans="8:16" ht="15.75" customHeight="1" x14ac:dyDescent="0.3">
      <c r="H950" s="6" t="s">
        <v>204</v>
      </c>
      <c r="I950" s="6" t="s">
        <v>123</v>
      </c>
      <c r="J950" s="6" t="s">
        <v>145</v>
      </c>
      <c r="K950" s="19">
        <v>17</v>
      </c>
      <c r="L950" s="6" t="s">
        <v>178</v>
      </c>
      <c r="M950" s="6" t="s">
        <v>315</v>
      </c>
      <c r="N950" s="6" t="s">
        <v>24</v>
      </c>
      <c r="O950" s="6" t="s">
        <v>109</v>
      </c>
      <c r="P950" s="17">
        <v>8.9999999999999998E-4</v>
      </c>
    </row>
    <row r="951" spans="8:16" ht="15.75" customHeight="1" x14ac:dyDescent="0.3">
      <c r="H951" s="6" t="s">
        <v>204</v>
      </c>
      <c r="I951" s="6" t="s">
        <v>124</v>
      </c>
      <c r="J951" s="6" t="s">
        <v>146</v>
      </c>
      <c r="K951" s="19">
        <v>0</v>
      </c>
      <c r="L951" s="6" t="s">
        <v>178</v>
      </c>
      <c r="M951" s="6" t="s">
        <v>315</v>
      </c>
      <c r="N951" s="6" t="s">
        <v>25</v>
      </c>
      <c r="O951" s="6" t="s">
        <v>111</v>
      </c>
      <c r="P951" s="19">
        <v>3</v>
      </c>
    </row>
    <row r="952" spans="8:16" ht="15.75" customHeight="1" x14ac:dyDescent="0.3">
      <c r="H952" s="6" t="s">
        <v>204</v>
      </c>
      <c r="I952" s="6" t="s">
        <v>126</v>
      </c>
      <c r="J952" s="6" t="s">
        <v>147</v>
      </c>
      <c r="K952" s="19">
        <v>0</v>
      </c>
      <c r="L952" s="6" t="s">
        <v>178</v>
      </c>
      <c r="M952" s="6" t="s">
        <v>315</v>
      </c>
      <c r="N952" s="6" t="s">
        <v>26</v>
      </c>
      <c r="O952" s="6" t="s">
        <v>113</v>
      </c>
      <c r="P952" s="19">
        <v>3</v>
      </c>
    </row>
    <row r="953" spans="8:16" ht="15.75" customHeight="1" x14ac:dyDescent="0.3">
      <c r="H953" s="6" t="s">
        <v>204</v>
      </c>
      <c r="I953" s="6" t="s">
        <v>127</v>
      </c>
      <c r="J953" s="6" t="s">
        <v>149</v>
      </c>
      <c r="K953" s="19">
        <v>13</v>
      </c>
      <c r="L953" s="6" t="s">
        <v>178</v>
      </c>
      <c r="M953" s="6" t="s">
        <v>315</v>
      </c>
      <c r="N953" s="6" t="s">
        <v>27</v>
      </c>
      <c r="O953" s="6" t="s">
        <v>117</v>
      </c>
      <c r="P953" s="17">
        <v>4.7549000000000001</v>
      </c>
    </row>
    <row r="954" spans="8:16" ht="15.75" customHeight="1" x14ac:dyDescent="0.3">
      <c r="H954" s="6" t="s">
        <v>204</v>
      </c>
      <c r="I954" s="6" t="s">
        <v>128</v>
      </c>
      <c r="J954" s="6" t="s">
        <v>150</v>
      </c>
      <c r="K954" s="19">
        <v>0</v>
      </c>
      <c r="L954" s="6" t="s">
        <v>178</v>
      </c>
      <c r="M954" s="6" t="s">
        <v>315</v>
      </c>
      <c r="N954" s="6" t="s">
        <v>29</v>
      </c>
      <c r="O954" s="6" t="s">
        <v>125</v>
      </c>
      <c r="P954" s="19">
        <v>5</v>
      </c>
    </row>
    <row r="955" spans="8:16" ht="15.75" customHeight="1" x14ac:dyDescent="0.3">
      <c r="H955" s="6" t="s">
        <v>204</v>
      </c>
      <c r="I955" s="6" t="s">
        <v>129</v>
      </c>
      <c r="J955" s="6" t="s">
        <v>151</v>
      </c>
      <c r="K955" s="19">
        <v>4</v>
      </c>
      <c r="L955" s="6" t="s">
        <v>178</v>
      </c>
      <c r="M955" s="6" t="s">
        <v>315</v>
      </c>
      <c r="N955" s="6" t="s">
        <v>135</v>
      </c>
      <c r="O955" s="6" t="s">
        <v>136</v>
      </c>
      <c r="P955" s="19">
        <v>1</v>
      </c>
    </row>
    <row r="956" spans="8:16" ht="15.75" customHeight="1" x14ac:dyDescent="0.3">
      <c r="H956" s="6" t="s">
        <v>204</v>
      </c>
      <c r="I956" s="6" t="s">
        <v>130</v>
      </c>
      <c r="J956" s="6" t="s">
        <v>152</v>
      </c>
      <c r="K956" s="19">
        <v>0</v>
      </c>
      <c r="L956" s="6" t="s">
        <v>178</v>
      </c>
      <c r="M956" s="6" t="s">
        <v>315</v>
      </c>
      <c r="N956" s="6" t="s">
        <v>138</v>
      </c>
      <c r="O956" s="6" t="s">
        <v>139</v>
      </c>
      <c r="P956" s="19">
        <v>0</v>
      </c>
    </row>
    <row r="957" spans="8:16" ht="15.75" customHeight="1" x14ac:dyDescent="0.3">
      <c r="H957" s="6" t="s">
        <v>204</v>
      </c>
      <c r="I957" s="6" t="s">
        <v>131</v>
      </c>
      <c r="J957" s="6" t="s">
        <v>153</v>
      </c>
      <c r="K957" s="19">
        <v>0</v>
      </c>
      <c r="L957" s="6" t="s">
        <v>178</v>
      </c>
      <c r="M957" s="6" t="s">
        <v>315</v>
      </c>
      <c r="N957" s="6" t="s">
        <v>30</v>
      </c>
      <c r="O957" s="6" t="s">
        <v>148</v>
      </c>
      <c r="P957" s="17">
        <v>80.537099999999995</v>
      </c>
    </row>
    <row r="958" spans="8:16" ht="15.75" customHeight="1" x14ac:dyDescent="0.3">
      <c r="H958" s="6" t="s">
        <v>204</v>
      </c>
      <c r="I958" s="6" t="s">
        <v>133</v>
      </c>
      <c r="J958" s="6" t="s">
        <v>154</v>
      </c>
      <c r="K958" s="19">
        <v>0</v>
      </c>
      <c r="L958" s="6" t="s">
        <v>178</v>
      </c>
      <c r="M958" s="6" t="s">
        <v>315</v>
      </c>
      <c r="N958" s="6" t="s">
        <v>156</v>
      </c>
      <c r="O958" s="6" t="s">
        <v>157</v>
      </c>
      <c r="P958" s="19">
        <v>0</v>
      </c>
    </row>
    <row r="959" spans="8:16" ht="15.75" customHeight="1" x14ac:dyDescent="0.3">
      <c r="H959" s="6" t="s">
        <v>204</v>
      </c>
      <c r="I959" s="6" t="s">
        <v>134</v>
      </c>
      <c r="J959" s="6" t="s">
        <v>155</v>
      </c>
      <c r="K959" s="19">
        <v>0</v>
      </c>
      <c r="L959" s="6" t="s">
        <v>178</v>
      </c>
      <c r="M959" s="6" t="s">
        <v>315</v>
      </c>
      <c r="N959" s="6" t="s">
        <v>158</v>
      </c>
      <c r="O959" s="6" t="s">
        <v>159</v>
      </c>
      <c r="P959" s="19">
        <v>1</v>
      </c>
    </row>
    <row r="960" spans="8:16" ht="15.75" customHeight="1" x14ac:dyDescent="0.3">
      <c r="H960" s="6" t="s">
        <v>205</v>
      </c>
      <c r="I960" s="6" t="s">
        <v>58</v>
      </c>
      <c r="J960" s="6" t="s">
        <v>60</v>
      </c>
      <c r="K960" s="19">
        <v>0</v>
      </c>
      <c r="L960" s="6" t="s">
        <v>178</v>
      </c>
      <c r="M960" s="6" t="s">
        <v>315</v>
      </c>
      <c r="N960" s="6" t="s">
        <v>160</v>
      </c>
      <c r="O960" s="6" t="s">
        <v>161</v>
      </c>
      <c r="P960" s="19">
        <v>1</v>
      </c>
    </row>
    <row r="961" spans="8:16" ht="15.75" customHeight="1" x14ac:dyDescent="0.3">
      <c r="H961" s="6" t="s">
        <v>205</v>
      </c>
      <c r="I961" s="6" t="s">
        <v>72</v>
      </c>
      <c r="J961" s="6" t="s">
        <v>82</v>
      </c>
      <c r="K961" s="19">
        <v>0</v>
      </c>
      <c r="L961" s="6" t="s">
        <v>178</v>
      </c>
      <c r="M961" s="6" t="s">
        <v>315</v>
      </c>
      <c r="N961" s="6" t="s">
        <v>162</v>
      </c>
      <c r="O961" s="6" t="s">
        <v>163</v>
      </c>
      <c r="P961" s="19">
        <v>0</v>
      </c>
    </row>
    <row r="962" spans="8:16" ht="15.75" customHeight="1" x14ac:dyDescent="0.3">
      <c r="H962" s="6" t="s">
        <v>205</v>
      </c>
      <c r="I962" s="6" t="s">
        <v>85</v>
      </c>
      <c r="J962" s="6" t="s">
        <v>86</v>
      </c>
      <c r="K962" s="19">
        <v>3</v>
      </c>
      <c r="L962" s="6" t="s">
        <v>178</v>
      </c>
      <c r="M962" s="6" t="s">
        <v>315</v>
      </c>
      <c r="N962" s="6" t="s">
        <v>165</v>
      </c>
      <c r="O962" s="6" t="s">
        <v>166</v>
      </c>
      <c r="P962" s="19">
        <v>0</v>
      </c>
    </row>
    <row r="963" spans="8:16" ht="15.75" customHeight="1" x14ac:dyDescent="0.3">
      <c r="H963" s="6" t="s">
        <v>205</v>
      </c>
      <c r="I963" s="6" t="s">
        <v>93</v>
      </c>
      <c r="J963" s="6" t="s">
        <v>94</v>
      </c>
      <c r="K963" s="19">
        <v>1</v>
      </c>
      <c r="L963" s="6" t="s">
        <v>178</v>
      </c>
      <c r="M963" s="6" t="s">
        <v>319</v>
      </c>
      <c r="N963" s="6" t="s">
        <v>72</v>
      </c>
      <c r="O963" s="6" t="s">
        <v>75</v>
      </c>
      <c r="P963" s="19">
        <v>0</v>
      </c>
    </row>
    <row r="964" spans="8:16" ht="15.75" customHeight="1" x14ac:dyDescent="0.3">
      <c r="H964" s="6" t="s">
        <v>205</v>
      </c>
      <c r="I964" s="6" t="s">
        <v>98</v>
      </c>
      <c r="J964" s="6" t="s">
        <v>99</v>
      </c>
      <c r="K964" s="19">
        <v>1</v>
      </c>
      <c r="L964" s="6" t="s">
        <v>178</v>
      </c>
      <c r="M964" s="6" t="s">
        <v>319</v>
      </c>
      <c r="N964" s="6" t="s">
        <v>83</v>
      </c>
      <c r="O964" s="6" t="s">
        <v>84</v>
      </c>
      <c r="P964" s="19">
        <v>0</v>
      </c>
    </row>
    <row r="965" spans="8:16" ht="15.75" customHeight="1" x14ac:dyDescent="0.3">
      <c r="H965" s="6" t="s">
        <v>205</v>
      </c>
      <c r="I965" s="6" t="s">
        <v>22</v>
      </c>
      <c r="J965" s="6" t="s">
        <v>103</v>
      </c>
      <c r="K965" s="19">
        <v>0</v>
      </c>
      <c r="L965" s="6" t="s">
        <v>178</v>
      </c>
      <c r="M965" s="6" t="s">
        <v>319</v>
      </c>
      <c r="N965" s="6" t="s">
        <v>88</v>
      </c>
      <c r="O965" s="6" t="s">
        <v>90</v>
      </c>
      <c r="P965" s="19">
        <v>0</v>
      </c>
    </row>
    <row r="966" spans="8:16" ht="15.75" customHeight="1" x14ac:dyDescent="0.3">
      <c r="H966" s="6" t="s">
        <v>205</v>
      </c>
      <c r="I966" s="6" t="s">
        <v>23</v>
      </c>
      <c r="J966" s="6" t="s">
        <v>106</v>
      </c>
      <c r="K966" s="19">
        <v>0</v>
      </c>
      <c r="L966" s="6" t="s">
        <v>178</v>
      </c>
      <c r="M966" s="6" t="s">
        <v>319</v>
      </c>
      <c r="N966" s="6" t="s">
        <v>96</v>
      </c>
      <c r="O966" s="6" t="s">
        <v>97</v>
      </c>
      <c r="P966" s="19">
        <v>0</v>
      </c>
    </row>
    <row r="967" spans="8:16" ht="15.75" customHeight="1" x14ac:dyDescent="0.3">
      <c r="H967" s="6" t="s">
        <v>205</v>
      </c>
      <c r="I967" s="6" t="s">
        <v>24</v>
      </c>
      <c r="J967" s="6" t="s">
        <v>108</v>
      </c>
      <c r="K967" s="19">
        <v>0</v>
      </c>
      <c r="L967" s="6" t="s">
        <v>178</v>
      </c>
      <c r="M967" s="6" t="s">
        <v>319</v>
      </c>
      <c r="N967" s="6" t="s">
        <v>100</v>
      </c>
      <c r="O967" s="6" t="s">
        <v>101</v>
      </c>
      <c r="P967" s="19">
        <v>0</v>
      </c>
    </row>
    <row r="968" spans="8:16" ht="15.75" customHeight="1" x14ac:dyDescent="0.3">
      <c r="H968" s="6" t="s">
        <v>205</v>
      </c>
      <c r="I968" s="6" t="s">
        <v>25</v>
      </c>
      <c r="J968" s="6" t="s">
        <v>110</v>
      </c>
      <c r="K968" s="19">
        <v>6</v>
      </c>
      <c r="L968" s="6" t="s">
        <v>178</v>
      </c>
      <c r="M968" s="6" t="s">
        <v>319</v>
      </c>
      <c r="N968" s="6" t="s">
        <v>22</v>
      </c>
      <c r="O968" s="6" t="s">
        <v>104</v>
      </c>
      <c r="P968" s="19">
        <v>1</v>
      </c>
    </row>
    <row r="969" spans="8:16" ht="15.75" customHeight="1" x14ac:dyDescent="0.3">
      <c r="H969" s="6" t="s">
        <v>205</v>
      </c>
      <c r="I969" s="6" t="s">
        <v>26</v>
      </c>
      <c r="J969" s="6" t="s">
        <v>112</v>
      </c>
      <c r="K969" s="19">
        <v>4</v>
      </c>
      <c r="L969" s="6" t="s">
        <v>178</v>
      </c>
      <c r="M969" s="6" t="s">
        <v>319</v>
      </c>
      <c r="N969" s="6" t="s">
        <v>23</v>
      </c>
      <c r="O969" s="6" t="s">
        <v>107</v>
      </c>
      <c r="P969" s="17">
        <v>4.7549000000000001</v>
      </c>
    </row>
    <row r="970" spans="8:16" ht="15.75" customHeight="1" x14ac:dyDescent="0.3">
      <c r="H970" s="6" t="s">
        <v>205</v>
      </c>
      <c r="I970" s="6" t="s">
        <v>27</v>
      </c>
      <c r="J970" s="6" t="s">
        <v>114</v>
      </c>
      <c r="K970" s="19">
        <v>12</v>
      </c>
      <c r="L970" s="6" t="s">
        <v>178</v>
      </c>
      <c r="M970" s="6" t="s">
        <v>319</v>
      </c>
      <c r="N970" s="6" t="s">
        <v>24</v>
      </c>
      <c r="O970" s="6" t="s">
        <v>109</v>
      </c>
      <c r="P970" s="17">
        <v>8.9999999999999998E-4</v>
      </c>
    </row>
    <row r="971" spans="8:16" ht="15.75" customHeight="1" x14ac:dyDescent="0.3">
      <c r="H971" s="6" t="s">
        <v>205</v>
      </c>
      <c r="I971" s="6" t="s">
        <v>115</v>
      </c>
      <c r="J971" s="6" t="s">
        <v>121</v>
      </c>
      <c r="K971" s="19">
        <v>0</v>
      </c>
      <c r="L971" s="6" t="s">
        <v>178</v>
      </c>
      <c r="M971" s="6" t="s">
        <v>319</v>
      </c>
      <c r="N971" s="6" t="s">
        <v>25</v>
      </c>
      <c r="O971" s="6" t="s">
        <v>111</v>
      </c>
      <c r="P971" s="19">
        <v>3</v>
      </c>
    </row>
    <row r="972" spans="8:16" ht="15.75" customHeight="1" x14ac:dyDescent="0.3">
      <c r="H972" s="6" t="s">
        <v>205</v>
      </c>
      <c r="I972" s="6" t="s">
        <v>116</v>
      </c>
      <c r="J972" s="6" t="s">
        <v>132</v>
      </c>
      <c r="K972" s="19">
        <v>0</v>
      </c>
      <c r="L972" s="6" t="s">
        <v>178</v>
      </c>
      <c r="M972" s="6" t="s">
        <v>319</v>
      </c>
      <c r="N972" s="6" t="s">
        <v>26</v>
      </c>
      <c r="O972" s="6" t="s">
        <v>113</v>
      </c>
      <c r="P972" s="19">
        <v>3</v>
      </c>
    </row>
    <row r="973" spans="8:16" ht="15.75" customHeight="1" x14ac:dyDescent="0.3">
      <c r="H973" s="6" t="s">
        <v>205</v>
      </c>
      <c r="I973" s="6" t="s">
        <v>30</v>
      </c>
      <c r="J973" s="6" t="s">
        <v>137</v>
      </c>
      <c r="K973" s="19">
        <v>0</v>
      </c>
      <c r="L973" s="6" t="s">
        <v>178</v>
      </c>
      <c r="M973" s="6" t="s">
        <v>319</v>
      </c>
      <c r="N973" s="6" t="s">
        <v>27</v>
      </c>
      <c r="O973" s="6" t="s">
        <v>117</v>
      </c>
      <c r="P973" s="17">
        <v>4.7549000000000001</v>
      </c>
    </row>
    <row r="974" spans="8:16" ht="15.75" customHeight="1" x14ac:dyDescent="0.3">
      <c r="H974" s="6" t="s">
        <v>205</v>
      </c>
      <c r="I974" s="6" t="s">
        <v>118</v>
      </c>
      <c r="J974" s="6" t="s">
        <v>140</v>
      </c>
      <c r="K974" s="19">
        <v>0</v>
      </c>
      <c r="L974" s="6" t="s">
        <v>178</v>
      </c>
      <c r="M974" s="6" t="s">
        <v>319</v>
      </c>
      <c r="N974" s="6" t="s">
        <v>29</v>
      </c>
      <c r="O974" s="6" t="s">
        <v>125</v>
      </c>
      <c r="P974" s="19">
        <v>5</v>
      </c>
    </row>
    <row r="975" spans="8:16" ht="15.75" customHeight="1" x14ac:dyDescent="0.3">
      <c r="H975" s="6" t="s">
        <v>205</v>
      </c>
      <c r="I975" s="6" t="s">
        <v>31</v>
      </c>
      <c r="J975" s="6" t="s">
        <v>141</v>
      </c>
      <c r="K975" s="19">
        <v>0</v>
      </c>
      <c r="L975" s="6" t="s">
        <v>178</v>
      </c>
      <c r="M975" s="6" t="s">
        <v>319</v>
      </c>
      <c r="N975" s="6" t="s">
        <v>135</v>
      </c>
      <c r="O975" s="6" t="s">
        <v>136</v>
      </c>
      <c r="P975" s="19">
        <v>1</v>
      </c>
    </row>
    <row r="976" spans="8:16" ht="15.75" customHeight="1" x14ac:dyDescent="0.3">
      <c r="H976" s="6" t="s">
        <v>205</v>
      </c>
      <c r="I976" s="6" t="s">
        <v>119</v>
      </c>
      <c r="J976" s="6" t="s">
        <v>142</v>
      </c>
      <c r="K976" s="19">
        <v>0</v>
      </c>
      <c r="L976" s="6" t="s">
        <v>178</v>
      </c>
      <c r="M976" s="6" t="s">
        <v>319</v>
      </c>
      <c r="N976" s="6" t="s">
        <v>138</v>
      </c>
      <c r="O976" s="6" t="s">
        <v>139</v>
      </c>
      <c r="P976" s="19">
        <v>0</v>
      </c>
    </row>
    <row r="977" spans="8:16" ht="15.75" customHeight="1" x14ac:dyDescent="0.3">
      <c r="H977" s="6" t="s">
        <v>205</v>
      </c>
      <c r="I977" s="6" t="s">
        <v>120</v>
      </c>
      <c r="J977" s="6" t="s">
        <v>143</v>
      </c>
      <c r="K977" s="19">
        <v>0</v>
      </c>
      <c r="L977" s="6" t="s">
        <v>178</v>
      </c>
      <c r="M977" s="6" t="s">
        <v>319</v>
      </c>
      <c r="N977" s="6" t="s">
        <v>30</v>
      </c>
      <c r="O977" s="6" t="s">
        <v>148</v>
      </c>
      <c r="P977" s="17">
        <v>80.537099999999995</v>
      </c>
    </row>
    <row r="978" spans="8:16" ht="15.75" customHeight="1" x14ac:dyDescent="0.3">
      <c r="H978" s="6" t="s">
        <v>205</v>
      </c>
      <c r="I978" s="6" t="s">
        <v>122</v>
      </c>
      <c r="J978" s="6" t="s">
        <v>144</v>
      </c>
      <c r="K978" s="19">
        <v>2</v>
      </c>
      <c r="L978" s="6" t="s">
        <v>178</v>
      </c>
      <c r="M978" s="6" t="s">
        <v>319</v>
      </c>
      <c r="N978" s="6" t="s">
        <v>156</v>
      </c>
      <c r="O978" s="6" t="s">
        <v>157</v>
      </c>
      <c r="P978" s="19">
        <v>0</v>
      </c>
    </row>
    <row r="979" spans="8:16" ht="15.75" customHeight="1" x14ac:dyDescent="0.3">
      <c r="H979" s="6" t="s">
        <v>205</v>
      </c>
      <c r="I979" s="6" t="s">
        <v>123</v>
      </c>
      <c r="J979" s="6" t="s">
        <v>145</v>
      </c>
      <c r="K979" s="19">
        <v>15</v>
      </c>
      <c r="L979" s="6" t="s">
        <v>178</v>
      </c>
      <c r="M979" s="6" t="s">
        <v>319</v>
      </c>
      <c r="N979" s="6" t="s">
        <v>158</v>
      </c>
      <c r="O979" s="6" t="s">
        <v>159</v>
      </c>
      <c r="P979" s="19">
        <v>1</v>
      </c>
    </row>
    <row r="980" spans="8:16" ht="15.75" customHeight="1" x14ac:dyDescent="0.3">
      <c r="H980" s="6" t="s">
        <v>205</v>
      </c>
      <c r="I980" s="6" t="s">
        <v>124</v>
      </c>
      <c r="J980" s="6" t="s">
        <v>146</v>
      </c>
      <c r="K980" s="19">
        <v>0</v>
      </c>
      <c r="L980" s="6" t="s">
        <v>178</v>
      </c>
      <c r="M980" s="6" t="s">
        <v>319</v>
      </c>
      <c r="N980" s="6" t="s">
        <v>160</v>
      </c>
      <c r="O980" s="6" t="s">
        <v>161</v>
      </c>
      <c r="P980" s="19">
        <v>1</v>
      </c>
    </row>
    <row r="981" spans="8:16" ht="15.75" customHeight="1" x14ac:dyDescent="0.3">
      <c r="H981" s="6" t="s">
        <v>205</v>
      </c>
      <c r="I981" s="6" t="s">
        <v>126</v>
      </c>
      <c r="J981" s="6" t="s">
        <v>147</v>
      </c>
      <c r="K981" s="19">
        <v>0</v>
      </c>
      <c r="L981" s="6" t="s">
        <v>178</v>
      </c>
      <c r="M981" s="6" t="s">
        <v>319</v>
      </c>
      <c r="N981" s="6" t="s">
        <v>162</v>
      </c>
      <c r="O981" s="6" t="s">
        <v>163</v>
      </c>
      <c r="P981" s="19">
        <v>0</v>
      </c>
    </row>
    <row r="982" spans="8:16" ht="15.75" customHeight="1" x14ac:dyDescent="0.3">
      <c r="H982" s="6" t="s">
        <v>205</v>
      </c>
      <c r="I982" s="6" t="s">
        <v>127</v>
      </c>
      <c r="J982" s="6" t="s">
        <v>149</v>
      </c>
      <c r="K982" s="19">
        <v>13</v>
      </c>
      <c r="L982" s="6" t="s">
        <v>178</v>
      </c>
      <c r="M982" s="6" t="s">
        <v>319</v>
      </c>
      <c r="N982" s="6" t="s">
        <v>165</v>
      </c>
      <c r="O982" s="6" t="s">
        <v>166</v>
      </c>
      <c r="P982" s="19">
        <v>0</v>
      </c>
    </row>
    <row r="983" spans="8:16" ht="15.75" customHeight="1" x14ac:dyDescent="0.3">
      <c r="H983" s="6" t="s">
        <v>205</v>
      </c>
      <c r="I983" s="6" t="s">
        <v>128</v>
      </c>
      <c r="J983" s="6" t="s">
        <v>150</v>
      </c>
      <c r="K983" s="19">
        <v>0</v>
      </c>
      <c r="L983" s="6" t="s">
        <v>178</v>
      </c>
      <c r="M983" s="6" t="s">
        <v>322</v>
      </c>
      <c r="N983" s="6" t="s">
        <v>72</v>
      </c>
      <c r="O983" s="6" t="s">
        <v>75</v>
      </c>
      <c r="P983" s="19">
        <v>0</v>
      </c>
    </row>
    <row r="984" spans="8:16" ht="15.75" customHeight="1" x14ac:dyDescent="0.3">
      <c r="H984" s="6" t="s">
        <v>205</v>
      </c>
      <c r="I984" s="6" t="s">
        <v>129</v>
      </c>
      <c r="J984" s="6" t="s">
        <v>151</v>
      </c>
      <c r="K984" s="19">
        <v>2</v>
      </c>
      <c r="L984" s="6" t="s">
        <v>178</v>
      </c>
      <c r="M984" s="6" t="s">
        <v>322</v>
      </c>
      <c r="N984" s="6" t="s">
        <v>83</v>
      </c>
      <c r="O984" s="6" t="s">
        <v>84</v>
      </c>
      <c r="P984" s="19">
        <v>0</v>
      </c>
    </row>
    <row r="985" spans="8:16" ht="15.75" customHeight="1" x14ac:dyDescent="0.3">
      <c r="H985" s="6" t="s">
        <v>205</v>
      </c>
      <c r="I985" s="6" t="s">
        <v>130</v>
      </c>
      <c r="J985" s="6" t="s">
        <v>152</v>
      </c>
      <c r="K985" s="19">
        <v>0</v>
      </c>
      <c r="L985" s="6" t="s">
        <v>178</v>
      </c>
      <c r="M985" s="6" t="s">
        <v>322</v>
      </c>
      <c r="N985" s="6" t="s">
        <v>88</v>
      </c>
      <c r="O985" s="6" t="s">
        <v>90</v>
      </c>
      <c r="P985" s="19">
        <v>0</v>
      </c>
    </row>
    <row r="986" spans="8:16" ht="15.75" customHeight="1" x14ac:dyDescent="0.3">
      <c r="H986" s="6" t="s">
        <v>205</v>
      </c>
      <c r="I986" s="6" t="s">
        <v>131</v>
      </c>
      <c r="J986" s="6" t="s">
        <v>153</v>
      </c>
      <c r="K986" s="19">
        <v>0</v>
      </c>
      <c r="L986" s="6" t="s">
        <v>178</v>
      </c>
      <c r="M986" s="6" t="s">
        <v>322</v>
      </c>
      <c r="N986" s="6" t="s">
        <v>96</v>
      </c>
      <c r="O986" s="6" t="s">
        <v>97</v>
      </c>
      <c r="P986" s="19">
        <v>0</v>
      </c>
    </row>
    <row r="987" spans="8:16" ht="15.75" customHeight="1" x14ac:dyDescent="0.3">
      <c r="H987" s="6" t="s">
        <v>205</v>
      </c>
      <c r="I987" s="6" t="s">
        <v>133</v>
      </c>
      <c r="J987" s="6" t="s">
        <v>154</v>
      </c>
      <c r="K987" s="19">
        <v>0</v>
      </c>
      <c r="L987" s="6" t="s">
        <v>178</v>
      </c>
      <c r="M987" s="6" t="s">
        <v>322</v>
      </c>
      <c r="N987" s="6" t="s">
        <v>100</v>
      </c>
      <c r="O987" s="6" t="s">
        <v>101</v>
      </c>
      <c r="P987" s="19">
        <v>0</v>
      </c>
    </row>
    <row r="988" spans="8:16" ht="15.75" customHeight="1" x14ac:dyDescent="0.3">
      <c r="H988" s="6" t="s">
        <v>205</v>
      </c>
      <c r="I988" s="6" t="s">
        <v>134</v>
      </c>
      <c r="J988" s="6" t="s">
        <v>155</v>
      </c>
      <c r="K988" s="19">
        <v>0</v>
      </c>
      <c r="L988" s="6" t="s">
        <v>178</v>
      </c>
      <c r="M988" s="6" t="s">
        <v>322</v>
      </c>
      <c r="N988" s="6" t="s">
        <v>22</v>
      </c>
      <c r="O988" s="6" t="s">
        <v>104</v>
      </c>
      <c r="P988" s="19">
        <v>2</v>
      </c>
    </row>
    <row r="989" spans="8:16" ht="15.75" customHeight="1" x14ac:dyDescent="0.3">
      <c r="H989" s="6" t="s">
        <v>206</v>
      </c>
      <c r="I989" s="6" t="s">
        <v>58</v>
      </c>
      <c r="J989" s="6" t="s">
        <v>60</v>
      </c>
      <c r="K989" s="19">
        <v>0</v>
      </c>
      <c r="L989" s="6" t="s">
        <v>178</v>
      </c>
      <c r="M989" s="6" t="s">
        <v>322</v>
      </c>
      <c r="N989" s="6" t="s">
        <v>23</v>
      </c>
      <c r="O989" s="6" t="s">
        <v>107</v>
      </c>
      <c r="P989" s="17">
        <v>23.2193</v>
      </c>
    </row>
    <row r="990" spans="8:16" ht="15.75" customHeight="1" x14ac:dyDescent="0.3">
      <c r="H990" s="6" t="s">
        <v>206</v>
      </c>
      <c r="I990" s="6" t="s">
        <v>72</v>
      </c>
      <c r="J990" s="6" t="s">
        <v>82</v>
      </c>
      <c r="K990" s="19">
        <v>0</v>
      </c>
      <c r="L990" s="6" t="s">
        <v>178</v>
      </c>
      <c r="M990" s="6" t="s">
        <v>322</v>
      </c>
      <c r="N990" s="6" t="s">
        <v>24</v>
      </c>
      <c r="O990" s="6" t="s">
        <v>109</v>
      </c>
      <c r="P990" s="17">
        <v>2.7000000000000001E-3</v>
      </c>
    </row>
    <row r="991" spans="8:16" ht="15.75" customHeight="1" x14ac:dyDescent="0.3">
      <c r="H991" s="6" t="s">
        <v>206</v>
      </c>
      <c r="I991" s="6" t="s">
        <v>85</v>
      </c>
      <c r="J991" s="6" t="s">
        <v>86</v>
      </c>
      <c r="K991" s="19">
        <v>3</v>
      </c>
      <c r="L991" s="6" t="s">
        <v>178</v>
      </c>
      <c r="M991" s="6" t="s">
        <v>322</v>
      </c>
      <c r="N991" s="6" t="s">
        <v>25</v>
      </c>
      <c r="O991" s="6" t="s">
        <v>111</v>
      </c>
      <c r="P991" s="19">
        <v>5</v>
      </c>
    </row>
    <row r="992" spans="8:16" ht="15.75" customHeight="1" x14ac:dyDescent="0.3">
      <c r="H992" s="6" t="s">
        <v>206</v>
      </c>
      <c r="I992" s="6" t="s">
        <v>93</v>
      </c>
      <c r="J992" s="6" t="s">
        <v>94</v>
      </c>
      <c r="K992" s="19">
        <v>1</v>
      </c>
      <c r="L992" s="6" t="s">
        <v>178</v>
      </c>
      <c r="M992" s="6" t="s">
        <v>322</v>
      </c>
      <c r="N992" s="6" t="s">
        <v>26</v>
      </c>
      <c r="O992" s="6" t="s">
        <v>113</v>
      </c>
      <c r="P992" s="19">
        <v>5</v>
      </c>
    </row>
    <row r="993" spans="8:16" ht="15.75" customHeight="1" x14ac:dyDescent="0.3">
      <c r="H993" s="6" t="s">
        <v>206</v>
      </c>
      <c r="I993" s="6" t="s">
        <v>98</v>
      </c>
      <c r="J993" s="6" t="s">
        <v>99</v>
      </c>
      <c r="K993" s="19">
        <v>1</v>
      </c>
      <c r="L993" s="6" t="s">
        <v>178</v>
      </c>
      <c r="M993" s="6" t="s">
        <v>322</v>
      </c>
      <c r="N993" s="6" t="s">
        <v>27</v>
      </c>
      <c r="O993" s="6" t="s">
        <v>117</v>
      </c>
      <c r="P993" s="17">
        <v>11.6096</v>
      </c>
    </row>
    <row r="994" spans="8:16" ht="15.75" customHeight="1" x14ac:dyDescent="0.3">
      <c r="H994" s="6" t="s">
        <v>206</v>
      </c>
      <c r="I994" s="6" t="s">
        <v>22</v>
      </c>
      <c r="J994" s="6" t="s">
        <v>103</v>
      </c>
      <c r="K994" s="19">
        <v>0</v>
      </c>
      <c r="L994" s="6" t="s">
        <v>178</v>
      </c>
      <c r="M994" s="6" t="s">
        <v>322</v>
      </c>
      <c r="N994" s="6" t="s">
        <v>29</v>
      </c>
      <c r="O994" s="6" t="s">
        <v>125</v>
      </c>
      <c r="P994" s="19">
        <v>5</v>
      </c>
    </row>
    <row r="995" spans="8:16" ht="15.75" customHeight="1" x14ac:dyDescent="0.3">
      <c r="H995" s="6" t="s">
        <v>206</v>
      </c>
      <c r="I995" s="6" t="s">
        <v>23</v>
      </c>
      <c r="J995" s="6" t="s">
        <v>106</v>
      </c>
      <c r="K995" s="19">
        <v>0</v>
      </c>
      <c r="L995" s="6" t="s">
        <v>178</v>
      </c>
      <c r="M995" s="6" t="s">
        <v>322</v>
      </c>
      <c r="N995" s="6" t="s">
        <v>135</v>
      </c>
      <c r="O995" s="6" t="s">
        <v>136</v>
      </c>
      <c r="P995" s="19">
        <v>1</v>
      </c>
    </row>
    <row r="996" spans="8:16" ht="15.75" customHeight="1" x14ac:dyDescent="0.3">
      <c r="H996" s="6" t="s">
        <v>206</v>
      </c>
      <c r="I996" s="6" t="s">
        <v>24</v>
      </c>
      <c r="J996" s="6" t="s">
        <v>108</v>
      </c>
      <c r="K996" s="19">
        <v>0</v>
      </c>
      <c r="L996" s="6" t="s">
        <v>178</v>
      </c>
      <c r="M996" s="6" t="s">
        <v>322</v>
      </c>
      <c r="N996" s="6" t="s">
        <v>138</v>
      </c>
      <c r="O996" s="6" t="s">
        <v>139</v>
      </c>
      <c r="P996" s="19">
        <v>0</v>
      </c>
    </row>
    <row r="997" spans="8:16" ht="15.75" customHeight="1" x14ac:dyDescent="0.3">
      <c r="H997" s="6" t="s">
        <v>206</v>
      </c>
      <c r="I997" s="6" t="s">
        <v>25</v>
      </c>
      <c r="J997" s="6" t="s">
        <v>110</v>
      </c>
      <c r="K997" s="19">
        <v>4</v>
      </c>
      <c r="L997" s="6" t="s">
        <v>178</v>
      </c>
      <c r="M997" s="6" t="s">
        <v>322</v>
      </c>
      <c r="N997" s="6" t="s">
        <v>30</v>
      </c>
      <c r="O997" s="6" t="s">
        <v>148</v>
      </c>
      <c r="P997" s="17">
        <v>77.460800000000006</v>
      </c>
    </row>
    <row r="998" spans="8:16" ht="15.75" customHeight="1" x14ac:dyDescent="0.3">
      <c r="H998" s="6" t="s">
        <v>206</v>
      </c>
      <c r="I998" s="6" t="s">
        <v>26</v>
      </c>
      <c r="J998" s="6" t="s">
        <v>112</v>
      </c>
      <c r="K998" s="19">
        <v>3</v>
      </c>
      <c r="L998" s="6" t="s">
        <v>178</v>
      </c>
      <c r="M998" s="6" t="s">
        <v>322</v>
      </c>
      <c r="N998" s="6" t="s">
        <v>156</v>
      </c>
      <c r="O998" s="6" t="s">
        <v>157</v>
      </c>
      <c r="P998" s="19">
        <v>0</v>
      </c>
    </row>
    <row r="999" spans="8:16" ht="15.75" customHeight="1" x14ac:dyDescent="0.3">
      <c r="H999" s="6" t="s">
        <v>206</v>
      </c>
      <c r="I999" s="6" t="s">
        <v>27</v>
      </c>
      <c r="J999" s="6" t="s">
        <v>114</v>
      </c>
      <c r="K999" s="17">
        <v>6.3399000000000001</v>
      </c>
      <c r="L999" s="6" t="s">
        <v>178</v>
      </c>
      <c r="M999" s="6" t="s">
        <v>322</v>
      </c>
      <c r="N999" s="6" t="s">
        <v>158</v>
      </c>
      <c r="O999" s="6" t="s">
        <v>159</v>
      </c>
      <c r="P999" s="19">
        <v>1</v>
      </c>
    </row>
    <row r="1000" spans="8:16" ht="15.75" customHeight="1" x14ac:dyDescent="0.3">
      <c r="H1000" s="6" t="s">
        <v>206</v>
      </c>
      <c r="I1000" s="6" t="s">
        <v>115</v>
      </c>
      <c r="J1000" s="6" t="s">
        <v>121</v>
      </c>
      <c r="K1000" s="19">
        <v>0</v>
      </c>
      <c r="L1000" s="6" t="s">
        <v>178</v>
      </c>
      <c r="M1000" s="6" t="s">
        <v>322</v>
      </c>
      <c r="N1000" s="6" t="s">
        <v>160</v>
      </c>
      <c r="O1000" s="6" t="s">
        <v>161</v>
      </c>
      <c r="P1000" s="19">
        <v>1</v>
      </c>
    </row>
    <row r="1001" spans="8:16" ht="15.75" customHeight="1" x14ac:dyDescent="0.3">
      <c r="H1001" s="6" t="s">
        <v>206</v>
      </c>
      <c r="I1001" s="6" t="s">
        <v>116</v>
      </c>
      <c r="J1001" s="6" t="s">
        <v>132</v>
      </c>
      <c r="K1001" s="19">
        <v>0</v>
      </c>
      <c r="L1001" s="6" t="s">
        <v>178</v>
      </c>
      <c r="M1001" s="6" t="s">
        <v>322</v>
      </c>
      <c r="N1001" s="6" t="s">
        <v>162</v>
      </c>
      <c r="O1001" s="6" t="s">
        <v>163</v>
      </c>
      <c r="P1001" s="19">
        <v>0</v>
      </c>
    </row>
    <row r="1002" spans="8:16" ht="15.75" customHeight="1" x14ac:dyDescent="0.3">
      <c r="H1002" s="6" t="s">
        <v>206</v>
      </c>
      <c r="I1002" s="6" t="s">
        <v>30</v>
      </c>
      <c r="J1002" s="6" t="s">
        <v>137</v>
      </c>
      <c r="K1002" s="19">
        <v>0</v>
      </c>
      <c r="L1002" s="6" t="s">
        <v>178</v>
      </c>
      <c r="M1002" s="6" t="s">
        <v>322</v>
      </c>
      <c r="N1002" s="6" t="s">
        <v>165</v>
      </c>
      <c r="O1002" s="6" t="s">
        <v>166</v>
      </c>
      <c r="P1002" s="19">
        <v>0</v>
      </c>
    </row>
    <row r="1003" spans="8:16" ht="15.75" customHeight="1" x14ac:dyDescent="0.3">
      <c r="H1003" s="6" t="s">
        <v>206</v>
      </c>
      <c r="I1003" s="6" t="s">
        <v>118</v>
      </c>
      <c r="J1003" s="6" t="s">
        <v>140</v>
      </c>
      <c r="K1003" s="19">
        <v>0</v>
      </c>
      <c r="L1003" s="6" t="s">
        <v>178</v>
      </c>
      <c r="M1003" s="6" t="s">
        <v>327</v>
      </c>
      <c r="N1003" s="6" t="s">
        <v>72</v>
      </c>
      <c r="O1003" s="6" t="s">
        <v>75</v>
      </c>
      <c r="P1003" s="19">
        <v>0</v>
      </c>
    </row>
    <row r="1004" spans="8:16" ht="15.75" customHeight="1" x14ac:dyDescent="0.3">
      <c r="H1004" s="6" t="s">
        <v>206</v>
      </c>
      <c r="I1004" s="6" t="s">
        <v>31</v>
      </c>
      <c r="J1004" s="6" t="s">
        <v>141</v>
      </c>
      <c r="K1004" s="19">
        <v>0</v>
      </c>
      <c r="L1004" s="6" t="s">
        <v>178</v>
      </c>
      <c r="M1004" s="6" t="s">
        <v>327</v>
      </c>
      <c r="N1004" s="6" t="s">
        <v>83</v>
      </c>
      <c r="O1004" s="6" t="s">
        <v>84</v>
      </c>
      <c r="P1004" s="19">
        <v>0</v>
      </c>
    </row>
    <row r="1005" spans="8:16" ht="15.75" customHeight="1" x14ac:dyDescent="0.3">
      <c r="H1005" s="6" t="s">
        <v>206</v>
      </c>
      <c r="I1005" s="6" t="s">
        <v>119</v>
      </c>
      <c r="J1005" s="6" t="s">
        <v>142</v>
      </c>
      <c r="K1005" s="19">
        <v>0</v>
      </c>
      <c r="L1005" s="6" t="s">
        <v>178</v>
      </c>
      <c r="M1005" s="6" t="s">
        <v>327</v>
      </c>
      <c r="N1005" s="6" t="s">
        <v>88</v>
      </c>
      <c r="O1005" s="6" t="s">
        <v>90</v>
      </c>
      <c r="P1005" s="19">
        <v>0</v>
      </c>
    </row>
    <row r="1006" spans="8:16" ht="15.75" customHeight="1" x14ac:dyDescent="0.3">
      <c r="H1006" s="6" t="s">
        <v>206</v>
      </c>
      <c r="I1006" s="6" t="s">
        <v>120</v>
      </c>
      <c r="J1006" s="6" t="s">
        <v>143</v>
      </c>
      <c r="K1006" s="19">
        <v>0</v>
      </c>
      <c r="L1006" s="6" t="s">
        <v>178</v>
      </c>
      <c r="M1006" s="6" t="s">
        <v>327</v>
      </c>
      <c r="N1006" s="6" t="s">
        <v>96</v>
      </c>
      <c r="O1006" s="6" t="s">
        <v>97</v>
      </c>
      <c r="P1006" s="19">
        <v>0</v>
      </c>
    </row>
    <row r="1007" spans="8:16" ht="15.75" customHeight="1" x14ac:dyDescent="0.3">
      <c r="H1007" s="6" t="s">
        <v>206</v>
      </c>
      <c r="I1007" s="6" t="s">
        <v>122</v>
      </c>
      <c r="J1007" s="6" t="s">
        <v>144</v>
      </c>
      <c r="K1007" s="19">
        <v>1</v>
      </c>
      <c r="L1007" s="6" t="s">
        <v>178</v>
      </c>
      <c r="M1007" s="6" t="s">
        <v>327</v>
      </c>
      <c r="N1007" s="6" t="s">
        <v>100</v>
      </c>
      <c r="O1007" s="6" t="s">
        <v>101</v>
      </c>
      <c r="P1007" s="19">
        <v>0</v>
      </c>
    </row>
    <row r="1008" spans="8:16" ht="15.75" customHeight="1" x14ac:dyDescent="0.3">
      <c r="H1008" s="6" t="s">
        <v>206</v>
      </c>
      <c r="I1008" s="6" t="s">
        <v>123</v>
      </c>
      <c r="J1008" s="6" t="s">
        <v>145</v>
      </c>
      <c r="K1008" s="19">
        <v>14</v>
      </c>
      <c r="L1008" s="6" t="s">
        <v>178</v>
      </c>
      <c r="M1008" s="6" t="s">
        <v>327</v>
      </c>
      <c r="N1008" s="6" t="s">
        <v>22</v>
      </c>
      <c r="O1008" s="6" t="s">
        <v>104</v>
      </c>
      <c r="P1008" s="19">
        <v>2</v>
      </c>
    </row>
    <row r="1009" spans="8:16" ht="15.75" customHeight="1" x14ac:dyDescent="0.3">
      <c r="H1009" s="6" t="s">
        <v>206</v>
      </c>
      <c r="I1009" s="6" t="s">
        <v>124</v>
      </c>
      <c r="J1009" s="6" t="s">
        <v>146</v>
      </c>
      <c r="K1009" s="19">
        <v>0</v>
      </c>
      <c r="L1009" s="6" t="s">
        <v>178</v>
      </c>
      <c r="M1009" s="6" t="s">
        <v>327</v>
      </c>
      <c r="N1009" s="6" t="s">
        <v>23</v>
      </c>
      <c r="O1009" s="6" t="s">
        <v>107</v>
      </c>
      <c r="P1009" s="17">
        <v>23.2193</v>
      </c>
    </row>
    <row r="1010" spans="8:16" ht="15.75" customHeight="1" x14ac:dyDescent="0.3">
      <c r="H1010" s="6" t="s">
        <v>206</v>
      </c>
      <c r="I1010" s="6" t="s">
        <v>126</v>
      </c>
      <c r="J1010" s="6" t="s">
        <v>147</v>
      </c>
      <c r="K1010" s="19">
        <v>0</v>
      </c>
      <c r="L1010" s="6" t="s">
        <v>178</v>
      </c>
      <c r="M1010" s="6" t="s">
        <v>327</v>
      </c>
      <c r="N1010" s="6" t="s">
        <v>24</v>
      </c>
      <c r="O1010" s="6" t="s">
        <v>109</v>
      </c>
      <c r="P1010" s="17">
        <v>2.7000000000000001E-3</v>
      </c>
    </row>
    <row r="1011" spans="8:16" ht="15.75" customHeight="1" x14ac:dyDescent="0.3">
      <c r="H1011" s="6" t="s">
        <v>206</v>
      </c>
      <c r="I1011" s="6" t="s">
        <v>127</v>
      </c>
      <c r="J1011" s="6" t="s">
        <v>149</v>
      </c>
      <c r="K1011" s="19">
        <v>13</v>
      </c>
      <c r="L1011" s="6" t="s">
        <v>178</v>
      </c>
      <c r="M1011" s="6" t="s">
        <v>327</v>
      </c>
      <c r="N1011" s="6" t="s">
        <v>25</v>
      </c>
      <c r="O1011" s="6" t="s">
        <v>111</v>
      </c>
      <c r="P1011" s="19">
        <v>5</v>
      </c>
    </row>
    <row r="1012" spans="8:16" ht="15.75" customHeight="1" x14ac:dyDescent="0.3">
      <c r="H1012" s="6" t="s">
        <v>206</v>
      </c>
      <c r="I1012" s="6" t="s">
        <v>128</v>
      </c>
      <c r="J1012" s="6" t="s">
        <v>150</v>
      </c>
      <c r="K1012" s="19">
        <v>0</v>
      </c>
      <c r="L1012" s="6" t="s">
        <v>178</v>
      </c>
      <c r="M1012" s="6" t="s">
        <v>327</v>
      </c>
      <c r="N1012" s="6" t="s">
        <v>26</v>
      </c>
      <c r="O1012" s="6" t="s">
        <v>113</v>
      </c>
      <c r="P1012" s="19">
        <v>5</v>
      </c>
    </row>
    <row r="1013" spans="8:16" ht="15.75" customHeight="1" x14ac:dyDescent="0.3">
      <c r="H1013" s="6" t="s">
        <v>206</v>
      </c>
      <c r="I1013" s="6" t="s">
        <v>129</v>
      </c>
      <c r="J1013" s="6" t="s">
        <v>151</v>
      </c>
      <c r="K1013" s="19">
        <v>1</v>
      </c>
      <c r="L1013" s="6" t="s">
        <v>178</v>
      </c>
      <c r="M1013" s="6" t="s">
        <v>327</v>
      </c>
      <c r="N1013" s="6" t="s">
        <v>27</v>
      </c>
      <c r="O1013" s="6" t="s">
        <v>117</v>
      </c>
      <c r="P1013" s="17">
        <v>11.6096</v>
      </c>
    </row>
    <row r="1014" spans="8:16" ht="15.75" customHeight="1" x14ac:dyDescent="0.3">
      <c r="H1014" s="6" t="s">
        <v>206</v>
      </c>
      <c r="I1014" s="6" t="s">
        <v>130</v>
      </c>
      <c r="J1014" s="6" t="s">
        <v>152</v>
      </c>
      <c r="K1014" s="19">
        <v>0</v>
      </c>
      <c r="L1014" s="6" t="s">
        <v>178</v>
      </c>
      <c r="M1014" s="6" t="s">
        <v>327</v>
      </c>
      <c r="N1014" s="6" t="s">
        <v>29</v>
      </c>
      <c r="O1014" s="6" t="s">
        <v>125</v>
      </c>
      <c r="P1014" s="19">
        <v>5</v>
      </c>
    </row>
    <row r="1015" spans="8:16" ht="15.75" customHeight="1" x14ac:dyDescent="0.3">
      <c r="H1015" s="6" t="s">
        <v>206</v>
      </c>
      <c r="I1015" s="6" t="s">
        <v>131</v>
      </c>
      <c r="J1015" s="6" t="s">
        <v>153</v>
      </c>
      <c r="K1015" s="19">
        <v>0</v>
      </c>
      <c r="L1015" s="6" t="s">
        <v>178</v>
      </c>
      <c r="M1015" s="6" t="s">
        <v>327</v>
      </c>
      <c r="N1015" s="6" t="s">
        <v>135</v>
      </c>
      <c r="O1015" s="6" t="s">
        <v>136</v>
      </c>
      <c r="P1015" s="19">
        <v>1</v>
      </c>
    </row>
    <row r="1016" spans="8:16" ht="15.75" customHeight="1" x14ac:dyDescent="0.3">
      <c r="H1016" s="6" t="s">
        <v>206</v>
      </c>
      <c r="I1016" s="6" t="s">
        <v>133</v>
      </c>
      <c r="J1016" s="6" t="s">
        <v>154</v>
      </c>
      <c r="K1016" s="19">
        <v>0</v>
      </c>
      <c r="L1016" s="6" t="s">
        <v>178</v>
      </c>
      <c r="M1016" s="6" t="s">
        <v>327</v>
      </c>
      <c r="N1016" s="6" t="s">
        <v>138</v>
      </c>
      <c r="O1016" s="6" t="s">
        <v>139</v>
      </c>
      <c r="P1016" s="19">
        <v>0</v>
      </c>
    </row>
    <row r="1017" spans="8:16" ht="15.75" customHeight="1" x14ac:dyDescent="0.3">
      <c r="H1017" s="6" t="s">
        <v>206</v>
      </c>
      <c r="I1017" s="6" t="s">
        <v>134</v>
      </c>
      <c r="J1017" s="6" t="s">
        <v>155</v>
      </c>
      <c r="K1017" s="19">
        <v>0</v>
      </c>
      <c r="L1017" s="6" t="s">
        <v>178</v>
      </c>
      <c r="M1017" s="6" t="s">
        <v>327</v>
      </c>
      <c r="N1017" s="6" t="s">
        <v>30</v>
      </c>
      <c r="O1017" s="6" t="s">
        <v>148</v>
      </c>
      <c r="P1017" s="17">
        <v>77.460800000000006</v>
      </c>
    </row>
    <row r="1018" spans="8:16" ht="15.75" customHeight="1" x14ac:dyDescent="0.3">
      <c r="H1018" s="6" t="s">
        <v>208</v>
      </c>
      <c r="I1018" s="6" t="s">
        <v>58</v>
      </c>
      <c r="J1018" s="6" t="s">
        <v>60</v>
      </c>
      <c r="K1018" s="19">
        <v>0</v>
      </c>
      <c r="L1018" s="6" t="s">
        <v>178</v>
      </c>
      <c r="M1018" s="6" t="s">
        <v>327</v>
      </c>
      <c r="N1018" s="6" t="s">
        <v>156</v>
      </c>
      <c r="O1018" s="6" t="s">
        <v>157</v>
      </c>
      <c r="P1018" s="19">
        <v>0</v>
      </c>
    </row>
    <row r="1019" spans="8:16" ht="15.75" customHeight="1" x14ac:dyDescent="0.3">
      <c r="H1019" s="6" t="s">
        <v>208</v>
      </c>
      <c r="I1019" s="6" t="s">
        <v>72</v>
      </c>
      <c r="J1019" s="6" t="s">
        <v>82</v>
      </c>
      <c r="K1019" s="19">
        <v>0</v>
      </c>
      <c r="L1019" s="6" t="s">
        <v>178</v>
      </c>
      <c r="M1019" s="6" t="s">
        <v>327</v>
      </c>
      <c r="N1019" s="6" t="s">
        <v>158</v>
      </c>
      <c r="O1019" s="6" t="s">
        <v>159</v>
      </c>
      <c r="P1019" s="19">
        <v>1</v>
      </c>
    </row>
    <row r="1020" spans="8:16" ht="15.75" customHeight="1" x14ac:dyDescent="0.3">
      <c r="H1020" s="6" t="s">
        <v>208</v>
      </c>
      <c r="I1020" s="6" t="s">
        <v>85</v>
      </c>
      <c r="J1020" s="6" t="s">
        <v>86</v>
      </c>
      <c r="K1020" s="19">
        <v>3</v>
      </c>
      <c r="L1020" s="6" t="s">
        <v>178</v>
      </c>
      <c r="M1020" s="6" t="s">
        <v>327</v>
      </c>
      <c r="N1020" s="6" t="s">
        <v>160</v>
      </c>
      <c r="O1020" s="6" t="s">
        <v>161</v>
      </c>
      <c r="P1020" s="19">
        <v>1</v>
      </c>
    </row>
    <row r="1021" spans="8:16" ht="15.75" customHeight="1" x14ac:dyDescent="0.3">
      <c r="H1021" s="6" t="s">
        <v>208</v>
      </c>
      <c r="I1021" s="6" t="s">
        <v>93</v>
      </c>
      <c r="J1021" s="6" t="s">
        <v>94</v>
      </c>
      <c r="K1021" s="19">
        <v>2</v>
      </c>
      <c r="L1021" s="6" t="s">
        <v>178</v>
      </c>
      <c r="M1021" s="6" t="s">
        <v>327</v>
      </c>
      <c r="N1021" s="6" t="s">
        <v>162</v>
      </c>
      <c r="O1021" s="6" t="s">
        <v>163</v>
      </c>
      <c r="P1021" s="19">
        <v>0</v>
      </c>
    </row>
    <row r="1022" spans="8:16" ht="15.75" customHeight="1" x14ac:dyDescent="0.3">
      <c r="H1022" s="6" t="s">
        <v>208</v>
      </c>
      <c r="I1022" s="6" t="s">
        <v>98</v>
      </c>
      <c r="J1022" s="6" t="s">
        <v>99</v>
      </c>
      <c r="K1022" s="19">
        <v>1</v>
      </c>
      <c r="L1022" s="6" t="s">
        <v>178</v>
      </c>
      <c r="M1022" s="6" t="s">
        <v>327</v>
      </c>
      <c r="N1022" s="6" t="s">
        <v>165</v>
      </c>
      <c r="O1022" s="6" t="s">
        <v>166</v>
      </c>
      <c r="P1022" s="19">
        <v>0</v>
      </c>
    </row>
    <row r="1023" spans="8:16" ht="15.75" customHeight="1" x14ac:dyDescent="0.3">
      <c r="H1023" s="6" t="s">
        <v>208</v>
      </c>
      <c r="I1023" s="6" t="s">
        <v>22</v>
      </c>
      <c r="J1023" s="6" t="s">
        <v>103</v>
      </c>
      <c r="K1023" s="19">
        <v>0</v>
      </c>
      <c r="L1023" s="6" t="s">
        <v>178</v>
      </c>
      <c r="M1023" s="6" t="s">
        <v>330</v>
      </c>
      <c r="N1023" s="6" t="s">
        <v>72</v>
      </c>
      <c r="O1023" s="6" t="s">
        <v>75</v>
      </c>
      <c r="P1023" s="19">
        <v>0</v>
      </c>
    </row>
    <row r="1024" spans="8:16" ht="15.75" customHeight="1" x14ac:dyDescent="0.3">
      <c r="H1024" s="6" t="s">
        <v>208</v>
      </c>
      <c r="I1024" s="6" t="s">
        <v>23</v>
      </c>
      <c r="J1024" s="6" t="s">
        <v>106</v>
      </c>
      <c r="K1024" s="19">
        <v>0</v>
      </c>
      <c r="L1024" s="6" t="s">
        <v>178</v>
      </c>
      <c r="M1024" s="6" t="s">
        <v>330</v>
      </c>
      <c r="N1024" s="6" t="s">
        <v>83</v>
      </c>
      <c r="O1024" s="6" t="s">
        <v>84</v>
      </c>
      <c r="P1024" s="19">
        <v>0</v>
      </c>
    </row>
    <row r="1025" spans="8:16" ht="15.75" customHeight="1" x14ac:dyDescent="0.3">
      <c r="H1025" s="6" t="s">
        <v>208</v>
      </c>
      <c r="I1025" s="6" t="s">
        <v>24</v>
      </c>
      <c r="J1025" s="6" t="s">
        <v>108</v>
      </c>
      <c r="K1025" s="19">
        <v>0</v>
      </c>
      <c r="L1025" s="6" t="s">
        <v>178</v>
      </c>
      <c r="M1025" s="6" t="s">
        <v>330</v>
      </c>
      <c r="N1025" s="6" t="s">
        <v>88</v>
      </c>
      <c r="O1025" s="6" t="s">
        <v>90</v>
      </c>
      <c r="P1025" s="19">
        <v>0</v>
      </c>
    </row>
    <row r="1026" spans="8:16" ht="15.75" customHeight="1" x14ac:dyDescent="0.3">
      <c r="H1026" s="6" t="s">
        <v>208</v>
      </c>
      <c r="I1026" s="6" t="s">
        <v>25</v>
      </c>
      <c r="J1026" s="6" t="s">
        <v>110</v>
      </c>
      <c r="K1026" s="19">
        <v>8</v>
      </c>
      <c r="L1026" s="6" t="s">
        <v>178</v>
      </c>
      <c r="M1026" s="6" t="s">
        <v>330</v>
      </c>
      <c r="N1026" s="6" t="s">
        <v>96</v>
      </c>
      <c r="O1026" s="6" t="s">
        <v>97</v>
      </c>
      <c r="P1026" s="19">
        <v>0</v>
      </c>
    </row>
    <row r="1027" spans="8:16" ht="15.75" customHeight="1" x14ac:dyDescent="0.3">
      <c r="H1027" s="6" t="s">
        <v>208</v>
      </c>
      <c r="I1027" s="6" t="s">
        <v>26</v>
      </c>
      <c r="J1027" s="6" t="s">
        <v>112</v>
      </c>
      <c r="K1027" s="19">
        <v>4</v>
      </c>
      <c r="L1027" s="6" t="s">
        <v>178</v>
      </c>
      <c r="M1027" s="6" t="s">
        <v>330</v>
      </c>
      <c r="N1027" s="6" t="s">
        <v>100</v>
      </c>
      <c r="O1027" s="6" t="s">
        <v>101</v>
      </c>
      <c r="P1027" s="19">
        <v>0</v>
      </c>
    </row>
    <row r="1028" spans="8:16" ht="15.75" customHeight="1" x14ac:dyDescent="0.3">
      <c r="H1028" s="6" t="s">
        <v>208</v>
      </c>
      <c r="I1028" s="6" t="s">
        <v>27</v>
      </c>
      <c r="J1028" s="6" t="s">
        <v>114</v>
      </c>
      <c r="K1028" s="19">
        <v>16</v>
      </c>
      <c r="L1028" s="6" t="s">
        <v>178</v>
      </c>
      <c r="M1028" s="6" t="s">
        <v>330</v>
      </c>
      <c r="N1028" s="6" t="s">
        <v>22</v>
      </c>
      <c r="O1028" s="6" t="s">
        <v>104</v>
      </c>
      <c r="P1028" s="19">
        <v>1</v>
      </c>
    </row>
    <row r="1029" spans="8:16" ht="15.75" customHeight="1" x14ac:dyDescent="0.3">
      <c r="H1029" s="6" t="s">
        <v>208</v>
      </c>
      <c r="I1029" s="6" t="s">
        <v>115</v>
      </c>
      <c r="J1029" s="6" t="s">
        <v>121</v>
      </c>
      <c r="K1029" s="19">
        <v>0</v>
      </c>
      <c r="L1029" s="6" t="s">
        <v>178</v>
      </c>
      <c r="M1029" s="6" t="s">
        <v>330</v>
      </c>
      <c r="N1029" s="6" t="s">
        <v>23</v>
      </c>
      <c r="O1029" s="6" t="s">
        <v>107</v>
      </c>
      <c r="P1029" s="17">
        <v>4.7549000000000001</v>
      </c>
    </row>
    <row r="1030" spans="8:16" ht="15.75" customHeight="1" x14ac:dyDescent="0.3">
      <c r="H1030" s="6" t="s">
        <v>208</v>
      </c>
      <c r="I1030" s="6" t="s">
        <v>116</v>
      </c>
      <c r="J1030" s="6" t="s">
        <v>132</v>
      </c>
      <c r="K1030" s="19">
        <v>0</v>
      </c>
      <c r="L1030" s="6" t="s">
        <v>178</v>
      </c>
      <c r="M1030" s="6" t="s">
        <v>330</v>
      </c>
      <c r="N1030" s="6" t="s">
        <v>24</v>
      </c>
      <c r="O1030" s="6" t="s">
        <v>109</v>
      </c>
      <c r="P1030" s="17">
        <v>8.9999999999999998E-4</v>
      </c>
    </row>
    <row r="1031" spans="8:16" ht="15.75" customHeight="1" x14ac:dyDescent="0.3">
      <c r="H1031" s="6" t="s">
        <v>208</v>
      </c>
      <c r="I1031" s="6" t="s">
        <v>30</v>
      </c>
      <c r="J1031" s="6" t="s">
        <v>137</v>
      </c>
      <c r="K1031" s="19">
        <v>0</v>
      </c>
      <c r="L1031" s="6" t="s">
        <v>178</v>
      </c>
      <c r="M1031" s="6" t="s">
        <v>330</v>
      </c>
      <c r="N1031" s="6" t="s">
        <v>25</v>
      </c>
      <c r="O1031" s="6" t="s">
        <v>111</v>
      </c>
      <c r="P1031" s="19">
        <v>3</v>
      </c>
    </row>
    <row r="1032" spans="8:16" ht="15.75" customHeight="1" x14ac:dyDescent="0.3">
      <c r="H1032" s="6" t="s">
        <v>208</v>
      </c>
      <c r="I1032" s="6" t="s">
        <v>118</v>
      </c>
      <c r="J1032" s="6" t="s">
        <v>140</v>
      </c>
      <c r="K1032" s="19">
        <v>0</v>
      </c>
      <c r="L1032" s="6" t="s">
        <v>178</v>
      </c>
      <c r="M1032" s="6" t="s">
        <v>330</v>
      </c>
      <c r="N1032" s="6" t="s">
        <v>26</v>
      </c>
      <c r="O1032" s="6" t="s">
        <v>113</v>
      </c>
      <c r="P1032" s="19">
        <v>3</v>
      </c>
    </row>
    <row r="1033" spans="8:16" ht="15.75" customHeight="1" x14ac:dyDescent="0.3">
      <c r="H1033" s="6" t="s">
        <v>208</v>
      </c>
      <c r="I1033" s="6" t="s">
        <v>31</v>
      </c>
      <c r="J1033" s="6" t="s">
        <v>141</v>
      </c>
      <c r="K1033" s="19">
        <v>0</v>
      </c>
      <c r="L1033" s="6" t="s">
        <v>178</v>
      </c>
      <c r="M1033" s="6" t="s">
        <v>330</v>
      </c>
      <c r="N1033" s="6" t="s">
        <v>27</v>
      </c>
      <c r="O1033" s="6" t="s">
        <v>117</v>
      </c>
      <c r="P1033" s="17">
        <v>4.7549000000000001</v>
      </c>
    </row>
    <row r="1034" spans="8:16" ht="15.75" customHeight="1" x14ac:dyDescent="0.3">
      <c r="H1034" s="6" t="s">
        <v>208</v>
      </c>
      <c r="I1034" s="6" t="s">
        <v>119</v>
      </c>
      <c r="J1034" s="6" t="s">
        <v>142</v>
      </c>
      <c r="K1034" s="19">
        <v>0</v>
      </c>
      <c r="L1034" s="6" t="s">
        <v>178</v>
      </c>
      <c r="M1034" s="6" t="s">
        <v>330</v>
      </c>
      <c r="N1034" s="6" t="s">
        <v>29</v>
      </c>
      <c r="O1034" s="6" t="s">
        <v>125</v>
      </c>
      <c r="P1034" s="19">
        <v>5</v>
      </c>
    </row>
    <row r="1035" spans="8:16" ht="15.75" customHeight="1" x14ac:dyDescent="0.3">
      <c r="H1035" s="6" t="s">
        <v>208</v>
      </c>
      <c r="I1035" s="6" t="s">
        <v>120</v>
      </c>
      <c r="J1035" s="6" t="s">
        <v>143</v>
      </c>
      <c r="K1035" s="19">
        <v>0</v>
      </c>
      <c r="L1035" s="6" t="s">
        <v>178</v>
      </c>
      <c r="M1035" s="6" t="s">
        <v>330</v>
      </c>
      <c r="N1035" s="6" t="s">
        <v>135</v>
      </c>
      <c r="O1035" s="6" t="s">
        <v>136</v>
      </c>
      <c r="P1035" s="19">
        <v>1</v>
      </c>
    </row>
    <row r="1036" spans="8:16" ht="15.75" customHeight="1" x14ac:dyDescent="0.3">
      <c r="H1036" s="6" t="s">
        <v>208</v>
      </c>
      <c r="I1036" s="6" t="s">
        <v>122</v>
      </c>
      <c r="J1036" s="6" t="s">
        <v>144</v>
      </c>
      <c r="K1036" s="19">
        <v>4</v>
      </c>
      <c r="L1036" s="6" t="s">
        <v>178</v>
      </c>
      <c r="M1036" s="6" t="s">
        <v>330</v>
      </c>
      <c r="N1036" s="6" t="s">
        <v>138</v>
      </c>
      <c r="O1036" s="6" t="s">
        <v>139</v>
      </c>
      <c r="P1036" s="19">
        <v>0</v>
      </c>
    </row>
    <row r="1037" spans="8:16" ht="15.75" customHeight="1" x14ac:dyDescent="0.3">
      <c r="H1037" s="6" t="s">
        <v>208</v>
      </c>
      <c r="I1037" s="6" t="s">
        <v>123</v>
      </c>
      <c r="J1037" s="6" t="s">
        <v>145</v>
      </c>
      <c r="K1037" s="19">
        <v>17</v>
      </c>
      <c r="L1037" s="6" t="s">
        <v>178</v>
      </c>
      <c r="M1037" s="6" t="s">
        <v>330</v>
      </c>
      <c r="N1037" s="6" t="s">
        <v>30</v>
      </c>
      <c r="O1037" s="6" t="s">
        <v>148</v>
      </c>
      <c r="P1037" s="17">
        <v>80.537099999999995</v>
      </c>
    </row>
    <row r="1038" spans="8:16" ht="15.75" customHeight="1" x14ac:dyDescent="0.3">
      <c r="H1038" s="6" t="s">
        <v>208</v>
      </c>
      <c r="I1038" s="6" t="s">
        <v>124</v>
      </c>
      <c r="J1038" s="6" t="s">
        <v>146</v>
      </c>
      <c r="K1038" s="19">
        <v>0</v>
      </c>
      <c r="L1038" s="6" t="s">
        <v>178</v>
      </c>
      <c r="M1038" s="6" t="s">
        <v>330</v>
      </c>
      <c r="N1038" s="6" t="s">
        <v>156</v>
      </c>
      <c r="O1038" s="6" t="s">
        <v>157</v>
      </c>
      <c r="P1038" s="19">
        <v>0</v>
      </c>
    </row>
    <row r="1039" spans="8:16" ht="15.75" customHeight="1" x14ac:dyDescent="0.3">
      <c r="H1039" s="6" t="s">
        <v>208</v>
      </c>
      <c r="I1039" s="6" t="s">
        <v>126</v>
      </c>
      <c r="J1039" s="6" t="s">
        <v>147</v>
      </c>
      <c r="K1039" s="19">
        <v>0</v>
      </c>
      <c r="L1039" s="6" t="s">
        <v>178</v>
      </c>
      <c r="M1039" s="6" t="s">
        <v>330</v>
      </c>
      <c r="N1039" s="6" t="s">
        <v>158</v>
      </c>
      <c r="O1039" s="6" t="s">
        <v>159</v>
      </c>
      <c r="P1039" s="19">
        <v>1</v>
      </c>
    </row>
    <row r="1040" spans="8:16" ht="15.75" customHeight="1" x14ac:dyDescent="0.3">
      <c r="H1040" s="6" t="s">
        <v>208</v>
      </c>
      <c r="I1040" s="6" t="s">
        <v>127</v>
      </c>
      <c r="J1040" s="6" t="s">
        <v>149</v>
      </c>
      <c r="K1040" s="19">
        <v>13</v>
      </c>
      <c r="L1040" s="6" t="s">
        <v>178</v>
      </c>
      <c r="M1040" s="6" t="s">
        <v>330</v>
      </c>
      <c r="N1040" s="6" t="s">
        <v>160</v>
      </c>
      <c r="O1040" s="6" t="s">
        <v>161</v>
      </c>
      <c r="P1040" s="19">
        <v>1</v>
      </c>
    </row>
    <row r="1041" spans="8:16" ht="15.75" customHeight="1" x14ac:dyDescent="0.3">
      <c r="H1041" s="6" t="s">
        <v>208</v>
      </c>
      <c r="I1041" s="6" t="s">
        <v>128</v>
      </c>
      <c r="J1041" s="6" t="s">
        <v>150</v>
      </c>
      <c r="K1041" s="19">
        <v>0</v>
      </c>
      <c r="L1041" s="6" t="s">
        <v>178</v>
      </c>
      <c r="M1041" s="6" t="s">
        <v>330</v>
      </c>
      <c r="N1041" s="6" t="s">
        <v>162</v>
      </c>
      <c r="O1041" s="6" t="s">
        <v>163</v>
      </c>
      <c r="P1041" s="19">
        <v>0</v>
      </c>
    </row>
    <row r="1042" spans="8:16" ht="15.75" customHeight="1" x14ac:dyDescent="0.3">
      <c r="H1042" s="6" t="s">
        <v>208</v>
      </c>
      <c r="I1042" s="6" t="s">
        <v>129</v>
      </c>
      <c r="J1042" s="6" t="s">
        <v>151</v>
      </c>
      <c r="K1042" s="19">
        <v>4</v>
      </c>
      <c r="L1042" s="6" t="s">
        <v>178</v>
      </c>
      <c r="M1042" s="6" t="s">
        <v>330</v>
      </c>
      <c r="N1042" s="6" t="s">
        <v>165</v>
      </c>
      <c r="O1042" s="6" t="s">
        <v>166</v>
      </c>
      <c r="P1042" s="19">
        <v>0</v>
      </c>
    </row>
    <row r="1043" spans="8:16" ht="15.75" customHeight="1" x14ac:dyDescent="0.3">
      <c r="H1043" s="6" t="s">
        <v>208</v>
      </c>
      <c r="I1043" s="6" t="s">
        <v>130</v>
      </c>
      <c r="J1043" s="6" t="s">
        <v>152</v>
      </c>
      <c r="K1043" s="19">
        <v>0</v>
      </c>
      <c r="L1043" s="6" t="s">
        <v>178</v>
      </c>
      <c r="M1043" s="6" t="s">
        <v>334</v>
      </c>
      <c r="N1043" s="6" t="s">
        <v>72</v>
      </c>
      <c r="O1043" s="6" t="s">
        <v>75</v>
      </c>
      <c r="P1043" s="19">
        <v>0</v>
      </c>
    </row>
    <row r="1044" spans="8:16" ht="15.75" customHeight="1" x14ac:dyDescent="0.3">
      <c r="H1044" s="6" t="s">
        <v>208</v>
      </c>
      <c r="I1044" s="6" t="s">
        <v>131</v>
      </c>
      <c r="J1044" s="6" t="s">
        <v>153</v>
      </c>
      <c r="K1044" s="19">
        <v>0</v>
      </c>
      <c r="L1044" s="6" t="s">
        <v>178</v>
      </c>
      <c r="M1044" s="6" t="s">
        <v>334</v>
      </c>
      <c r="N1044" s="6" t="s">
        <v>83</v>
      </c>
      <c r="O1044" s="6" t="s">
        <v>84</v>
      </c>
      <c r="P1044" s="19">
        <v>0</v>
      </c>
    </row>
    <row r="1045" spans="8:16" ht="15.75" customHeight="1" x14ac:dyDescent="0.3">
      <c r="H1045" s="6" t="s">
        <v>208</v>
      </c>
      <c r="I1045" s="6" t="s">
        <v>133</v>
      </c>
      <c r="J1045" s="6" t="s">
        <v>154</v>
      </c>
      <c r="K1045" s="19">
        <v>0</v>
      </c>
      <c r="L1045" s="6" t="s">
        <v>178</v>
      </c>
      <c r="M1045" s="6" t="s">
        <v>334</v>
      </c>
      <c r="N1045" s="6" t="s">
        <v>88</v>
      </c>
      <c r="O1045" s="6" t="s">
        <v>90</v>
      </c>
      <c r="P1045" s="19">
        <v>0</v>
      </c>
    </row>
    <row r="1046" spans="8:16" ht="15.75" customHeight="1" x14ac:dyDescent="0.3">
      <c r="H1046" s="6" t="s">
        <v>208</v>
      </c>
      <c r="I1046" s="6" t="s">
        <v>134</v>
      </c>
      <c r="J1046" s="6" t="s">
        <v>155</v>
      </c>
      <c r="K1046" s="19">
        <v>0</v>
      </c>
      <c r="L1046" s="6" t="s">
        <v>178</v>
      </c>
      <c r="M1046" s="6" t="s">
        <v>334</v>
      </c>
      <c r="N1046" s="6" t="s">
        <v>96</v>
      </c>
      <c r="O1046" s="6" t="s">
        <v>97</v>
      </c>
      <c r="P1046" s="19">
        <v>0</v>
      </c>
    </row>
    <row r="1047" spans="8:16" ht="15.75" customHeight="1" x14ac:dyDescent="0.3">
      <c r="H1047" s="6" t="s">
        <v>209</v>
      </c>
      <c r="I1047" s="6" t="s">
        <v>58</v>
      </c>
      <c r="J1047" s="6" t="s">
        <v>60</v>
      </c>
      <c r="K1047" s="19">
        <v>0</v>
      </c>
      <c r="L1047" s="6" t="s">
        <v>178</v>
      </c>
      <c r="M1047" s="6" t="s">
        <v>334</v>
      </c>
      <c r="N1047" s="6" t="s">
        <v>100</v>
      </c>
      <c r="O1047" s="6" t="s">
        <v>101</v>
      </c>
      <c r="P1047" s="19">
        <v>0</v>
      </c>
    </row>
    <row r="1048" spans="8:16" ht="15.75" customHeight="1" x14ac:dyDescent="0.3">
      <c r="H1048" s="6" t="s">
        <v>209</v>
      </c>
      <c r="I1048" s="6" t="s">
        <v>72</v>
      </c>
      <c r="J1048" s="6" t="s">
        <v>82</v>
      </c>
      <c r="K1048" s="19">
        <v>0</v>
      </c>
      <c r="L1048" s="6" t="s">
        <v>178</v>
      </c>
      <c r="M1048" s="6" t="s">
        <v>334</v>
      </c>
      <c r="N1048" s="6" t="s">
        <v>22</v>
      </c>
      <c r="O1048" s="6" t="s">
        <v>104</v>
      </c>
      <c r="P1048" s="19">
        <v>1</v>
      </c>
    </row>
    <row r="1049" spans="8:16" ht="15.75" customHeight="1" x14ac:dyDescent="0.3">
      <c r="H1049" s="6" t="s">
        <v>209</v>
      </c>
      <c r="I1049" s="6" t="s">
        <v>85</v>
      </c>
      <c r="J1049" s="6" t="s">
        <v>86</v>
      </c>
      <c r="K1049" s="19">
        <v>3</v>
      </c>
      <c r="L1049" s="6" t="s">
        <v>178</v>
      </c>
      <c r="M1049" s="6" t="s">
        <v>334</v>
      </c>
      <c r="N1049" s="6" t="s">
        <v>23</v>
      </c>
      <c r="O1049" s="6" t="s">
        <v>107</v>
      </c>
      <c r="P1049" s="17">
        <v>4.7549000000000001</v>
      </c>
    </row>
    <row r="1050" spans="8:16" ht="15.75" customHeight="1" x14ac:dyDescent="0.3">
      <c r="H1050" s="6" t="s">
        <v>209</v>
      </c>
      <c r="I1050" s="6" t="s">
        <v>93</v>
      </c>
      <c r="J1050" s="6" t="s">
        <v>94</v>
      </c>
      <c r="K1050" s="19">
        <v>1</v>
      </c>
      <c r="L1050" s="6" t="s">
        <v>178</v>
      </c>
      <c r="M1050" s="6" t="s">
        <v>334</v>
      </c>
      <c r="N1050" s="6" t="s">
        <v>24</v>
      </c>
      <c r="O1050" s="6" t="s">
        <v>109</v>
      </c>
      <c r="P1050" s="17">
        <v>8.9999999999999998E-4</v>
      </c>
    </row>
    <row r="1051" spans="8:16" ht="15.75" customHeight="1" x14ac:dyDescent="0.3">
      <c r="H1051" s="6" t="s">
        <v>209</v>
      </c>
      <c r="I1051" s="6" t="s">
        <v>98</v>
      </c>
      <c r="J1051" s="6" t="s">
        <v>99</v>
      </c>
      <c r="K1051" s="19">
        <v>1</v>
      </c>
      <c r="L1051" s="6" t="s">
        <v>178</v>
      </c>
      <c r="M1051" s="6" t="s">
        <v>334</v>
      </c>
      <c r="N1051" s="6" t="s">
        <v>25</v>
      </c>
      <c r="O1051" s="6" t="s">
        <v>111</v>
      </c>
      <c r="P1051" s="19">
        <v>3</v>
      </c>
    </row>
    <row r="1052" spans="8:16" ht="15.75" customHeight="1" x14ac:dyDescent="0.3">
      <c r="H1052" s="6" t="s">
        <v>209</v>
      </c>
      <c r="I1052" s="6" t="s">
        <v>22</v>
      </c>
      <c r="J1052" s="6" t="s">
        <v>103</v>
      </c>
      <c r="K1052" s="19">
        <v>0</v>
      </c>
      <c r="L1052" s="6" t="s">
        <v>178</v>
      </c>
      <c r="M1052" s="6" t="s">
        <v>334</v>
      </c>
      <c r="N1052" s="6" t="s">
        <v>26</v>
      </c>
      <c r="O1052" s="6" t="s">
        <v>113</v>
      </c>
      <c r="P1052" s="19">
        <v>3</v>
      </c>
    </row>
    <row r="1053" spans="8:16" ht="15.75" customHeight="1" x14ac:dyDescent="0.3">
      <c r="H1053" s="6" t="s">
        <v>209</v>
      </c>
      <c r="I1053" s="6" t="s">
        <v>23</v>
      </c>
      <c r="J1053" s="6" t="s">
        <v>106</v>
      </c>
      <c r="K1053" s="19">
        <v>0</v>
      </c>
      <c r="L1053" s="6" t="s">
        <v>178</v>
      </c>
      <c r="M1053" s="6" t="s">
        <v>334</v>
      </c>
      <c r="N1053" s="6" t="s">
        <v>27</v>
      </c>
      <c r="O1053" s="6" t="s">
        <v>117</v>
      </c>
      <c r="P1053" s="17">
        <v>4.7549000000000001</v>
      </c>
    </row>
    <row r="1054" spans="8:16" ht="15.75" customHeight="1" x14ac:dyDescent="0.3">
      <c r="H1054" s="6" t="s">
        <v>209</v>
      </c>
      <c r="I1054" s="6" t="s">
        <v>24</v>
      </c>
      <c r="J1054" s="6" t="s">
        <v>108</v>
      </c>
      <c r="K1054" s="19">
        <v>0</v>
      </c>
      <c r="L1054" s="6" t="s">
        <v>178</v>
      </c>
      <c r="M1054" s="6" t="s">
        <v>334</v>
      </c>
      <c r="N1054" s="6" t="s">
        <v>29</v>
      </c>
      <c r="O1054" s="6" t="s">
        <v>125</v>
      </c>
      <c r="P1054" s="19">
        <v>5</v>
      </c>
    </row>
    <row r="1055" spans="8:16" ht="15.75" customHeight="1" x14ac:dyDescent="0.3">
      <c r="H1055" s="6" t="s">
        <v>209</v>
      </c>
      <c r="I1055" s="6" t="s">
        <v>25</v>
      </c>
      <c r="J1055" s="6" t="s">
        <v>110</v>
      </c>
      <c r="K1055" s="19">
        <v>8</v>
      </c>
      <c r="L1055" s="6" t="s">
        <v>178</v>
      </c>
      <c r="M1055" s="6" t="s">
        <v>334</v>
      </c>
      <c r="N1055" s="6" t="s">
        <v>135</v>
      </c>
      <c r="O1055" s="6" t="s">
        <v>136</v>
      </c>
      <c r="P1055" s="19">
        <v>1</v>
      </c>
    </row>
    <row r="1056" spans="8:16" ht="15.75" customHeight="1" x14ac:dyDescent="0.3">
      <c r="H1056" s="6" t="s">
        <v>209</v>
      </c>
      <c r="I1056" s="6" t="s">
        <v>26</v>
      </c>
      <c r="J1056" s="6" t="s">
        <v>112</v>
      </c>
      <c r="K1056" s="19">
        <v>4</v>
      </c>
      <c r="L1056" s="6" t="s">
        <v>178</v>
      </c>
      <c r="M1056" s="6" t="s">
        <v>334</v>
      </c>
      <c r="N1056" s="6" t="s">
        <v>138</v>
      </c>
      <c r="O1056" s="6" t="s">
        <v>139</v>
      </c>
      <c r="P1056" s="19">
        <v>0</v>
      </c>
    </row>
    <row r="1057" spans="8:16" ht="15.75" customHeight="1" x14ac:dyDescent="0.3">
      <c r="H1057" s="6" t="s">
        <v>209</v>
      </c>
      <c r="I1057" s="6" t="s">
        <v>27</v>
      </c>
      <c r="J1057" s="6" t="s">
        <v>114</v>
      </c>
      <c r="K1057" s="19">
        <v>16</v>
      </c>
      <c r="L1057" s="6" t="s">
        <v>178</v>
      </c>
      <c r="M1057" s="6" t="s">
        <v>334</v>
      </c>
      <c r="N1057" s="6" t="s">
        <v>30</v>
      </c>
      <c r="O1057" s="6" t="s">
        <v>148</v>
      </c>
      <c r="P1057" s="17">
        <v>80.537099999999995</v>
      </c>
    </row>
    <row r="1058" spans="8:16" ht="15.75" customHeight="1" x14ac:dyDescent="0.3">
      <c r="H1058" s="6" t="s">
        <v>209</v>
      </c>
      <c r="I1058" s="6" t="s">
        <v>115</v>
      </c>
      <c r="J1058" s="6" t="s">
        <v>121</v>
      </c>
      <c r="K1058" s="19">
        <v>0</v>
      </c>
      <c r="L1058" s="6" t="s">
        <v>178</v>
      </c>
      <c r="M1058" s="6" t="s">
        <v>334</v>
      </c>
      <c r="N1058" s="6" t="s">
        <v>156</v>
      </c>
      <c r="O1058" s="6" t="s">
        <v>157</v>
      </c>
      <c r="P1058" s="19">
        <v>0</v>
      </c>
    </row>
    <row r="1059" spans="8:16" ht="15.75" customHeight="1" x14ac:dyDescent="0.3">
      <c r="H1059" s="6" t="s">
        <v>209</v>
      </c>
      <c r="I1059" s="6" t="s">
        <v>116</v>
      </c>
      <c r="J1059" s="6" t="s">
        <v>132</v>
      </c>
      <c r="K1059" s="19">
        <v>0</v>
      </c>
      <c r="L1059" s="6" t="s">
        <v>178</v>
      </c>
      <c r="M1059" s="6" t="s">
        <v>334</v>
      </c>
      <c r="N1059" s="6" t="s">
        <v>158</v>
      </c>
      <c r="O1059" s="6" t="s">
        <v>159</v>
      </c>
      <c r="P1059" s="19">
        <v>1</v>
      </c>
    </row>
    <row r="1060" spans="8:16" ht="15.75" customHeight="1" x14ac:dyDescent="0.3">
      <c r="H1060" s="6" t="s">
        <v>209</v>
      </c>
      <c r="I1060" s="6" t="s">
        <v>30</v>
      </c>
      <c r="J1060" s="6" t="s">
        <v>137</v>
      </c>
      <c r="K1060" s="19">
        <v>0</v>
      </c>
      <c r="L1060" s="6" t="s">
        <v>178</v>
      </c>
      <c r="M1060" s="6" t="s">
        <v>334</v>
      </c>
      <c r="N1060" s="6" t="s">
        <v>160</v>
      </c>
      <c r="O1060" s="6" t="s">
        <v>161</v>
      </c>
      <c r="P1060" s="19">
        <v>1</v>
      </c>
    </row>
    <row r="1061" spans="8:16" ht="15.75" customHeight="1" x14ac:dyDescent="0.3">
      <c r="H1061" s="6" t="s">
        <v>209</v>
      </c>
      <c r="I1061" s="6" t="s">
        <v>118</v>
      </c>
      <c r="J1061" s="6" t="s">
        <v>140</v>
      </c>
      <c r="K1061" s="19">
        <v>0</v>
      </c>
      <c r="L1061" s="6" t="s">
        <v>178</v>
      </c>
      <c r="M1061" s="6" t="s">
        <v>334</v>
      </c>
      <c r="N1061" s="6" t="s">
        <v>162</v>
      </c>
      <c r="O1061" s="6" t="s">
        <v>163</v>
      </c>
      <c r="P1061" s="19">
        <v>0</v>
      </c>
    </row>
    <row r="1062" spans="8:16" ht="15.75" customHeight="1" x14ac:dyDescent="0.3">
      <c r="H1062" s="6" t="s">
        <v>209</v>
      </c>
      <c r="I1062" s="6" t="s">
        <v>31</v>
      </c>
      <c r="J1062" s="6" t="s">
        <v>141</v>
      </c>
      <c r="K1062" s="19">
        <v>0</v>
      </c>
      <c r="L1062" s="6" t="s">
        <v>178</v>
      </c>
      <c r="M1062" s="6" t="s">
        <v>334</v>
      </c>
      <c r="N1062" s="6" t="s">
        <v>165</v>
      </c>
      <c r="O1062" s="6" t="s">
        <v>166</v>
      </c>
      <c r="P1062" s="19">
        <v>0</v>
      </c>
    </row>
    <row r="1063" spans="8:16" ht="15.75" customHeight="1" x14ac:dyDescent="0.3">
      <c r="H1063" s="6" t="s">
        <v>209</v>
      </c>
      <c r="I1063" s="6" t="s">
        <v>119</v>
      </c>
      <c r="J1063" s="6" t="s">
        <v>142</v>
      </c>
      <c r="K1063" s="19">
        <v>0</v>
      </c>
      <c r="L1063" s="6" t="s">
        <v>178</v>
      </c>
      <c r="M1063" s="6" t="s">
        <v>336</v>
      </c>
      <c r="N1063" s="6" t="s">
        <v>72</v>
      </c>
      <c r="O1063" s="6" t="s">
        <v>75</v>
      </c>
      <c r="P1063" s="19">
        <v>0</v>
      </c>
    </row>
    <row r="1064" spans="8:16" ht="15.75" customHeight="1" x14ac:dyDescent="0.3">
      <c r="H1064" s="6" t="s">
        <v>209</v>
      </c>
      <c r="I1064" s="6" t="s">
        <v>120</v>
      </c>
      <c r="J1064" s="6" t="s">
        <v>143</v>
      </c>
      <c r="K1064" s="19">
        <v>0</v>
      </c>
      <c r="L1064" s="6" t="s">
        <v>178</v>
      </c>
      <c r="M1064" s="6" t="s">
        <v>336</v>
      </c>
      <c r="N1064" s="6" t="s">
        <v>83</v>
      </c>
      <c r="O1064" s="6" t="s">
        <v>84</v>
      </c>
      <c r="P1064" s="19">
        <v>0</v>
      </c>
    </row>
    <row r="1065" spans="8:16" ht="15.75" customHeight="1" x14ac:dyDescent="0.3">
      <c r="H1065" s="6" t="s">
        <v>209</v>
      </c>
      <c r="I1065" s="6" t="s">
        <v>122</v>
      </c>
      <c r="J1065" s="6" t="s">
        <v>144</v>
      </c>
      <c r="K1065" s="19">
        <v>4</v>
      </c>
      <c r="L1065" s="6" t="s">
        <v>178</v>
      </c>
      <c r="M1065" s="6" t="s">
        <v>336</v>
      </c>
      <c r="N1065" s="6" t="s">
        <v>88</v>
      </c>
      <c r="O1065" s="6" t="s">
        <v>90</v>
      </c>
      <c r="P1065" s="19">
        <v>1</v>
      </c>
    </row>
    <row r="1066" spans="8:16" ht="15.75" customHeight="1" x14ac:dyDescent="0.3">
      <c r="H1066" s="6" t="s">
        <v>209</v>
      </c>
      <c r="I1066" s="6" t="s">
        <v>123</v>
      </c>
      <c r="J1066" s="6" t="s">
        <v>145</v>
      </c>
      <c r="K1066" s="19">
        <v>17</v>
      </c>
      <c r="L1066" s="6" t="s">
        <v>178</v>
      </c>
      <c r="M1066" s="6" t="s">
        <v>336</v>
      </c>
      <c r="N1066" s="6" t="s">
        <v>96</v>
      </c>
      <c r="O1066" s="6" t="s">
        <v>97</v>
      </c>
      <c r="P1066" s="19">
        <v>2</v>
      </c>
    </row>
    <row r="1067" spans="8:16" ht="15.75" customHeight="1" x14ac:dyDescent="0.3">
      <c r="H1067" s="6" t="s">
        <v>209</v>
      </c>
      <c r="I1067" s="6" t="s">
        <v>124</v>
      </c>
      <c r="J1067" s="6" t="s">
        <v>146</v>
      </c>
      <c r="K1067" s="19">
        <v>0</v>
      </c>
      <c r="L1067" s="6" t="s">
        <v>178</v>
      </c>
      <c r="M1067" s="6" t="s">
        <v>336</v>
      </c>
      <c r="N1067" s="6" t="s">
        <v>100</v>
      </c>
      <c r="O1067" s="6" t="s">
        <v>101</v>
      </c>
      <c r="P1067" s="19">
        <v>0</v>
      </c>
    </row>
    <row r="1068" spans="8:16" ht="15.75" customHeight="1" x14ac:dyDescent="0.3">
      <c r="H1068" s="6" t="s">
        <v>209</v>
      </c>
      <c r="I1068" s="6" t="s">
        <v>126</v>
      </c>
      <c r="J1068" s="6" t="s">
        <v>147</v>
      </c>
      <c r="K1068" s="19">
        <v>0</v>
      </c>
      <c r="L1068" s="6" t="s">
        <v>178</v>
      </c>
      <c r="M1068" s="6" t="s">
        <v>336</v>
      </c>
      <c r="N1068" s="6" t="s">
        <v>22</v>
      </c>
      <c r="O1068" s="6" t="s">
        <v>104</v>
      </c>
      <c r="P1068" s="17">
        <v>2.5</v>
      </c>
    </row>
    <row r="1069" spans="8:16" ht="15.75" customHeight="1" x14ac:dyDescent="0.3">
      <c r="H1069" s="6" t="s">
        <v>209</v>
      </c>
      <c r="I1069" s="6" t="s">
        <v>127</v>
      </c>
      <c r="J1069" s="6" t="s">
        <v>149</v>
      </c>
      <c r="K1069" s="19">
        <v>13</v>
      </c>
      <c r="L1069" s="6" t="s">
        <v>178</v>
      </c>
      <c r="M1069" s="6" t="s">
        <v>336</v>
      </c>
      <c r="N1069" s="6" t="s">
        <v>23</v>
      </c>
      <c r="O1069" s="6" t="s">
        <v>107</v>
      </c>
      <c r="P1069" s="17">
        <v>49.128700000000002</v>
      </c>
    </row>
    <row r="1070" spans="8:16" ht="15.75" customHeight="1" x14ac:dyDescent="0.3">
      <c r="H1070" s="6" t="s">
        <v>209</v>
      </c>
      <c r="I1070" s="6" t="s">
        <v>128</v>
      </c>
      <c r="J1070" s="6" t="s">
        <v>150</v>
      </c>
      <c r="K1070" s="19">
        <v>0</v>
      </c>
      <c r="L1070" s="6" t="s">
        <v>178</v>
      </c>
      <c r="M1070" s="6" t="s">
        <v>336</v>
      </c>
      <c r="N1070" s="6" t="s">
        <v>24</v>
      </c>
      <c r="O1070" s="6" t="s">
        <v>109</v>
      </c>
      <c r="P1070" s="17">
        <v>4.4999999999999997E-3</v>
      </c>
    </row>
    <row r="1071" spans="8:16" ht="15.75" customHeight="1" x14ac:dyDescent="0.3">
      <c r="H1071" s="6" t="s">
        <v>209</v>
      </c>
      <c r="I1071" s="6" t="s">
        <v>129</v>
      </c>
      <c r="J1071" s="6" t="s">
        <v>151</v>
      </c>
      <c r="K1071" s="19">
        <v>4</v>
      </c>
      <c r="L1071" s="6" t="s">
        <v>178</v>
      </c>
      <c r="M1071" s="6" t="s">
        <v>336</v>
      </c>
      <c r="N1071" s="6" t="s">
        <v>25</v>
      </c>
      <c r="O1071" s="6" t="s">
        <v>111</v>
      </c>
      <c r="P1071" s="19">
        <v>7</v>
      </c>
    </row>
    <row r="1072" spans="8:16" ht="15.75" customHeight="1" x14ac:dyDescent="0.3">
      <c r="H1072" s="6" t="s">
        <v>209</v>
      </c>
      <c r="I1072" s="6" t="s">
        <v>130</v>
      </c>
      <c r="J1072" s="6" t="s">
        <v>152</v>
      </c>
      <c r="K1072" s="19">
        <v>0</v>
      </c>
      <c r="L1072" s="6" t="s">
        <v>178</v>
      </c>
      <c r="M1072" s="6" t="s">
        <v>336</v>
      </c>
      <c r="N1072" s="6" t="s">
        <v>26</v>
      </c>
      <c r="O1072" s="6" t="s">
        <v>113</v>
      </c>
      <c r="P1072" s="19">
        <v>7</v>
      </c>
    </row>
    <row r="1073" spans="8:16" ht="15.75" customHeight="1" x14ac:dyDescent="0.3">
      <c r="H1073" s="6" t="s">
        <v>209</v>
      </c>
      <c r="I1073" s="6" t="s">
        <v>131</v>
      </c>
      <c r="J1073" s="6" t="s">
        <v>153</v>
      </c>
      <c r="K1073" s="19">
        <v>0</v>
      </c>
      <c r="L1073" s="6" t="s">
        <v>178</v>
      </c>
      <c r="M1073" s="6" t="s">
        <v>336</v>
      </c>
      <c r="N1073" s="6" t="s">
        <v>27</v>
      </c>
      <c r="O1073" s="6" t="s">
        <v>117</v>
      </c>
      <c r="P1073" s="17">
        <v>19.651499999999999</v>
      </c>
    </row>
    <row r="1074" spans="8:16" ht="15.75" customHeight="1" x14ac:dyDescent="0.3">
      <c r="H1074" s="6" t="s">
        <v>209</v>
      </c>
      <c r="I1074" s="6" t="s">
        <v>133</v>
      </c>
      <c r="J1074" s="6" t="s">
        <v>154</v>
      </c>
      <c r="K1074" s="19">
        <v>0</v>
      </c>
      <c r="L1074" s="6" t="s">
        <v>178</v>
      </c>
      <c r="M1074" s="6" t="s">
        <v>336</v>
      </c>
      <c r="N1074" s="6" t="s">
        <v>29</v>
      </c>
      <c r="O1074" s="6" t="s">
        <v>125</v>
      </c>
      <c r="P1074" s="19">
        <v>6</v>
      </c>
    </row>
    <row r="1075" spans="8:16" ht="15.75" customHeight="1" x14ac:dyDescent="0.3">
      <c r="H1075" s="6" t="s">
        <v>209</v>
      </c>
      <c r="I1075" s="6" t="s">
        <v>134</v>
      </c>
      <c r="J1075" s="6" t="s">
        <v>155</v>
      </c>
      <c r="K1075" s="19">
        <v>0</v>
      </c>
      <c r="L1075" s="6" t="s">
        <v>178</v>
      </c>
      <c r="M1075" s="6" t="s">
        <v>336</v>
      </c>
      <c r="N1075" s="6" t="s">
        <v>135</v>
      </c>
      <c r="O1075" s="6" t="s">
        <v>136</v>
      </c>
      <c r="P1075" s="19">
        <v>1</v>
      </c>
    </row>
    <row r="1076" spans="8:16" ht="15.75" customHeight="1" x14ac:dyDescent="0.3">
      <c r="H1076" s="6" t="s">
        <v>210</v>
      </c>
      <c r="I1076" s="6" t="s">
        <v>58</v>
      </c>
      <c r="J1076" s="6" t="s">
        <v>60</v>
      </c>
      <c r="K1076" s="19">
        <v>11</v>
      </c>
      <c r="L1076" s="6" t="s">
        <v>178</v>
      </c>
      <c r="M1076" s="6" t="s">
        <v>336</v>
      </c>
      <c r="N1076" s="6" t="s">
        <v>138</v>
      </c>
      <c r="O1076" s="6" t="s">
        <v>139</v>
      </c>
      <c r="P1076" s="19">
        <v>0</v>
      </c>
    </row>
    <row r="1077" spans="8:16" ht="15.75" customHeight="1" x14ac:dyDescent="0.3">
      <c r="H1077" s="6" t="s">
        <v>210</v>
      </c>
      <c r="I1077" s="6" t="s">
        <v>72</v>
      </c>
      <c r="J1077" s="6" t="s">
        <v>82</v>
      </c>
      <c r="K1077" s="19">
        <v>19</v>
      </c>
      <c r="L1077" s="6" t="s">
        <v>178</v>
      </c>
      <c r="M1077" s="6" t="s">
        <v>336</v>
      </c>
      <c r="N1077" s="6" t="s">
        <v>30</v>
      </c>
      <c r="O1077" s="6" t="s">
        <v>148</v>
      </c>
      <c r="P1077" s="17">
        <v>74.071600000000004</v>
      </c>
    </row>
    <row r="1078" spans="8:16" ht="15.75" customHeight="1" x14ac:dyDescent="0.3">
      <c r="H1078" s="6" t="s">
        <v>210</v>
      </c>
      <c r="I1078" s="6" t="s">
        <v>85</v>
      </c>
      <c r="J1078" s="6" t="s">
        <v>86</v>
      </c>
      <c r="K1078" s="19">
        <v>17</v>
      </c>
      <c r="L1078" s="6" t="s">
        <v>178</v>
      </c>
      <c r="M1078" s="6" t="s">
        <v>336</v>
      </c>
      <c r="N1078" s="6" t="s">
        <v>156</v>
      </c>
      <c r="O1078" s="6" t="s">
        <v>157</v>
      </c>
      <c r="P1078" s="19">
        <v>0</v>
      </c>
    </row>
    <row r="1079" spans="8:16" ht="15.75" customHeight="1" x14ac:dyDescent="0.3">
      <c r="H1079" s="6" t="s">
        <v>210</v>
      </c>
      <c r="I1079" s="6" t="s">
        <v>93</v>
      </c>
      <c r="J1079" s="6" t="s">
        <v>94</v>
      </c>
      <c r="K1079" s="19">
        <v>3</v>
      </c>
      <c r="L1079" s="6" t="s">
        <v>178</v>
      </c>
      <c r="M1079" s="6" t="s">
        <v>336</v>
      </c>
      <c r="N1079" s="6" t="s">
        <v>158</v>
      </c>
      <c r="O1079" s="6" t="s">
        <v>159</v>
      </c>
      <c r="P1079" s="19">
        <v>1</v>
      </c>
    </row>
    <row r="1080" spans="8:16" ht="15.75" customHeight="1" x14ac:dyDescent="0.3">
      <c r="H1080" s="6" t="s">
        <v>210</v>
      </c>
      <c r="I1080" s="6" t="s">
        <v>98</v>
      </c>
      <c r="J1080" s="6" t="s">
        <v>99</v>
      </c>
      <c r="K1080" s="19">
        <v>1</v>
      </c>
      <c r="L1080" s="6" t="s">
        <v>178</v>
      </c>
      <c r="M1080" s="6" t="s">
        <v>336</v>
      </c>
      <c r="N1080" s="6" t="s">
        <v>160</v>
      </c>
      <c r="O1080" s="6" t="s">
        <v>161</v>
      </c>
      <c r="P1080" s="19">
        <v>2</v>
      </c>
    </row>
    <row r="1081" spans="8:16" ht="15.75" customHeight="1" x14ac:dyDescent="0.3">
      <c r="H1081" s="6" t="s">
        <v>210</v>
      </c>
      <c r="I1081" s="6" t="s">
        <v>22</v>
      </c>
      <c r="J1081" s="6" t="s">
        <v>103</v>
      </c>
      <c r="K1081" s="17">
        <v>63.734200000000001</v>
      </c>
      <c r="L1081" s="6" t="s">
        <v>178</v>
      </c>
      <c r="M1081" s="6" t="s">
        <v>336</v>
      </c>
      <c r="N1081" s="6" t="s">
        <v>162</v>
      </c>
      <c r="O1081" s="6" t="s">
        <v>163</v>
      </c>
      <c r="P1081" s="19">
        <v>0</v>
      </c>
    </row>
    <row r="1082" spans="8:16" ht="15.75" customHeight="1" x14ac:dyDescent="0.3">
      <c r="H1082" s="6" t="s">
        <v>210</v>
      </c>
      <c r="I1082" s="6" t="s">
        <v>23</v>
      </c>
      <c r="J1082" s="6" t="s">
        <v>106</v>
      </c>
      <c r="K1082" s="17">
        <v>141874.09760000001</v>
      </c>
      <c r="L1082" s="6" t="s">
        <v>178</v>
      </c>
      <c r="M1082" s="6" t="s">
        <v>336</v>
      </c>
      <c r="N1082" s="6" t="s">
        <v>165</v>
      </c>
      <c r="O1082" s="6" t="s">
        <v>166</v>
      </c>
      <c r="P1082" s="19">
        <v>0</v>
      </c>
    </row>
    <row r="1083" spans="8:16" ht="15.75" customHeight="1" x14ac:dyDescent="0.3">
      <c r="H1083" s="6" t="s">
        <v>210</v>
      </c>
      <c r="I1083" s="6" t="s">
        <v>24</v>
      </c>
      <c r="J1083" s="6" t="s">
        <v>108</v>
      </c>
      <c r="K1083" s="17">
        <v>0.90669999999999995</v>
      </c>
      <c r="L1083" s="6" t="s">
        <v>178</v>
      </c>
      <c r="M1083" s="6" t="s">
        <v>341</v>
      </c>
      <c r="N1083" s="6" t="s">
        <v>72</v>
      </c>
      <c r="O1083" s="6" t="s">
        <v>75</v>
      </c>
      <c r="P1083" s="19">
        <v>0</v>
      </c>
    </row>
    <row r="1084" spans="8:16" ht="15.75" customHeight="1" x14ac:dyDescent="0.3">
      <c r="H1084" s="6" t="s">
        <v>210</v>
      </c>
      <c r="I1084" s="6" t="s">
        <v>25</v>
      </c>
      <c r="J1084" s="6" t="s">
        <v>110</v>
      </c>
      <c r="K1084" s="19">
        <v>316</v>
      </c>
      <c r="L1084" s="6" t="s">
        <v>178</v>
      </c>
      <c r="M1084" s="6" t="s">
        <v>341</v>
      </c>
      <c r="N1084" s="6" t="s">
        <v>83</v>
      </c>
      <c r="O1084" s="6" t="s">
        <v>84</v>
      </c>
      <c r="P1084" s="19">
        <v>0</v>
      </c>
    </row>
    <row r="1085" spans="8:16" ht="15.75" customHeight="1" x14ac:dyDescent="0.3">
      <c r="H1085" s="6" t="s">
        <v>210</v>
      </c>
      <c r="I1085" s="6" t="s">
        <v>26</v>
      </c>
      <c r="J1085" s="6" t="s">
        <v>112</v>
      </c>
      <c r="K1085" s="19">
        <v>132</v>
      </c>
      <c r="L1085" s="6" t="s">
        <v>178</v>
      </c>
      <c r="M1085" s="6" t="s">
        <v>341</v>
      </c>
      <c r="N1085" s="6" t="s">
        <v>88</v>
      </c>
      <c r="O1085" s="6" t="s">
        <v>90</v>
      </c>
      <c r="P1085" s="19">
        <v>0</v>
      </c>
    </row>
    <row r="1086" spans="8:16" ht="15.75" customHeight="1" x14ac:dyDescent="0.3">
      <c r="H1086" s="6" t="s">
        <v>210</v>
      </c>
      <c r="I1086" s="6" t="s">
        <v>27</v>
      </c>
      <c r="J1086" s="6" t="s">
        <v>114</v>
      </c>
      <c r="K1086" s="17">
        <v>2226.0284999999999</v>
      </c>
      <c r="L1086" s="6" t="s">
        <v>178</v>
      </c>
      <c r="M1086" s="6" t="s">
        <v>341</v>
      </c>
      <c r="N1086" s="6" t="s">
        <v>96</v>
      </c>
      <c r="O1086" s="6" t="s">
        <v>97</v>
      </c>
      <c r="P1086" s="19">
        <v>0</v>
      </c>
    </row>
    <row r="1087" spans="8:16" ht="15.75" customHeight="1" x14ac:dyDescent="0.3">
      <c r="H1087" s="6" t="s">
        <v>210</v>
      </c>
      <c r="I1087" s="6" t="s">
        <v>115</v>
      </c>
      <c r="J1087" s="6" t="s">
        <v>121</v>
      </c>
      <c r="K1087" s="19">
        <v>1</v>
      </c>
      <c r="L1087" s="6" t="s">
        <v>178</v>
      </c>
      <c r="M1087" s="6" t="s">
        <v>341</v>
      </c>
      <c r="N1087" s="6" t="s">
        <v>100</v>
      </c>
      <c r="O1087" s="6" t="s">
        <v>101</v>
      </c>
      <c r="P1087" s="19">
        <v>0</v>
      </c>
    </row>
    <row r="1088" spans="8:16" ht="15.75" customHeight="1" x14ac:dyDescent="0.3">
      <c r="H1088" s="6" t="s">
        <v>210</v>
      </c>
      <c r="I1088" s="6" t="s">
        <v>116</v>
      </c>
      <c r="J1088" s="6" t="s">
        <v>132</v>
      </c>
      <c r="K1088" s="19">
        <v>141</v>
      </c>
      <c r="L1088" s="6" t="s">
        <v>178</v>
      </c>
      <c r="M1088" s="6" t="s">
        <v>341</v>
      </c>
      <c r="N1088" s="6" t="s">
        <v>22</v>
      </c>
      <c r="O1088" s="6" t="s">
        <v>104</v>
      </c>
      <c r="P1088" s="19">
        <v>2</v>
      </c>
    </row>
    <row r="1089" spans="8:16" ht="15.75" customHeight="1" x14ac:dyDescent="0.3">
      <c r="H1089" s="6" t="s">
        <v>210</v>
      </c>
      <c r="I1089" s="6" t="s">
        <v>30</v>
      </c>
      <c r="J1089" s="6" t="s">
        <v>137</v>
      </c>
      <c r="K1089" s="17">
        <v>29.244599999999998</v>
      </c>
      <c r="L1089" s="6" t="s">
        <v>178</v>
      </c>
      <c r="M1089" s="6" t="s">
        <v>341</v>
      </c>
      <c r="N1089" s="6" t="s">
        <v>23</v>
      </c>
      <c r="O1089" s="6" t="s">
        <v>107</v>
      </c>
      <c r="P1089" s="17">
        <v>23.2193</v>
      </c>
    </row>
    <row r="1090" spans="8:16" ht="15.75" customHeight="1" x14ac:dyDescent="0.3">
      <c r="H1090" s="6" t="s">
        <v>210</v>
      </c>
      <c r="I1090" s="6" t="s">
        <v>118</v>
      </c>
      <c r="J1090" s="6" t="s">
        <v>140</v>
      </c>
      <c r="K1090" s="19">
        <v>54</v>
      </c>
      <c r="L1090" s="6" t="s">
        <v>178</v>
      </c>
      <c r="M1090" s="6" t="s">
        <v>341</v>
      </c>
      <c r="N1090" s="6" t="s">
        <v>24</v>
      </c>
      <c r="O1090" s="6" t="s">
        <v>109</v>
      </c>
      <c r="P1090" s="17">
        <v>2.7000000000000001E-3</v>
      </c>
    </row>
    <row r="1091" spans="8:16" ht="15.75" customHeight="1" x14ac:dyDescent="0.3">
      <c r="H1091" s="6" t="s">
        <v>210</v>
      </c>
      <c r="I1091" s="6" t="s">
        <v>31</v>
      </c>
      <c r="J1091" s="6" t="s">
        <v>141</v>
      </c>
      <c r="K1091" s="19">
        <v>86</v>
      </c>
      <c r="L1091" s="6" t="s">
        <v>178</v>
      </c>
      <c r="M1091" s="6" t="s">
        <v>341</v>
      </c>
      <c r="N1091" s="6" t="s">
        <v>25</v>
      </c>
      <c r="O1091" s="6" t="s">
        <v>111</v>
      </c>
      <c r="P1091" s="19">
        <v>5</v>
      </c>
    </row>
    <row r="1092" spans="8:16" ht="15.75" customHeight="1" x14ac:dyDescent="0.3">
      <c r="H1092" s="6" t="s">
        <v>210</v>
      </c>
      <c r="I1092" s="6" t="s">
        <v>119</v>
      </c>
      <c r="J1092" s="6" t="s">
        <v>142</v>
      </c>
      <c r="K1092" s="19">
        <v>0</v>
      </c>
      <c r="L1092" s="6" t="s">
        <v>178</v>
      </c>
      <c r="M1092" s="6" t="s">
        <v>341</v>
      </c>
      <c r="N1092" s="6" t="s">
        <v>26</v>
      </c>
      <c r="O1092" s="6" t="s">
        <v>113</v>
      </c>
      <c r="P1092" s="19">
        <v>5</v>
      </c>
    </row>
    <row r="1093" spans="8:16" ht="15.75" customHeight="1" x14ac:dyDescent="0.3">
      <c r="H1093" s="6" t="s">
        <v>210</v>
      </c>
      <c r="I1093" s="6" t="s">
        <v>120</v>
      </c>
      <c r="J1093" s="6" t="s">
        <v>143</v>
      </c>
      <c r="K1093" s="19">
        <v>4</v>
      </c>
      <c r="L1093" s="6" t="s">
        <v>178</v>
      </c>
      <c r="M1093" s="6" t="s">
        <v>341</v>
      </c>
      <c r="N1093" s="6" t="s">
        <v>27</v>
      </c>
      <c r="O1093" s="6" t="s">
        <v>117</v>
      </c>
      <c r="P1093" s="17">
        <v>11.6096</v>
      </c>
    </row>
    <row r="1094" spans="8:16" ht="15.75" customHeight="1" x14ac:dyDescent="0.3">
      <c r="H1094" s="6" t="s">
        <v>210</v>
      </c>
      <c r="I1094" s="6" t="s">
        <v>122</v>
      </c>
      <c r="J1094" s="6" t="s">
        <v>144</v>
      </c>
      <c r="K1094" s="19">
        <v>3</v>
      </c>
      <c r="L1094" s="6" t="s">
        <v>178</v>
      </c>
      <c r="M1094" s="6" t="s">
        <v>341</v>
      </c>
      <c r="N1094" s="6" t="s">
        <v>29</v>
      </c>
      <c r="O1094" s="6" t="s">
        <v>125</v>
      </c>
      <c r="P1094" s="19">
        <v>5</v>
      </c>
    </row>
    <row r="1095" spans="8:16" ht="15.75" customHeight="1" x14ac:dyDescent="0.3">
      <c r="H1095" s="6" t="s">
        <v>210</v>
      </c>
      <c r="I1095" s="6" t="s">
        <v>123</v>
      </c>
      <c r="J1095" s="6" t="s">
        <v>145</v>
      </c>
      <c r="K1095" s="19">
        <v>21</v>
      </c>
      <c r="L1095" s="6" t="s">
        <v>178</v>
      </c>
      <c r="M1095" s="6" t="s">
        <v>341</v>
      </c>
      <c r="N1095" s="6" t="s">
        <v>135</v>
      </c>
      <c r="O1095" s="6" t="s">
        <v>136</v>
      </c>
      <c r="P1095" s="19">
        <v>1</v>
      </c>
    </row>
    <row r="1096" spans="8:16" ht="15.75" customHeight="1" x14ac:dyDescent="0.3">
      <c r="H1096" s="6" t="s">
        <v>210</v>
      </c>
      <c r="I1096" s="6" t="s">
        <v>124</v>
      </c>
      <c r="J1096" s="6" t="s">
        <v>146</v>
      </c>
      <c r="K1096" s="19">
        <v>0</v>
      </c>
      <c r="L1096" s="6" t="s">
        <v>178</v>
      </c>
      <c r="M1096" s="6" t="s">
        <v>341</v>
      </c>
      <c r="N1096" s="6" t="s">
        <v>138</v>
      </c>
      <c r="O1096" s="6" t="s">
        <v>139</v>
      </c>
      <c r="P1096" s="19">
        <v>0</v>
      </c>
    </row>
    <row r="1097" spans="8:16" ht="15.75" customHeight="1" x14ac:dyDescent="0.3">
      <c r="H1097" s="6" t="s">
        <v>210</v>
      </c>
      <c r="I1097" s="6" t="s">
        <v>126</v>
      </c>
      <c r="J1097" s="6" t="s">
        <v>147</v>
      </c>
      <c r="K1097" s="19">
        <v>5</v>
      </c>
      <c r="L1097" s="6" t="s">
        <v>178</v>
      </c>
      <c r="M1097" s="6" t="s">
        <v>341</v>
      </c>
      <c r="N1097" s="6" t="s">
        <v>30</v>
      </c>
      <c r="O1097" s="6" t="s">
        <v>148</v>
      </c>
      <c r="P1097" s="17">
        <v>77.460800000000006</v>
      </c>
    </row>
    <row r="1098" spans="8:16" ht="15.75" customHeight="1" x14ac:dyDescent="0.3">
      <c r="H1098" s="6" t="s">
        <v>210</v>
      </c>
      <c r="I1098" s="6" t="s">
        <v>127</v>
      </c>
      <c r="J1098" s="6" t="s">
        <v>149</v>
      </c>
      <c r="K1098" s="19">
        <v>18</v>
      </c>
      <c r="L1098" s="6" t="s">
        <v>178</v>
      </c>
      <c r="M1098" s="6" t="s">
        <v>341</v>
      </c>
      <c r="N1098" s="6" t="s">
        <v>156</v>
      </c>
      <c r="O1098" s="6" t="s">
        <v>157</v>
      </c>
      <c r="P1098" s="19">
        <v>0</v>
      </c>
    </row>
    <row r="1099" spans="8:16" ht="15.75" customHeight="1" x14ac:dyDescent="0.3">
      <c r="H1099" s="6" t="s">
        <v>210</v>
      </c>
      <c r="I1099" s="6" t="s">
        <v>128</v>
      </c>
      <c r="J1099" s="6" t="s">
        <v>150</v>
      </c>
      <c r="K1099" s="19">
        <v>0</v>
      </c>
      <c r="L1099" s="6" t="s">
        <v>178</v>
      </c>
      <c r="M1099" s="6" t="s">
        <v>341</v>
      </c>
      <c r="N1099" s="6" t="s">
        <v>158</v>
      </c>
      <c r="O1099" s="6" t="s">
        <v>159</v>
      </c>
      <c r="P1099" s="19">
        <v>1</v>
      </c>
    </row>
    <row r="1100" spans="8:16" ht="15.75" customHeight="1" x14ac:dyDescent="0.3">
      <c r="H1100" s="6" t="s">
        <v>210</v>
      </c>
      <c r="I1100" s="6" t="s">
        <v>129</v>
      </c>
      <c r="J1100" s="6" t="s">
        <v>151</v>
      </c>
      <c r="K1100" s="19">
        <v>0</v>
      </c>
      <c r="L1100" s="6" t="s">
        <v>178</v>
      </c>
      <c r="M1100" s="6" t="s">
        <v>341</v>
      </c>
      <c r="N1100" s="6" t="s">
        <v>160</v>
      </c>
      <c r="O1100" s="6" t="s">
        <v>161</v>
      </c>
      <c r="P1100" s="19">
        <v>1</v>
      </c>
    </row>
    <row r="1101" spans="8:16" ht="15.75" customHeight="1" x14ac:dyDescent="0.3">
      <c r="H1101" s="6" t="s">
        <v>210</v>
      </c>
      <c r="I1101" s="6" t="s">
        <v>130</v>
      </c>
      <c r="J1101" s="6" t="s">
        <v>152</v>
      </c>
      <c r="K1101" s="19">
        <v>41</v>
      </c>
      <c r="L1101" s="6" t="s">
        <v>178</v>
      </c>
      <c r="M1101" s="6" t="s">
        <v>341</v>
      </c>
      <c r="N1101" s="6" t="s">
        <v>162</v>
      </c>
      <c r="O1101" s="6" t="s">
        <v>163</v>
      </c>
      <c r="P1101" s="19">
        <v>0</v>
      </c>
    </row>
    <row r="1102" spans="8:16" ht="15.75" customHeight="1" x14ac:dyDescent="0.3">
      <c r="H1102" s="6" t="s">
        <v>210</v>
      </c>
      <c r="I1102" s="6" t="s">
        <v>131</v>
      </c>
      <c r="J1102" s="6" t="s">
        <v>153</v>
      </c>
      <c r="K1102" s="17">
        <v>0.33329999999999999</v>
      </c>
      <c r="L1102" s="6" t="s">
        <v>178</v>
      </c>
      <c r="M1102" s="6" t="s">
        <v>341</v>
      </c>
      <c r="N1102" s="6" t="s">
        <v>165</v>
      </c>
      <c r="O1102" s="6" t="s">
        <v>166</v>
      </c>
      <c r="P1102" s="19">
        <v>0</v>
      </c>
    </row>
    <row r="1103" spans="8:16" ht="15.75" customHeight="1" x14ac:dyDescent="0.3">
      <c r="H1103" s="6" t="s">
        <v>210</v>
      </c>
      <c r="I1103" s="6" t="s">
        <v>133</v>
      </c>
      <c r="J1103" s="6" t="s">
        <v>154</v>
      </c>
      <c r="K1103" s="19">
        <v>1</v>
      </c>
      <c r="L1103" s="6" t="s">
        <v>178</v>
      </c>
      <c r="M1103" s="6" t="s">
        <v>260</v>
      </c>
      <c r="N1103" s="6" t="s">
        <v>72</v>
      </c>
      <c r="O1103" s="6" t="s">
        <v>75</v>
      </c>
      <c r="P1103" s="19">
        <v>0</v>
      </c>
    </row>
    <row r="1104" spans="8:16" ht="15.75" customHeight="1" x14ac:dyDescent="0.3">
      <c r="H1104" s="6" t="s">
        <v>210</v>
      </c>
      <c r="I1104" s="6" t="s">
        <v>134</v>
      </c>
      <c r="J1104" s="6" t="s">
        <v>155</v>
      </c>
      <c r="K1104" s="19">
        <v>25</v>
      </c>
      <c r="L1104" s="6" t="s">
        <v>178</v>
      </c>
      <c r="M1104" s="6" t="s">
        <v>260</v>
      </c>
      <c r="N1104" s="6" t="s">
        <v>83</v>
      </c>
      <c r="O1104" s="6" t="s">
        <v>84</v>
      </c>
      <c r="P1104" s="19">
        <v>0</v>
      </c>
    </row>
    <row r="1105" spans="8:16" ht="15.75" customHeight="1" x14ac:dyDescent="0.3">
      <c r="H1105" s="6" t="s">
        <v>211</v>
      </c>
      <c r="I1105" s="6" t="s">
        <v>58</v>
      </c>
      <c r="J1105" s="6" t="s">
        <v>60</v>
      </c>
      <c r="K1105" s="19">
        <v>0</v>
      </c>
      <c r="L1105" s="6" t="s">
        <v>178</v>
      </c>
      <c r="M1105" s="6" t="s">
        <v>260</v>
      </c>
      <c r="N1105" s="6" t="s">
        <v>88</v>
      </c>
      <c r="O1105" s="6" t="s">
        <v>90</v>
      </c>
      <c r="P1105" s="19">
        <v>0</v>
      </c>
    </row>
    <row r="1106" spans="8:16" ht="15.75" customHeight="1" x14ac:dyDescent="0.3">
      <c r="H1106" s="6" t="s">
        <v>211</v>
      </c>
      <c r="I1106" s="6" t="s">
        <v>72</v>
      </c>
      <c r="J1106" s="6" t="s">
        <v>82</v>
      </c>
      <c r="K1106" s="19">
        <v>0</v>
      </c>
      <c r="L1106" s="6" t="s">
        <v>178</v>
      </c>
      <c r="M1106" s="6" t="s">
        <v>260</v>
      </c>
      <c r="N1106" s="6" t="s">
        <v>96</v>
      </c>
      <c r="O1106" s="6" t="s">
        <v>97</v>
      </c>
      <c r="P1106" s="19">
        <v>0</v>
      </c>
    </row>
    <row r="1107" spans="8:16" ht="15.75" customHeight="1" x14ac:dyDescent="0.3">
      <c r="H1107" s="6" t="s">
        <v>211</v>
      </c>
      <c r="I1107" s="6" t="s">
        <v>85</v>
      </c>
      <c r="J1107" s="6" t="s">
        <v>86</v>
      </c>
      <c r="K1107" s="19">
        <v>2</v>
      </c>
      <c r="L1107" s="6" t="s">
        <v>178</v>
      </c>
      <c r="M1107" s="6" t="s">
        <v>260</v>
      </c>
      <c r="N1107" s="6" t="s">
        <v>100</v>
      </c>
      <c r="O1107" s="6" t="s">
        <v>101</v>
      </c>
      <c r="P1107" s="19">
        <v>0</v>
      </c>
    </row>
    <row r="1108" spans="8:16" ht="15.75" customHeight="1" x14ac:dyDescent="0.3">
      <c r="H1108" s="6" t="s">
        <v>211</v>
      </c>
      <c r="I1108" s="6" t="s">
        <v>93</v>
      </c>
      <c r="J1108" s="6" t="s">
        <v>94</v>
      </c>
      <c r="K1108" s="19">
        <v>1</v>
      </c>
      <c r="L1108" s="6" t="s">
        <v>178</v>
      </c>
      <c r="M1108" s="6" t="s">
        <v>260</v>
      </c>
      <c r="N1108" s="6" t="s">
        <v>22</v>
      </c>
      <c r="O1108" s="6" t="s">
        <v>104</v>
      </c>
      <c r="P1108" s="19">
        <v>2</v>
      </c>
    </row>
    <row r="1109" spans="8:16" ht="15.75" customHeight="1" x14ac:dyDescent="0.3">
      <c r="H1109" s="6" t="s">
        <v>211</v>
      </c>
      <c r="I1109" s="6" t="s">
        <v>98</v>
      </c>
      <c r="J1109" s="6" t="s">
        <v>99</v>
      </c>
      <c r="K1109" s="19">
        <v>1</v>
      </c>
      <c r="L1109" s="6" t="s">
        <v>178</v>
      </c>
      <c r="M1109" s="6" t="s">
        <v>260</v>
      </c>
      <c r="N1109" s="6" t="s">
        <v>23</v>
      </c>
      <c r="O1109" s="6" t="s">
        <v>107</v>
      </c>
      <c r="P1109" s="17">
        <v>23.2193</v>
      </c>
    </row>
    <row r="1110" spans="8:16" ht="15.75" customHeight="1" x14ac:dyDescent="0.3">
      <c r="H1110" s="6" t="s">
        <v>211</v>
      </c>
      <c r="I1110" s="6" t="s">
        <v>22</v>
      </c>
      <c r="J1110" s="6" t="s">
        <v>103</v>
      </c>
      <c r="K1110" s="17">
        <v>13.2</v>
      </c>
      <c r="L1110" s="6" t="s">
        <v>178</v>
      </c>
      <c r="M1110" s="6" t="s">
        <v>260</v>
      </c>
      <c r="N1110" s="6" t="s">
        <v>24</v>
      </c>
      <c r="O1110" s="6" t="s">
        <v>109</v>
      </c>
      <c r="P1110" s="17">
        <v>2.7000000000000001E-3</v>
      </c>
    </row>
    <row r="1111" spans="8:16" ht="15.75" customHeight="1" x14ac:dyDescent="0.3">
      <c r="H1111" s="6" t="s">
        <v>211</v>
      </c>
      <c r="I1111" s="6" t="s">
        <v>23</v>
      </c>
      <c r="J1111" s="6" t="s">
        <v>106</v>
      </c>
      <c r="K1111" s="17">
        <v>1510.7263</v>
      </c>
      <c r="L1111" s="6" t="s">
        <v>178</v>
      </c>
      <c r="M1111" s="6" t="s">
        <v>260</v>
      </c>
      <c r="N1111" s="6" t="s">
        <v>25</v>
      </c>
      <c r="O1111" s="6" t="s">
        <v>111</v>
      </c>
      <c r="P1111" s="19">
        <v>5</v>
      </c>
    </row>
    <row r="1112" spans="8:16" ht="15.75" customHeight="1" x14ac:dyDescent="0.3">
      <c r="H1112" s="6" t="s">
        <v>211</v>
      </c>
      <c r="I1112" s="6" t="s">
        <v>24</v>
      </c>
      <c r="J1112" s="6" t="s">
        <v>108</v>
      </c>
      <c r="K1112" s="17">
        <v>4.3900000000000002E-2</v>
      </c>
      <c r="L1112" s="6" t="s">
        <v>178</v>
      </c>
      <c r="M1112" s="6" t="s">
        <v>260</v>
      </c>
      <c r="N1112" s="6" t="s">
        <v>26</v>
      </c>
      <c r="O1112" s="6" t="s">
        <v>113</v>
      </c>
      <c r="P1112" s="19">
        <v>5</v>
      </c>
    </row>
    <row r="1113" spans="8:16" ht="15.75" customHeight="1" x14ac:dyDescent="0.3">
      <c r="H1113" s="6" t="s">
        <v>211</v>
      </c>
      <c r="I1113" s="6" t="s">
        <v>25</v>
      </c>
      <c r="J1113" s="6" t="s">
        <v>110</v>
      </c>
      <c r="K1113" s="19">
        <v>28</v>
      </c>
      <c r="L1113" s="6" t="s">
        <v>178</v>
      </c>
      <c r="M1113" s="6" t="s">
        <v>260</v>
      </c>
      <c r="N1113" s="6" t="s">
        <v>27</v>
      </c>
      <c r="O1113" s="6" t="s">
        <v>117</v>
      </c>
      <c r="P1113" s="17">
        <v>11.6096</v>
      </c>
    </row>
    <row r="1114" spans="8:16" ht="15.75" customHeight="1" x14ac:dyDescent="0.3">
      <c r="H1114" s="6" t="s">
        <v>211</v>
      </c>
      <c r="I1114" s="6" t="s">
        <v>26</v>
      </c>
      <c r="J1114" s="6" t="s">
        <v>112</v>
      </c>
      <c r="K1114" s="19">
        <v>17</v>
      </c>
      <c r="L1114" s="6" t="s">
        <v>178</v>
      </c>
      <c r="M1114" s="6" t="s">
        <v>260</v>
      </c>
      <c r="N1114" s="6" t="s">
        <v>29</v>
      </c>
      <c r="O1114" s="6" t="s">
        <v>125</v>
      </c>
      <c r="P1114" s="19">
        <v>5</v>
      </c>
    </row>
    <row r="1115" spans="8:16" ht="15.75" customHeight="1" x14ac:dyDescent="0.3">
      <c r="H1115" s="6" t="s">
        <v>211</v>
      </c>
      <c r="I1115" s="6" t="s">
        <v>27</v>
      </c>
      <c r="J1115" s="6" t="s">
        <v>114</v>
      </c>
      <c r="K1115" s="17">
        <v>114.449</v>
      </c>
      <c r="L1115" s="6" t="s">
        <v>178</v>
      </c>
      <c r="M1115" s="6" t="s">
        <v>260</v>
      </c>
      <c r="N1115" s="6" t="s">
        <v>135</v>
      </c>
      <c r="O1115" s="6" t="s">
        <v>136</v>
      </c>
      <c r="P1115" s="19">
        <v>1</v>
      </c>
    </row>
    <row r="1116" spans="8:16" ht="15.75" customHeight="1" x14ac:dyDescent="0.3">
      <c r="H1116" s="6" t="s">
        <v>211</v>
      </c>
      <c r="I1116" s="6" t="s">
        <v>115</v>
      </c>
      <c r="J1116" s="6" t="s">
        <v>121</v>
      </c>
      <c r="K1116" s="19">
        <v>1</v>
      </c>
      <c r="L1116" s="6" t="s">
        <v>178</v>
      </c>
      <c r="M1116" s="6" t="s">
        <v>260</v>
      </c>
      <c r="N1116" s="6" t="s">
        <v>138</v>
      </c>
      <c r="O1116" s="6" t="s">
        <v>139</v>
      </c>
      <c r="P1116" s="19">
        <v>0</v>
      </c>
    </row>
    <row r="1117" spans="8:16" ht="15.75" customHeight="1" x14ac:dyDescent="0.3">
      <c r="H1117" s="6" t="s">
        <v>211</v>
      </c>
      <c r="I1117" s="6" t="s">
        <v>116</v>
      </c>
      <c r="J1117" s="6" t="s">
        <v>132</v>
      </c>
      <c r="K1117" s="19">
        <v>15</v>
      </c>
      <c r="L1117" s="6" t="s">
        <v>178</v>
      </c>
      <c r="M1117" s="6" t="s">
        <v>260</v>
      </c>
      <c r="N1117" s="6" t="s">
        <v>30</v>
      </c>
      <c r="O1117" s="6" t="s">
        <v>148</v>
      </c>
      <c r="P1117" s="17">
        <v>77.460800000000006</v>
      </c>
    </row>
    <row r="1118" spans="8:16" ht="15.75" customHeight="1" x14ac:dyDescent="0.3">
      <c r="H1118" s="6" t="s">
        <v>211</v>
      </c>
      <c r="I1118" s="6" t="s">
        <v>30</v>
      </c>
      <c r="J1118" s="6" t="s">
        <v>137</v>
      </c>
      <c r="K1118" s="17">
        <v>59.794499999999999</v>
      </c>
      <c r="L1118" s="6" t="s">
        <v>178</v>
      </c>
      <c r="M1118" s="6" t="s">
        <v>260</v>
      </c>
      <c r="N1118" s="6" t="s">
        <v>156</v>
      </c>
      <c r="O1118" s="6" t="s">
        <v>157</v>
      </c>
      <c r="P1118" s="19">
        <v>0</v>
      </c>
    </row>
    <row r="1119" spans="8:16" ht="15.75" customHeight="1" x14ac:dyDescent="0.3">
      <c r="H1119" s="6" t="s">
        <v>211</v>
      </c>
      <c r="I1119" s="6" t="s">
        <v>118</v>
      </c>
      <c r="J1119" s="6" t="s">
        <v>140</v>
      </c>
      <c r="K1119" s="19">
        <v>5</v>
      </c>
      <c r="L1119" s="6" t="s">
        <v>178</v>
      </c>
      <c r="M1119" s="6" t="s">
        <v>260</v>
      </c>
      <c r="N1119" s="6" t="s">
        <v>158</v>
      </c>
      <c r="O1119" s="6" t="s">
        <v>159</v>
      </c>
      <c r="P1119" s="19">
        <v>1</v>
      </c>
    </row>
    <row r="1120" spans="8:16" ht="15.75" customHeight="1" x14ac:dyDescent="0.3">
      <c r="H1120" s="6" t="s">
        <v>211</v>
      </c>
      <c r="I1120" s="6" t="s">
        <v>31</v>
      </c>
      <c r="J1120" s="6" t="s">
        <v>141</v>
      </c>
      <c r="K1120" s="19">
        <v>6</v>
      </c>
      <c r="L1120" s="6" t="s">
        <v>178</v>
      </c>
      <c r="M1120" s="6" t="s">
        <v>260</v>
      </c>
      <c r="N1120" s="6" t="s">
        <v>160</v>
      </c>
      <c r="O1120" s="6" t="s">
        <v>161</v>
      </c>
      <c r="P1120" s="19">
        <v>1</v>
      </c>
    </row>
    <row r="1121" spans="8:16" ht="15.75" customHeight="1" x14ac:dyDescent="0.3">
      <c r="H1121" s="6" t="s">
        <v>211</v>
      </c>
      <c r="I1121" s="6" t="s">
        <v>119</v>
      </c>
      <c r="J1121" s="6" t="s">
        <v>142</v>
      </c>
      <c r="K1121" s="19">
        <v>0</v>
      </c>
      <c r="L1121" s="6" t="s">
        <v>178</v>
      </c>
      <c r="M1121" s="6" t="s">
        <v>260</v>
      </c>
      <c r="N1121" s="6" t="s">
        <v>162</v>
      </c>
      <c r="O1121" s="6" t="s">
        <v>163</v>
      </c>
      <c r="P1121" s="19">
        <v>0</v>
      </c>
    </row>
    <row r="1122" spans="8:16" ht="15.75" customHeight="1" x14ac:dyDescent="0.3">
      <c r="H1122" s="6" t="s">
        <v>211</v>
      </c>
      <c r="I1122" s="6" t="s">
        <v>120</v>
      </c>
      <c r="J1122" s="6" t="s">
        <v>143</v>
      </c>
      <c r="K1122" s="19">
        <v>3</v>
      </c>
      <c r="L1122" s="6" t="s">
        <v>178</v>
      </c>
      <c r="M1122" s="6" t="s">
        <v>260</v>
      </c>
      <c r="N1122" s="6" t="s">
        <v>165</v>
      </c>
      <c r="O1122" s="6" t="s">
        <v>166</v>
      </c>
      <c r="P1122" s="19">
        <v>0</v>
      </c>
    </row>
    <row r="1123" spans="8:16" ht="15.75" customHeight="1" x14ac:dyDescent="0.3">
      <c r="H1123" s="6" t="s">
        <v>211</v>
      </c>
      <c r="I1123" s="6" t="s">
        <v>122</v>
      </c>
      <c r="J1123" s="6" t="s">
        <v>144</v>
      </c>
      <c r="K1123" s="19">
        <v>1</v>
      </c>
      <c r="L1123" s="6" t="s">
        <v>178</v>
      </c>
      <c r="M1123" s="6" t="s">
        <v>325</v>
      </c>
      <c r="N1123" s="6" t="s">
        <v>72</v>
      </c>
      <c r="O1123" s="6" t="s">
        <v>75</v>
      </c>
      <c r="P1123" s="19">
        <v>2</v>
      </c>
    </row>
    <row r="1124" spans="8:16" ht="15.75" customHeight="1" x14ac:dyDescent="0.3">
      <c r="H1124" s="6" t="s">
        <v>211</v>
      </c>
      <c r="I1124" s="6" t="s">
        <v>123</v>
      </c>
      <c r="J1124" s="6" t="s">
        <v>145</v>
      </c>
      <c r="K1124" s="19">
        <v>17</v>
      </c>
      <c r="L1124" s="6" t="s">
        <v>178</v>
      </c>
      <c r="M1124" s="6" t="s">
        <v>325</v>
      </c>
      <c r="N1124" s="6" t="s">
        <v>83</v>
      </c>
      <c r="O1124" s="6" t="s">
        <v>84</v>
      </c>
      <c r="P1124" s="19">
        <v>0</v>
      </c>
    </row>
    <row r="1125" spans="8:16" ht="15.75" customHeight="1" x14ac:dyDescent="0.3">
      <c r="H1125" s="6" t="s">
        <v>211</v>
      </c>
      <c r="I1125" s="6" t="s">
        <v>124</v>
      </c>
      <c r="J1125" s="6" t="s">
        <v>146</v>
      </c>
      <c r="K1125" s="19">
        <v>0</v>
      </c>
      <c r="L1125" s="6" t="s">
        <v>178</v>
      </c>
      <c r="M1125" s="6" t="s">
        <v>325</v>
      </c>
      <c r="N1125" s="6" t="s">
        <v>88</v>
      </c>
      <c r="O1125" s="6" t="s">
        <v>90</v>
      </c>
      <c r="P1125" s="17">
        <v>0.66669999999999996</v>
      </c>
    </row>
    <row r="1126" spans="8:16" ht="15.75" customHeight="1" x14ac:dyDescent="0.3">
      <c r="H1126" s="6" t="s">
        <v>211</v>
      </c>
      <c r="I1126" s="6" t="s">
        <v>126</v>
      </c>
      <c r="J1126" s="6" t="s">
        <v>147</v>
      </c>
      <c r="K1126" s="19">
        <v>3</v>
      </c>
      <c r="L1126" s="6" t="s">
        <v>178</v>
      </c>
      <c r="M1126" s="6" t="s">
        <v>325</v>
      </c>
      <c r="N1126" s="6" t="s">
        <v>96</v>
      </c>
      <c r="O1126" s="6" t="s">
        <v>97</v>
      </c>
      <c r="P1126" s="19">
        <v>9</v>
      </c>
    </row>
    <row r="1127" spans="8:16" ht="15.75" customHeight="1" x14ac:dyDescent="0.3">
      <c r="H1127" s="6" t="s">
        <v>211</v>
      </c>
      <c r="I1127" s="6" t="s">
        <v>127</v>
      </c>
      <c r="J1127" s="6" t="s">
        <v>149</v>
      </c>
      <c r="K1127" s="19">
        <v>16</v>
      </c>
      <c r="L1127" s="6" t="s">
        <v>178</v>
      </c>
      <c r="M1127" s="6" t="s">
        <v>325</v>
      </c>
      <c r="N1127" s="6" t="s">
        <v>100</v>
      </c>
      <c r="O1127" s="6" t="s">
        <v>101</v>
      </c>
      <c r="P1127" s="19">
        <v>2</v>
      </c>
    </row>
    <row r="1128" spans="8:16" ht="15.75" customHeight="1" x14ac:dyDescent="0.3">
      <c r="H1128" s="6" t="s">
        <v>211</v>
      </c>
      <c r="I1128" s="6" t="s">
        <v>128</v>
      </c>
      <c r="J1128" s="6" t="s">
        <v>150</v>
      </c>
      <c r="K1128" s="19">
        <v>0</v>
      </c>
      <c r="L1128" s="6" t="s">
        <v>178</v>
      </c>
      <c r="M1128" s="6" t="s">
        <v>325</v>
      </c>
      <c r="N1128" s="6" t="s">
        <v>22</v>
      </c>
      <c r="O1128" s="6" t="s">
        <v>104</v>
      </c>
      <c r="P1128" s="17">
        <v>16.807700000000001</v>
      </c>
    </row>
    <row r="1129" spans="8:16" ht="15.75" customHeight="1" x14ac:dyDescent="0.3">
      <c r="H1129" s="6" t="s">
        <v>211</v>
      </c>
      <c r="I1129" s="6" t="s">
        <v>129</v>
      </c>
      <c r="J1129" s="6" t="s">
        <v>151</v>
      </c>
      <c r="K1129" s="19">
        <v>0</v>
      </c>
      <c r="L1129" s="6" t="s">
        <v>178</v>
      </c>
      <c r="M1129" s="6" t="s">
        <v>325</v>
      </c>
      <c r="N1129" s="6" t="s">
        <v>23</v>
      </c>
      <c r="O1129" s="6" t="s">
        <v>107</v>
      </c>
      <c r="P1129" s="17">
        <v>3865.7692000000002</v>
      </c>
    </row>
    <row r="1130" spans="8:16" ht="15.75" customHeight="1" x14ac:dyDescent="0.3">
      <c r="H1130" s="6" t="s">
        <v>211</v>
      </c>
      <c r="I1130" s="6" t="s">
        <v>130</v>
      </c>
      <c r="J1130" s="6" t="s">
        <v>152</v>
      </c>
      <c r="K1130" s="19">
        <v>10</v>
      </c>
      <c r="L1130" s="6" t="s">
        <v>178</v>
      </c>
      <c r="M1130" s="6" t="s">
        <v>325</v>
      </c>
      <c r="N1130" s="6" t="s">
        <v>24</v>
      </c>
      <c r="O1130" s="6" t="s">
        <v>109</v>
      </c>
      <c r="P1130" s="17">
        <v>8.2100000000000006E-2</v>
      </c>
    </row>
    <row r="1131" spans="8:16" ht="15.75" customHeight="1" x14ac:dyDescent="0.3">
      <c r="H1131" s="6" t="s">
        <v>211</v>
      </c>
      <c r="I1131" s="6" t="s">
        <v>131</v>
      </c>
      <c r="J1131" s="6" t="s">
        <v>153</v>
      </c>
      <c r="K1131" s="19">
        <v>1</v>
      </c>
      <c r="L1131" s="6" t="s">
        <v>178</v>
      </c>
      <c r="M1131" s="6" t="s">
        <v>325</v>
      </c>
      <c r="N1131" s="6" t="s">
        <v>25</v>
      </c>
      <c r="O1131" s="6" t="s">
        <v>111</v>
      </c>
      <c r="P1131" s="19">
        <v>46</v>
      </c>
    </row>
    <row r="1132" spans="8:16" ht="15.75" customHeight="1" x14ac:dyDescent="0.3">
      <c r="H1132" s="6" t="s">
        <v>211</v>
      </c>
      <c r="I1132" s="6" t="s">
        <v>133</v>
      </c>
      <c r="J1132" s="6" t="s">
        <v>154</v>
      </c>
      <c r="K1132" s="19">
        <v>1</v>
      </c>
      <c r="L1132" s="6" t="s">
        <v>178</v>
      </c>
      <c r="M1132" s="6" t="s">
        <v>325</v>
      </c>
      <c r="N1132" s="6" t="s">
        <v>26</v>
      </c>
      <c r="O1132" s="6" t="s">
        <v>113</v>
      </c>
      <c r="P1132" s="19">
        <v>32</v>
      </c>
    </row>
    <row r="1133" spans="8:16" ht="15.75" customHeight="1" x14ac:dyDescent="0.3">
      <c r="H1133" s="6" t="s">
        <v>211</v>
      </c>
      <c r="I1133" s="6" t="s">
        <v>134</v>
      </c>
      <c r="J1133" s="6" t="s">
        <v>155</v>
      </c>
      <c r="K1133" s="19">
        <v>3</v>
      </c>
      <c r="L1133" s="6" t="s">
        <v>178</v>
      </c>
      <c r="M1133" s="6" t="s">
        <v>325</v>
      </c>
      <c r="N1133" s="6" t="s">
        <v>27</v>
      </c>
      <c r="O1133" s="6" t="s">
        <v>117</v>
      </c>
      <c r="P1133" s="19">
        <v>230</v>
      </c>
    </row>
    <row r="1134" spans="8:16" ht="15.75" customHeight="1" x14ac:dyDescent="0.3">
      <c r="H1134" s="6" t="s">
        <v>212</v>
      </c>
      <c r="I1134" s="6" t="s">
        <v>58</v>
      </c>
      <c r="J1134" s="6" t="s">
        <v>60</v>
      </c>
      <c r="K1134" s="19">
        <v>1</v>
      </c>
      <c r="L1134" s="6" t="s">
        <v>178</v>
      </c>
      <c r="M1134" s="6" t="s">
        <v>325</v>
      </c>
      <c r="N1134" s="6" t="s">
        <v>29</v>
      </c>
      <c r="O1134" s="6" t="s">
        <v>125</v>
      </c>
      <c r="P1134" s="19">
        <v>38</v>
      </c>
    </row>
    <row r="1135" spans="8:16" ht="15.75" customHeight="1" x14ac:dyDescent="0.3">
      <c r="H1135" s="6" t="s">
        <v>212</v>
      </c>
      <c r="I1135" s="6" t="s">
        <v>72</v>
      </c>
      <c r="J1135" s="6" t="s">
        <v>82</v>
      </c>
      <c r="K1135" s="19">
        <v>0</v>
      </c>
      <c r="L1135" s="6" t="s">
        <v>178</v>
      </c>
      <c r="M1135" s="6" t="s">
        <v>325</v>
      </c>
      <c r="N1135" s="6" t="s">
        <v>135</v>
      </c>
      <c r="O1135" s="6" t="s">
        <v>136</v>
      </c>
      <c r="P1135" s="19">
        <v>0</v>
      </c>
    </row>
    <row r="1136" spans="8:16" ht="15.75" customHeight="1" x14ac:dyDescent="0.3">
      <c r="H1136" s="6" t="s">
        <v>212</v>
      </c>
      <c r="I1136" s="6" t="s">
        <v>85</v>
      </c>
      <c r="J1136" s="6" t="s">
        <v>86</v>
      </c>
      <c r="K1136" s="19">
        <v>6</v>
      </c>
      <c r="L1136" s="6" t="s">
        <v>178</v>
      </c>
      <c r="M1136" s="6" t="s">
        <v>325</v>
      </c>
      <c r="N1136" s="6" t="s">
        <v>138</v>
      </c>
      <c r="O1136" s="6" t="s">
        <v>139</v>
      </c>
      <c r="P1136" s="19">
        <v>1</v>
      </c>
    </row>
    <row r="1137" spans="8:16" ht="15.75" customHeight="1" x14ac:dyDescent="0.3">
      <c r="H1137" s="6" t="s">
        <v>212</v>
      </c>
      <c r="I1137" s="6" t="s">
        <v>93</v>
      </c>
      <c r="J1137" s="6" t="s">
        <v>94</v>
      </c>
      <c r="K1137" s="19">
        <v>2</v>
      </c>
      <c r="L1137" s="6" t="s">
        <v>178</v>
      </c>
      <c r="M1137" s="6" t="s">
        <v>325</v>
      </c>
      <c r="N1137" s="6" t="s">
        <v>30</v>
      </c>
      <c r="O1137" s="6" t="s">
        <v>148</v>
      </c>
      <c r="P1137" s="17">
        <v>48.853999999999999</v>
      </c>
    </row>
    <row r="1138" spans="8:16" ht="15.75" customHeight="1" x14ac:dyDescent="0.3">
      <c r="H1138" s="6" t="s">
        <v>212</v>
      </c>
      <c r="I1138" s="6" t="s">
        <v>98</v>
      </c>
      <c r="J1138" s="6" t="s">
        <v>99</v>
      </c>
      <c r="K1138" s="19">
        <v>1</v>
      </c>
      <c r="L1138" s="6" t="s">
        <v>178</v>
      </c>
      <c r="M1138" s="6" t="s">
        <v>325</v>
      </c>
      <c r="N1138" s="6" t="s">
        <v>156</v>
      </c>
      <c r="O1138" s="6" t="s">
        <v>157</v>
      </c>
      <c r="P1138" s="19">
        <v>1</v>
      </c>
    </row>
    <row r="1139" spans="8:16" ht="15.75" customHeight="1" x14ac:dyDescent="0.3">
      <c r="H1139" s="6" t="s">
        <v>212</v>
      </c>
      <c r="I1139" s="6" t="s">
        <v>22</v>
      </c>
      <c r="J1139" s="6" t="s">
        <v>103</v>
      </c>
      <c r="K1139" s="17">
        <v>7.7</v>
      </c>
      <c r="L1139" s="6" t="s">
        <v>178</v>
      </c>
      <c r="M1139" s="6" t="s">
        <v>325</v>
      </c>
      <c r="N1139" s="6" t="s">
        <v>158</v>
      </c>
      <c r="O1139" s="6" t="s">
        <v>159</v>
      </c>
      <c r="P1139" s="19">
        <v>3</v>
      </c>
    </row>
    <row r="1140" spans="8:16" ht="15.75" customHeight="1" x14ac:dyDescent="0.3">
      <c r="H1140" s="6" t="s">
        <v>212</v>
      </c>
      <c r="I1140" s="6" t="s">
        <v>23</v>
      </c>
      <c r="J1140" s="6" t="s">
        <v>106</v>
      </c>
      <c r="K1140" s="17">
        <v>2975.4902999999999</v>
      </c>
      <c r="L1140" s="6" t="s">
        <v>178</v>
      </c>
      <c r="M1140" s="6" t="s">
        <v>325</v>
      </c>
      <c r="N1140" s="6" t="s">
        <v>160</v>
      </c>
      <c r="O1140" s="6" t="s">
        <v>161</v>
      </c>
      <c r="P1140" s="19">
        <v>9</v>
      </c>
    </row>
    <row r="1141" spans="8:16" ht="15.75" customHeight="1" x14ac:dyDescent="0.3">
      <c r="H1141" s="6" t="s">
        <v>212</v>
      </c>
      <c r="I1141" s="6" t="s">
        <v>24</v>
      </c>
      <c r="J1141" s="6" t="s">
        <v>108</v>
      </c>
      <c r="K1141" s="17">
        <v>6.9000000000000006E-2</v>
      </c>
      <c r="L1141" s="6" t="s">
        <v>178</v>
      </c>
      <c r="M1141" s="6" t="s">
        <v>325</v>
      </c>
      <c r="N1141" s="6" t="s">
        <v>162</v>
      </c>
      <c r="O1141" s="6" t="s">
        <v>163</v>
      </c>
      <c r="P1141" s="19">
        <v>1</v>
      </c>
    </row>
    <row r="1142" spans="8:16" ht="15.75" customHeight="1" x14ac:dyDescent="0.3">
      <c r="H1142" s="6" t="s">
        <v>212</v>
      </c>
      <c r="I1142" s="6" t="s">
        <v>25</v>
      </c>
      <c r="J1142" s="6" t="s">
        <v>110</v>
      </c>
      <c r="K1142" s="19">
        <v>78</v>
      </c>
      <c r="L1142" s="6" t="s">
        <v>178</v>
      </c>
      <c r="M1142" s="6" t="s">
        <v>325</v>
      </c>
      <c r="N1142" s="6" t="s">
        <v>165</v>
      </c>
      <c r="O1142" s="6" t="s">
        <v>166</v>
      </c>
      <c r="P1142" s="19">
        <v>1</v>
      </c>
    </row>
    <row r="1143" spans="8:16" ht="15.75" customHeight="1" x14ac:dyDescent="0.3">
      <c r="H1143" s="6" t="s">
        <v>212</v>
      </c>
      <c r="I1143" s="6" t="s">
        <v>26</v>
      </c>
      <c r="J1143" s="6" t="s">
        <v>112</v>
      </c>
      <c r="K1143" s="19">
        <v>31</v>
      </c>
      <c r="L1143" s="6" t="s">
        <v>178</v>
      </c>
      <c r="M1143" s="6" t="s">
        <v>347</v>
      </c>
      <c r="N1143" s="6" t="s">
        <v>72</v>
      </c>
      <c r="O1143" s="6" t="s">
        <v>75</v>
      </c>
      <c r="P1143" s="19">
        <v>0</v>
      </c>
    </row>
    <row r="1144" spans="8:16" ht="15.75" customHeight="1" x14ac:dyDescent="0.3">
      <c r="H1144" s="6" t="s">
        <v>212</v>
      </c>
      <c r="I1144" s="6" t="s">
        <v>27</v>
      </c>
      <c r="J1144" s="6" t="s">
        <v>114</v>
      </c>
      <c r="K1144" s="17">
        <v>386.4273</v>
      </c>
      <c r="L1144" s="6" t="s">
        <v>178</v>
      </c>
      <c r="M1144" s="6" t="s">
        <v>347</v>
      </c>
      <c r="N1144" s="6" t="s">
        <v>83</v>
      </c>
      <c r="O1144" s="6" t="s">
        <v>84</v>
      </c>
      <c r="P1144" s="19">
        <v>0</v>
      </c>
    </row>
    <row r="1145" spans="8:16" ht="15.75" customHeight="1" x14ac:dyDescent="0.3">
      <c r="H1145" s="6" t="s">
        <v>212</v>
      </c>
      <c r="I1145" s="6" t="s">
        <v>115</v>
      </c>
      <c r="J1145" s="6" t="s">
        <v>121</v>
      </c>
      <c r="K1145" s="19">
        <v>6</v>
      </c>
      <c r="L1145" s="6" t="s">
        <v>178</v>
      </c>
      <c r="M1145" s="6" t="s">
        <v>347</v>
      </c>
      <c r="N1145" s="6" t="s">
        <v>88</v>
      </c>
      <c r="O1145" s="6" t="s">
        <v>90</v>
      </c>
      <c r="P1145" s="17">
        <v>0.5</v>
      </c>
    </row>
    <row r="1146" spans="8:16" ht="15.75" customHeight="1" x14ac:dyDescent="0.3">
      <c r="H1146" s="6" t="s">
        <v>212</v>
      </c>
      <c r="I1146" s="6" t="s">
        <v>116</v>
      </c>
      <c r="J1146" s="6" t="s">
        <v>132</v>
      </c>
      <c r="K1146" s="19">
        <v>24</v>
      </c>
      <c r="L1146" s="6" t="s">
        <v>178</v>
      </c>
      <c r="M1146" s="6" t="s">
        <v>347</v>
      </c>
      <c r="N1146" s="6" t="s">
        <v>96</v>
      </c>
      <c r="O1146" s="6" t="s">
        <v>97</v>
      </c>
      <c r="P1146" s="19">
        <v>2</v>
      </c>
    </row>
    <row r="1147" spans="8:16" ht="15.75" customHeight="1" x14ac:dyDescent="0.3">
      <c r="H1147" s="6" t="s">
        <v>212</v>
      </c>
      <c r="I1147" s="6" t="s">
        <v>30</v>
      </c>
      <c r="J1147" s="6" t="s">
        <v>137</v>
      </c>
      <c r="K1147" s="17">
        <v>51.4711</v>
      </c>
      <c r="L1147" s="6" t="s">
        <v>178</v>
      </c>
      <c r="M1147" s="6" t="s">
        <v>347</v>
      </c>
      <c r="N1147" s="6" t="s">
        <v>100</v>
      </c>
      <c r="O1147" s="6" t="s">
        <v>101</v>
      </c>
      <c r="P1147" s="19">
        <v>1</v>
      </c>
    </row>
    <row r="1148" spans="8:16" ht="15.75" customHeight="1" x14ac:dyDescent="0.3">
      <c r="H1148" s="6" t="s">
        <v>212</v>
      </c>
      <c r="I1148" s="6" t="s">
        <v>118</v>
      </c>
      <c r="J1148" s="6" t="s">
        <v>140</v>
      </c>
      <c r="K1148" s="19">
        <v>1</v>
      </c>
      <c r="L1148" s="6" t="s">
        <v>178</v>
      </c>
      <c r="M1148" s="6" t="s">
        <v>347</v>
      </c>
      <c r="N1148" s="6" t="s">
        <v>22</v>
      </c>
      <c r="O1148" s="6" t="s">
        <v>104</v>
      </c>
      <c r="P1148" s="17">
        <v>4.6666999999999996</v>
      </c>
    </row>
    <row r="1149" spans="8:16" ht="15.75" customHeight="1" x14ac:dyDescent="0.3">
      <c r="H1149" s="6" t="s">
        <v>212</v>
      </c>
      <c r="I1149" s="6" t="s">
        <v>31</v>
      </c>
      <c r="J1149" s="6" t="s">
        <v>141</v>
      </c>
      <c r="K1149" s="19">
        <v>18</v>
      </c>
      <c r="L1149" s="6" t="s">
        <v>178</v>
      </c>
      <c r="M1149" s="6" t="s">
        <v>347</v>
      </c>
      <c r="N1149" s="6" t="s">
        <v>23</v>
      </c>
      <c r="O1149" s="6" t="s">
        <v>107</v>
      </c>
      <c r="P1149" s="17">
        <v>170.31290000000001</v>
      </c>
    </row>
    <row r="1150" spans="8:16" ht="15.75" customHeight="1" x14ac:dyDescent="0.3">
      <c r="H1150" s="6" t="s">
        <v>212</v>
      </c>
      <c r="I1150" s="6" t="s">
        <v>119</v>
      </c>
      <c r="J1150" s="6" t="s">
        <v>142</v>
      </c>
      <c r="K1150" s="19">
        <v>7</v>
      </c>
      <c r="L1150" s="6" t="s">
        <v>178</v>
      </c>
      <c r="M1150" s="6" t="s">
        <v>347</v>
      </c>
      <c r="N1150" s="6" t="s">
        <v>24</v>
      </c>
      <c r="O1150" s="6" t="s">
        <v>109</v>
      </c>
      <c r="P1150" s="17">
        <v>1.0200000000000001E-2</v>
      </c>
    </row>
    <row r="1151" spans="8:16" ht="15.75" customHeight="1" x14ac:dyDescent="0.3">
      <c r="H1151" s="6" t="s">
        <v>212</v>
      </c>
      <c r="I1151" s="6" t="s">
        <v>120</v>
      </c>
      <c r="J1151" s="6" t="s">
        <v>143</v>
      </c>
      <c r="K1151" s="19">
        <v>9</v>
      </c>
      <c r="L1151" s="6" t="s">
        <v>178</v>
      </c>
      <c r="M1151" s="6" t="s">
        <v>347</v>
      </c>
      <c r="N1151" s="6" t="s">
        <v>25</v>
      </c>
      <c r="O1151" s="6" t="s">
        <v>111</v>
      </c>
      <c r="P1151" s="19">
        <v>13</v>
      </c>
    </row>
    <row r="1152" spans="8:16" ht="15.75" customHeight="1" x14ac:dyDescent="0.3">
      <c r="H1152" s="6" t="s">
        <v>212</v>
      </c>
      <c r="I1152" s="6" t="s">
        <v>122</v>
      </c>
      <c r="J1152" s="6" t="s">
        <v>144</v>
      </c>
      <c r="K1152" s="19">
        <v>7</v>
      </c>
      <c r="L1152" s="6" t="s">
        <v>178</v>
      </c>
      <c r="M1152" s="6" t="s">
        <v>347</v>
      </c>
      <c r="N1152" s="6" t="s">
        <v>26</v>
      </c>
      <c r="O1152" s="6" t="s">
        <v>113</v>
      </c>
      <c r="P1152" s="19">
        <v>7</v>
      </c>
    </row>
    <row r="1153" spans="8:16" ht="15.75" customHeight="1" x14ac:dyDescent="0.3">
      <c r="H1153" s="6" t="s">
        <v>212</v>
      </c>
      <c r="I1153" s="6" t="s">
        <v>123</v>
      </c>
      <c r="J1153" s="6" t="s">
        <v>145</v>
      </c>
      <c r="K1153" s="19">
        <v>30</v>
      </c>
      <c r="L1153" s="6" t="s">
        <v>178</v>
      </c>
      <c r="M1153" s="6" t="s">
        <v>347</v>
      </c>
      <c r="N1153" s="6" t="s">
        <v>27</v>
      </c>
      <c r="O1153" s="6" t="s">
        <v>117</v>
      </c>
      <c r="P1153" s="17">
        <v>36.495600000000003</v>
      </c>
    </row>
    <row r="1154" spans="8:16" ht="15.75" customHeight="1" x14ac:dyDescent="0.3">
      <c r="H1154" s="6" t="s">
        <v>212</v>
      </c>
      <c r="I1154" s="6" t="s">
        <v>124</v>
      </c>
      <c r="J1154" s="6" t="s">
        <v>146</v>
      </c>
      <c r="K1154" s="19">
        <v>0</v>
      </c>
      <c r="L1154" s="6" t="s">
        <v>178</v>
      </c>
      <c r="M1154" s="6" t="s">
        <v>347</v>
      </c>
      <c r="N1154" s="6" t="s">
        <v>29</v>
      </c>
      <c r="O1154" s="6" t="s">
        <v>125</v>
      </c>
      <c r="P1154" s="19">
        <v>6</v>
      </c>
    </row>
    <row r="1155" spans="8:16" ht="15.75" customHeight="1" x14ac:dyDescent="0.3">
      <c r="H1155" s="6" t="s">
        <v>212</v>
      </c>
      <c r="I1155" s="6" t="s">
        <v>126</v>
      </c>
      <c r="J1155" s="6" t="s">
        <v>147</v>
      </c>
      <c r="K1155" s="19">
        <v>10</v>
      </c>
      <c r="L1155" s="6" t="s">
        <v>178</v>
      </c>
      <c r="M1155" s="6" t="s">
        <v>347</v>
      </c>
      <c r="N1155" s="6" t="s">
        <v>135</v>
      </c>
      <c r="O1155" s="6" t="s">
        <v>136</v>
      </c>
      <c r="P1155" s="19">
        <v>0</v>
      </c>
    </row>
    <row r="1156" spans="8:16" ht="15.75" customHeight="1" x14ac:dyDescent="0.3">
      <c r="H1156" s="6" t="s">
        <v>212</v>
      </c>
      <c r="I1156" s="6" t="s">
        <v>127</v>
      </c>
      <c r="J1156" s="6" t="s">
        <v>149</v>
      </c>
      <c r="K1156" s="19">
        <v>23</v>
      </c>
      <c r="L1156" s="6" t="s">
        <v>178</v>
      </c>
      <c r="M1156" s="6" t="s">
        <v>347</v>
      </c>
      <c r="N1156" s="6" t="s">
        <v>138</v>
      </c>
      <c r="O1156" s="6" t="s">
        <v>139</v>
      </c>
      <c r="P1156" s="19">
        <v>0</v>
      </c>
    </row>
    <row r="1157" spans="8:16" ht="15.75" customHeight="1" x14ac:dyDescent="0.3">
      <c r="H1157" s="6" t="s">
        <v>212</v>
      </c>
      <c r="I1157" s="6" t="s">
        <v>128</v>
      </c>
      <c r="J1157" s="6" t="s">
        <v>150</v>
      </c>
      <c r="K1157" s="19">
        <v>0</v>
      </c>
      <c r="L1157" s="6" t="s">
        <v>178</v>
      </c>
      <c r="M1157" s="6" t="s">
        <v>347</v>
      </c>
      <c r="N1157" s="6" t="s">
        <v>30</v>
      </c>
      <c r="O1157" s="6" t="s">
        <v>148</v>
      </c>
      <c r="P1157" s="17">
        <v>72.128200000000007</v>
      </c>
    </row>
    <row r="1158" spans="8:16" ht="15.75" customHeight="1" x14ac:dyDescent="0.3">
      <c r="H1158" s="6" t="s">
        <v>212</v>
      </c>
      <c r="I1158" s="6" t="s">
        <v>129</v>
      </c>
      <c r="J1158" s="6" t="s">
        <v>151</v>
      </c>
      <c r="K1158" s="19">
        <v>0</v>
      </c>
      <c r="L1158" s="6" t="s">
        <v>178</v>
      </c>
      <c r="M1158" s="6" t="s">
        <v>347</v>
      </c>
      <c r="N1158" s="6" t="s">
        <v>156</v>
      </c>
      <c r="O1158" s="6" t="s">
        <v>157</v>
      </c>
      <c r="P1158" s="19">
        <v>0</v>
      </c>
    </row>
    <row r="1159" spans="8:16" ht="15.75" customHeight="1" x14ac:dyDescent="0.3">
      <c r="H1159" s="6" t="s">
        <v>212</v>
      </c>
      <c r="I1159" s="6" t="s">
        <v>130</v>
      </c>
      <c r="J1159" s="6" t="s">
        <v>152</v>
      </c>
      <c r="K1159" s="19">
        <v>12</v>
      </c>
      <c r="L1159" s="6" t="s">
        <v>178</v>
      </c>
      <c r="M1159" s="6" t="s">
        <v>347</v>
      </c>
      <c r="N1159" s="6" t="s">
        <v>158</v>
      </c>
      <c r="O1159" s="6" t="s">
        <v>159</v>
      </c>
      <c r="P1159" s="19">
        <v>1</v>
      </c>
    </row>
    <row r="1160" spans="8:16" ht="15.75" customHeight="1" x14ac:dyDescent="0.3">
      <c r="H1160" s="6" t="s">
        <v>212</v>
      </c>
      <c r="I1160" s="6" t="s">
        <v>131</v>
      </c>
      <c r="J1160" s="6" t="s">
        <v>153</v>
      </c>
      <c r="K1160" s="17">
        <v>0.1389</v>
      </c>
      <c r="L1160" s="6" t="s">
        <v>178</v>
      </c>
      <c r="M1160" s="6" t="s">
        <v>347</v>
      </c>
      <c r="N1160" s="6" t="s">
        <v>160</v>
      </c>
      <c r="O1160" s="6" t="s">
        <v>161</v>
      </c>
      <c r="P1160" s="19">
        <v>1</v>
      </c>
    </row>
    <row r="1161" spans="8:16" ht="15.75" customHeight="1" x14ac:dyDescent="0.3">
      <c r="H1161" s="6" t="s">
        <v>212</v>
      </c>
      <c r="I1161" s="6" t="s">
        <v>133</v>
      </c>
      <c r="J1161" s="6" t="s">
        <v>154</v>
      </c>
      <c r="K1161" s="17">
        <v>0.22220000000000001</v>
      </c>
      <c r="L1161" s="6" t="s">
        <v>178</v>
      </c>
      <c r="M1161" s="6" t="s">
        <v>347</v>
      </c>
      <c r="N1161" s="6" t="s">
        <v>162</v>
      </c>
      <c r="O1161" s="6" t="s">
        <v>163</v>
      </c>
      <c r="P1161" s="19">
        <v>0</v>
      </c>
    </row>
    <row r="1162" spans="8:16" ht="15.75" customHeight="1" x14ac:dyDescent="0.3">
      <c r="H1162" s="6" t="s">
        <v>212</v>
      </c>
      <c r="I1162" s="6" t="s">
        <v>134</v>
      </c>
      <c r="J1162" s="6" t="s">
        <v>155</v>
      </c>
      <c r="K1162" s="19">
        <v>10</v>
      </c>
      <c r="L1162" s="6" t="s">
        <v>178</v>
      </c>
      <c r="M1162" s="6" t="s">
        <v>347</v>
      </c>
      <c r="N1162" s="6" t="s">
        <v>165</v>
      </c>
      <c r="O1162" s="6" t="s">
        <v>166</v>
      </c>
      <c r="P1162" s="19">
        <v>0</v>
      </c>
    </row>
    <row r="1163" spans="8:16" ht="15.75" customHeight="1" x14ac:dyDescent="0.3">
      <c r="L1163" s="6" t="s">
        <v>178</v>
      </c>
      <c r="M1163" s="6" t="s">
        <v>349</v>
      </c>
      <c r="N1163" s="6" t="s">
        <v>72</v>
      </c>
      <c r="O1163" s="6" t="s">
        <v>75</v>
      </c>
      <c r="P1163" s="19">
        <v>0</v>
      </c>
    </row>
    <row r="1164" spans="8:16" ht="15.75" customHeight="1" x14ac:dyDescent="0.3">
      <c r="L1164" s="6" t="s">
        <v>178</v>
      </c>
      <c r="M1164" s="6" t="s">
        <v>349</v>
      </c>
      <c r="N1164" s="6" t="s">
        <v>83</v>
      </c>
      <c r="O1164" s="6" t="s">
        <v>84</v>
      </c>
      <c r="P1164" s="19">
        <v>0</v>
      </c>
    </row>
    <row r="1165" spans="8:16" ht="15.75" customHeight="1" x14ac:dyDescent="0.3">
      <c r="L1165" s="6" t="s">
        <v>178</v>
      </c>
      <c r="M1165" s="6" t="s">
        <v>349</v>
      </c>
      <c r="N1165" s="6" t="s">
        <v>88</v>
      </c>
      <c r="O1165" s="6" t="s">
        <v>90</v>
      </c>
      <c r="P1165" s="19">
        <v>0</v>
      </c>
    </row>
    <row r="1166" spans="8:16" ht="15.75" customHeight="1" x14ac:dyDescent="0.3">
      <c r="L1166" s="6" t="s">
        <v>178</v>
      </c>
      <c r="M1166" s="6" t="s">
        <v>349</v>
      </c>
      <c r="N1166" s="6" t="s">
        <v>96</v>
      </c>
      <c r="O1166" s="6" t="s">
        <v>97</v>
      </c>
      <c r="P1166" s="19">
        <v>0</v>
      </c>
    </row>
    <row r="1167" spans="8:16" ht="15.75" customHeight="1" x14ac:dyDescent="0.3">
      <c r="L1167" s="6" t="s">
        <v>178</v>
      </c>
      <c r="M1167" s="6" t="s">
        <v>349</v>
      </c>
      <c r="N1167" s="6" t="s">
        <v>100</v>
      </c>
      <c r="O1167" s="6" t="s">
        <v>101</v>
      </c>
      <c r="P1167" s="19">
        <v>0</v>
      </c>
    </row>
    <row r="1168" spans="8:16" ht="15.75" customHeight="1" x14ac:dyDescent="0.3">
      <c r="L1168" s="6" t="s">
        <v>178</v>
      </c>
      <c r="M1168" s="6" t="s">
        <v>349</v>
      </c>
      <c r="N1168" s="6" t="s">
        <v>22</v>
      </c>
      <c r="O1168" s="6" t="s">
        <v>104</v>
      </c>
      <c r="P1168" s="17">
        <v>2.5</v>
      </c>
    </row>
    <row r="1169" spans="12:16" ht="15.75" customHeight="1" x14ac:dyDescent="0.3">
      <c r="L1169" s="6" t="s">
        <v>178</v>
      </c>
      <c r="M1169" s="6" t="s">
        <v>349</v>
      </c>
      <c r="N1169" s="6" t="s">
        <v>23</v>
      </c>
      <c r="O1169" s="6" t="s">
        <v>107</v>
      </c>
      <c r="P1169" s="17">
        <v>87.172899999999998</v>
      </c>
    </row>
    <row r="1170" spans="12:16" ht="15.75" customHeight="1" x14ac:dyDescent="0.3">
      <c r="L1170" s="6" t="s">
        <v>178</v>
      </c>
      <c r="M1170" s="6" t="s">
        <v>349</v>
      </c>
      <c r="N1170" s="6" t="s">
        <v>24</v>
      </c>
      <c r="O1170" s="6" t="s">
        <v>109</v>
      </c>
      <c r="P1170" s="17">
        <v>6.6E-3</v>
      </c>
    </row>
    <row r="1171" spans="12:16" ht="15.75" customHeight="1" x14ac:dyDescent="0.3">
      <c r="L1171" s="6" t="s">
        <v>178</v>
      </c>
      <c r="M1171" s="6" t="s">
        <v>349</v>
      </c>
      <c r="N1171" s="6" t="s">
        <v>25</v>
      </c>
      <c r="O1171" s="6" t="s">
        <v>111</v>
      </c>
      <c r="P1171" s="19">
        <v>11</v>
      </c>
    </row>
    <row r="1172" spans="12:16" ht="15.75" customHeight="1" x14ac:dyDescent="0.3">
      <c r="L1172" s="6" t="s">
        <v>178</v>
      </c>
      <c r="M1172" s="6" t="s">
        <v>349</v>
      </c>
      <c r="N1172" s="6" t="s">
        <v>26</v>
      </c>
      <c r="O1172" s="6" t="s">
        <v>113</v>
      </c>
      <c r="P1172" s="19">
        <v>9</v>
      </c>
    </row>
    <row r="1173" spans="12:16" ht="15.75" customHeight="1" x14ac:dyDescent="0.3">
      <c r="L1173" s="6" t="s">
        <v>178</v>
      </c>
      <c r="M1173" s="6" t="s">
        <v>349</v>
      </c>
      <c r="N1173" s="6" t="s">
        <v>27</v>
      </c>
      <c r="O1173" s="6" t="s">
        <v>117</v>
      </c>
      <c r="P1173" s="17">
        <v>34.869199999999999</v>
      </c>
    </row>
    <row r="1174" spans="12:16" ht="15.75" customHeight="1" x14ac:dyDescent="0.3">
      <c r="L1174" s="6" t="s">
        <v>178</v>
      </c>
      <c r="M1174" s="6" t="s">
        <v>349</v>
      </c>
      <c r="N1174" s="6" t="s">
        <v>29</v>
      </c>
      <c r="O1174" s="6" t="s">
        <v>125</v>
      </c>
      <c r="P1174" s="19">
        <v>4</v>
      </c>
    </row>
    <row r="1175" spans="12:16" ht="15.75" customHeight="1" x14ac:dyDescent="0.3">
      <c r="L1175" s="6" t="s">
        <v>178</v>
      </c>
      <c r="M1175" s="6" t="s">
        <v>349</v>
      </c>
      <c r="N1175" s="6" t="s">
        <v>135</v>
      </c>
      <c r="O1175" s="6" t="s">
        <v>136</v>
      </c>
      <c r="P1175" s="19">
        <v>1</v>
      </c>
    </row>
    <row r="1176" spans="12:16" ht="15.75" customHeight="1" x14ac:dyDescent="0.3">
      <c r="L1176" s="6" t="s">
        <v>178</v>
      </c>
      <c r="M1176" s="6" t="s">
        <v>349</v>
      </c>
      <c r="N1176" s="6" t="s">
        <v>138</v>
      </c>
      <c r="O1176" s="6" t="s">
        <v>139</v>
      </c>
      <c r="P1176" s="19">
        <v>0</v>
      </c>
    </row>
    <row r="1177" spans="12:16" ht="15.75" customHeight="1" x14ac:dyDescent="0.3">
      <c r="L1177" s="6" t="s">
        <v>178</v>
      </c>
      <c r="M1177" s="6" t="s">
        <v>349</v>
      </c>
      <c r="N1177" s="6" t="s">
        <v>30</v>
      </c>
      <c r="O1177" s="6" t="s">
        <v>148</v>
      </c>
      <c r="P1177" s="17">
        <v>76.143199999999993</v>
      </c>
    </row>
    <row r="1178" spans="12:16" ht="15.75" customHeight="1" x14ac:dyDescent="0.3">
      <c r="L1178" s="6" t="s">
        <v>178</v>
      </c>
      <c r="M1178" s="6" t="s">
        <v>349</v>
      </c>
      <c r="N1178" s="6" t="s">
        <v>156</v>
      </c>
      <c r="O1178" s="6" t="s">
        <v>157</v>
      </c>
      <c r="P1178" s="19">
        <v>0</v>
      </c>
    </row>
    <row r="1179" spans="12:16" ht="15.75" customHeight="1" x14ac:dyDescent="0.3">
      <c r="L1179" s="6" t="s">
        <v>178</v>
      </c>
      <c r="M1179" s="6" t="s">
        <v>349</v>
      </c>
      <c r="N1179" s="6" t="s">
        <v>158</v>
      </c>
      <c r="O1179" s="6" t="s">
        <v>159</v>
      </c>
      <c r="P1179" s="19">
        <v>1</v>
      </c>
    </row>
    <row r="1180" spans="12:16" ht="15.75" customHeight="1" x14ac:dyDescent="0.3">
      <c r="L1180" s="6" t="s">
        <v>178</v>
      </c>
      <c r="M1180" s="6" t="s">
        <v>349</v>
      </c>
      <c r="N1180" s="6" t="s">
        <v>160</v>
      </c>
      <c r="O1180" s="6" t="s">
        <v>161</v>
      </c>
      <c r="P1180" s="19">
        <v>4</v>
      </c>
    </row>
    <row r="1181" spans="12:16" ht="15.75" customHeight="1" x14ac:dyDescent="0.3">
      <c r="L1181" s="6" t="s">
        <v>178</v>
      </c>
      <c r="M1181" s="6" t="s">
        <v>349</v>
      </c>
      <c r="N1181" s="6" t="s">
        <v>162</v>
      </c>
      <c r="O1181" s="6" t="s">
        <v>163</v>
      </c>
      <c r="P1181" s="19">
        <v>0</v>
      </c>
    </row>
    <row r="1182" spans="12:16" ht="15.75" customHeight="1" x14ac:dyDescent="0.3">
      <c r="L1182" s="6" t="s">
        <v>178</v>
      </c>
      <c r="M1182" s="6" t="s">
        <v>349</v>
      </c>
      <c r="N1182" s="6" t="s">
        <v>165</v>
      </c>
      <c r="O1182" s="6" t="s">
        <v>166</v>
      </c>
      <c r="P1182" s="19">
        <v>2</v>
      </c>
    </row>
    <row r="1183" spans="12:16" ht="15.75" customHeight="1" x14ac:dyDescent="0.3">
      <c r="L1183" s="6" t="s">
        <v>178</v>
      </c>
      <c r="M1183" s="6" t="s">
        <v>287</v>
      </c>
      <c r="N1183" s="6" t="s">
        <v>72</v>
      </c>
      <c r="O1183" s="6" t="s">
        <v>75</v>
      </c>
      <c r="P1183" s="19">
        <v>4</v>
      </c>
    </row>
    <row r="1184" spans="12:16" ht="15.75" customHeight="1" x14ac:dyDescent="0.3">
      <c r="L1184" s="6" t="s">
        <v>178</v>
      </c>
      <c r="M1184" s="6" t="s">
        <v>287</v>
      </c>
      <c r="N1184" s="6" t="s">
        <v>83</v>
      </c>
      <c r="O1184" s="6" t="s">
        <v>84</v>
      </c>
      <c r="P1184" s="19">
        <v>1</v>
      </c>
    </row>
    <row r="1185" spans="12:16" ht="15.75" customHeight="1" x14ac:dyDescent="0.3">
      <c r="L1185" s="6" t="s">
        <v>178</v>
      </c>
      <c r="M1185" s="6" t="s">
        <v>287</v>
      </c>
      <c r="N1185" s="6" t="s">
        <v>88</v>
      </c>
      <c r="O1185" s="6" t="s">
        <v>90</v>
      </c>
      <c r="P1185" s="17">
        <v>0.2</v>
      </c>
    </row>
    <row r="1186" spans="12:16" ht="15.75" customHeight="1" x14ac:dyDescent="0.3">
      <c r="L1186" s="6" t="s">
        <v>178</v>
      </c>
      <c r="M1186" s="6" t="s">
        <v>287</v>
      </c>
      <c r="N1186" s="6" t="s">
        <v>96</v>
      </c>
      <c r="O1186" s="6" t="s">
        <v>97</v>
      </c>
      <c r="P1186" s="19">
        <v>2</v>
      </c>
    </row>
    <row r="1187" spans="12:16" ht="15.75" customHeight="1" x14ac:dyDescent="0.3">
      <c r="L1187" s="6" t="s">
        <v>178</v>
      </c>
      <c r="M1187" s="6" t="s">
        <v>287</v>
      </c>
      <c r="N1187" s="6" t="s">
        <v>100</v>
      </c>
      <c r="O1187" s="6" t="s">
        <v>101</v>
      </c>
      <c r="P1187" s="19">
        <v>1</v>
      </c>
    </row>
    <row r="1188" spans="12:16" ht="15.75" customHeight="1" x14ac:dyDescent="0.3">
      <c r="L1188" s="6" t="s">
        <v>178</v>
      </c>
      <c r="M1188" s="6" t="s">
        <v>287</v>
      </c>
      <c r="N1188" s="6" t="s">
        <v>22</v>
      </c>
      <c r="O1188" s="6" t="s">
        <v>104</v>
      </c>
      <c r="P1188" s="17">
        <v>16.434799999999999</v>
      </c>
    </row>
    <row r="1189" spans="12:16" ht="15.75" customHeight="1" x14ac:dyDescent="0.3">
      <c r="L1189" s="6" t="s">
        <v>178</v>
      </c>
      <c r="M1189" s="6" t="s">
        <v>287</v>
      </c>
      <c r="N1189" s="6" t="s">
        <v>23</v>
      </c>
      <c r="O1189" s="6" t="s">
        <v>107</v>
      </c>
      <c r="P1189" s="17">
        <v>6251.5644000000002</v>
      </c>
    </row>
    <row r="1190" spans="12:16" ht="15.75" customHeight="1" x14ac:dyDescent="0.3">
      <c r="L1190" s="6" t="s">
        <v>178</v>
      </c>
      <c r="M1190" s="6" t="s">
        <v>287</v>
      </c>
      <c r="N1190" s="6" t="s">
        <v>24</v>
      </c>
      <c r="O1190" s="6" t="s">
        <v>109</v>
      </c>
      <c r="P1190" s="17">
        <v>0.11310000000000001</v>
      </c>
    </row>
    <row r="1191" spans="12:16" ht="15.75" customHeight="1" x14ac:dyDescent="0.3">
      <c r="L1191" s="6" t="s">
        <v>178</v>
      </c>
      <c r="M1191" s="6" t="s">
        <v>287</v>
      </c>
      <c r="N1191" s="6" t="s">
        <v>25</v>
      </c>
      <c r="O1191" s="6" t="s">
        <v>111</v>
      </c>
      <c r="P1191" s="19">
        <v>71</v>
      </c>
    </row>
    <row r="1192" spans="12:16" ht="15.75" customHeight="1" x14ac:dyDescent="0.3">
      <c r="L1192" s="6" t="s">
        <v>178</v>
      </c>
      <c r="M1192" s="6" t="s">
        <v>287</v>
      </c>
      <c r="N1192" s="6" t="s">
        <v>26</v>
      </c>
      <c r="O1192" s="6" t="s">
        <v>113</v>
      </c>
      <c r="P1192" s="19">
        <v>41</v>
      </c>
    </row>
    <row r="1193" spans="12:16" ht="15.75" customHeight="1" x14ac:dyDescent="0.3">
      <c r="L1193" s="6" t="s">
        <v>178</v>
      </c>
      <c r="M1193" s="6" t="s">
        <v>287</v>
      </c>
      <c r="N1193" s="6" t="s">
        <v>27</v>
      </c>
      <c r="O1193" s="6" t="s">
        <v>117</v>
      </c>
      <c r="P1193" s="17">
        <v>380.38619999999997</v>
      </c>
    </row>
    <row r="1194" spans="12:16" ht="15.75" customHeight="1" x14ac:dyDescent="0.3">
      <c r="L1194" s="6" t="s">
        <v>178</v>
      </c>
      <c r="M1194" s="6" t="s">
        <v>287</v>
      </c>
      <c r="N1194" s="6" t="s">
        <v>29</v>
      </c>
      <c r="O1194" s="6" t="s">
        <v>125</v>
      </c>
      <c r="P1194" s="19">
        <v>32</v>
      </c>
    </row>
    <row r="1195" spans="12:16" ht="15.75" customHeight="1" x14ac:dyDescent="0.3">
      <c r="L1195" s="6" t="s">
        <v>178</v>
      </c>
      <c r="M1195" s="6" t="s">
        <v>287</v>
      </c>
      <c r="N1195" s="6" t="s">
        <v>135</v>
      </c>
      <c r="O1195" s="6" t="s">
        <v>136</v>
      </c>
      <c r="P1195" s="17">
        <v>0.85709999999999997</v>
      </c>
    </row>
    <row r="1196" spans="12:16" ht="15.75" customHeight="1" x14ac:dyDescent="0.3">
      <c r="L1196" s="6" t="s">
        <v>178</v>
      </c>
      <c r="M1196" s="6" t="s">
        <v>287</v>
      </c>
      <c r="N1196" s="6" t="s">
        <v>138</v>
      </c>
      <c r="O1196" s="6" t="s">
        <v>139</v>
      </c>
      <c r="P1196" s="19">
        <v>2</v>
      </c>
    </row>
    <row r="1197" spans="12:16" ht="15.75" customHeight="1" x14ac:dyDescent="0.3">
      <c r="L1197" s="6" t="s">
        <v>178</v>
      </c>
      <c r="M1197" s="6" t="s">
        <v>287</v>
      </c>
      <c r="N1197" s="6" t="s">
        <v>30</v>
      </c>
      <c r="O1197" s="6" t="s">
        <v>148</v>
      </c>
      <c r="P1197" s="17">
        <v>48.886600000000001</v>
      </c>
    </row>
    <row r="1198" spans="12:16" ht="15.75" customHeight="1" x14ac:dyDescent="0.3">
      <c r="L1198" s="6" t="s">
        <v>178</v>
      </c>
      <c r="M1198" s="6" t="s">
        <v>287</v>
      </c>
      <c r="N1198" s="6" t="s">
        <v>156</v>
      </c>
      <c r="O1198" s="6" t="s">
        <v>157</v>
      </c>
      <c r="P1198" s="19">
        <v>1</v>
      </c>
    </row>
    <row r="1199" spans="12:16" ht="15.75" customHeight="1" x14ac:dyDescent="0.3">
      <c r="L1199" s="6" t="s">
        <v>178</v>
      </c>
      <c r="M1199" s="6" t="s">
        <v>287</v>
      </c>
      <c r="N1199" s="6" t="s">
        <v>158</v>
      </c>
      <c r="O1199" s="6" t="s">
        <v>159</v>
      </c>
      <c r="P1199" s="19">
        <v>5</v>
      </c>
    </row>
    <row r="1200" spans="12:16" ht="15.75" customHeight="1" x14ac:dyDescent="0.3">
      <c r="L1200" s="6" t="s">
        <v>178</v>
      </c>
      <c r="M1200" s="6" t="s">
        <v>287</v>
      </c>
      <c r="N1200" s="6" t="s">
        <v>160</v>
      </c>
      <c r="O1200" s="6" t="s">
        <v>161</v>
      </c>
      <c r="P1200" s="19">
        <v>14</v>
      </c>
    </row>
    <row r="1201" spans="12:16" ht="15.75" customHeight="1" x14ac:dyDescent="0.3">
      <c r="L1201" s="6" t="s">
        <v>178</v>
      </c>
      <c r="M1201" s="6" t="s">
        <v>287</v>
      </c>
      <c r="N1201" s="6" t="s">
        <v>162</v>
      </c>
      <c r="O1201" s="6" t="s">
        <v>163</v>
      </c>
      <c r="P1201" s="19">
        <v>2</v>
      </c>
    </row>
    <row r="1202" spans="12:16" ht="15.75" customHeight="1" x14ac:dyDescent="0.3">
      <c r="L1202" s="6" t="s">
        <v>178</v>
      </c>
      <c r="M1202" s="6" t="s">
        <v>287</v>
      </c>
      <c r="N1202" s="6" t="s">
        <v>165</v>
      </c>
      <c r="O1202" s="6" t="s">
        <v>166</v>
      </c>
      <c r="P1202" s="19">
        <v>4</v>
      </c>
    </row>
    <row r="1203" spans="12:16" ht="15.75" customHeight="1" x14ac:dyDescent="0.3">
      <c r="L1203" s="6" t="s">
        <v>178</v>
      </c>
      <c r="M1203" s="6" t="s">
        <v>283</v>
      </c>
      <c r="N1203" s="6" t="s">
        <v>72</v>
      </c>
      <c r="O1203" s="6" t="s">
        <v>75</v>
      </c>
      <c r="P1203" s="19">
        <v>5</v>
      </c>
    </row>
    <row r="1204" spans="12:16" ht="15.75" customHeight="1" x14ac:dyDescent="0.3">
      <c r="L1204" s="6" t="s">
        <v>178</v>
      </c>
      <c r="M1204" s="6" t="s">
        <v>283</v>
      </c>
      <c r="N1204" s="6" t="s">
        <v>83</v>
      </c>
      <c r="O1204" s="6" t="s">
        <v>84</v>
      </c>
      <c r="P1204" s="19">
        <v>0</v>
      </c>
    </row>
    <row r="1205" spans="12:16" ht="15.75" customHeight="1" x14ac:dyDescent="0.3">
      <c r="L1205" s="6" t="s">
        <v>178</v>
      </c>
      <c r="M1205" s="6" t="s">
        <v>283</v>
      </c>
      <c r="N1205" s="6" t="s">
        <v>88</v>
      </c>
      <c r="O1205" s="6" t="s">
        <v>90</v>
      </c>
      <c r="P1205" s="17">
        <v>0.5</v>
      </c>
    </row>
    <row r="1206" spans="12:16" ht="15.75" customHeight="1" x14ac:dyDescent="0.3">
      <c r="L1206" s="6" t="s">
        <v>178</v>
      </c>
      <c r="M1206" s="6" t="s">
        <v>283</v>
      </c>
      <c r="N1206" s="6" t="s">
        <v>96</v>
      </c>
      <c r="O1206" s="6" t="s">
        <v>97</v>
      </c>
      <c r="P1206" s="19">
        <v>4</v>
      </c>
    </row>
    <row r="1207" spans="12:16" ht="15.75" customHeight="1" x14ac:dyDescent="0.3">
      <c r="L1207" s="6" t="s">
        <v>178</v>
      </c>
      <c r="M1207" s="6" t="s">
        <v>283</v>
      </c>
      <c r="N1207" s="6" t="s">
        <v>100</v>
      </c>
      <c r="O1207" s="6" t="s">
        <v>101</v>
      </c>
      <c r="P1207" s="19">
        <v>1</v>
      </c>
    </row>
    <row r="1208" spans="12:16" ht="15.75" customHeight="1" x14ac:dyDescent="0.3">
      <c r="L1208" s="6" t="s">
        <v>178</v>
      </c>
      <c r="M1208" s="6" t="s">
        <v>283</v>
      </c>
      <c r="N1208" s="6" t="s">
        <v>22</v>
      </c>
      <c r="O1208" s="6" t="s">
        <v>104</v>
      </c>
      <c r="P1208" s="17">
        <v>22.235299999999999</v>
      </c>
    </row>
    <row r="1209" spans="12:16" ht="15.75" customHeight="1" x14ac:dyDescent="0.3">
      <c r="L1209" s="6" t="s">
        <v>178</v>
      </c>
      <c r="M1209" s="6" t="s">
        <v>283</v>
      </c>
      <c r="N1209" s="6" t="s">
        <v>23</v>
      </c>
      <c r="O1209" s="6" t="s">
        <v>107</v>
      </c>
      <c r="P1209" s="17">
        <v>10685.3272</v>
      </c>
    </row>
    <row r="1210" spans="12:16" ht="15.75" customHeight="1" x14ac:dyDescent="0.3">
      <c r="L1210" s="6" t="s">
        <v>178</v>
      </c>
      <c r="M1210" s="6" t="s">
        <v>283</v>
      </c>
      <c r="N1210" s="6" t="s">
        <v>24</v>
      </c>
      <c r="O1210" s="6" t="s">
        <v>109</v>
      </c>
      <c r="P1210" s="17">
        <v>0.16170000000000001</v>
      </c>
    </row>
    <row r="1211" spans="12:16" ht="15.75" customHeight="1" x14ac:dyDescent="0.3">
      <c r="L1211" s="6" t="s">
        <v>178</v>
      </c>
      <c r="M1211" s="6" t="s">
        <v>283</v>
      </c>
      <c r="N1211" s="6" t="s">
        <v>25</v>
      </c>
      <c r="O1211" s="6" t="s">
        <v>111</v>
      </c>
      <c r="P1211" s="19">
        <v>97</v>
      </c>
    </row>
    <row r="1212" spans="12:16" ht="15.75" customHeight="1" x14ac:dyDescent="0.3">
      <c r="L1212" s="6" t="s">
        <v>178</v>
      </c>
      <c r="M1212" s="6" t="s">
        <v>283</v>
      </c>
      <c r="N1212" s="6" t="s">
        <v>26</v>
      </c>
      <c r="O1212" s="6" t="s">
        <v>113</v>
      </c>
      <c r="P1212" s="19">
        <v>31</v>
      </c>
    </row>
    <row r="1213" spans="12:16" ht="15.75" customHeight="1" x14ac:dyDescent="0.3">
      <c r="L1213" s="6" t="s">
        <v>178</v>
      </c>
      <c r="M1213" s="6" t="s">
        <v>283</v>
      </c>
      <c r="N1213" s="6" t="s">
        <v>27</v>
      </c>
      <c r="O1213" s="6" t="s">
        <v>117</v>
      </c>
      <c r="P1213" s="17">
        <v>480.55700000000002</v>
      </c>
    </row>
    <row r="1214" spans="12:16" ht="15.75" customHeight="1" x14ac:dyDescent="0.3">
      <c r="L1214" s="6" t="s">
        <v>178</v>
      </c>
      <c r="M1214" s="6" t="s">
        <v>283</v>
      </c>
      <c r="N1214" s="6" t="s">
        <v>29</v>
      </c>
      <c r="O1214" s="6" t="s">
        <v>125</v>
      </c>
      <c r="P1214" s="19">
        <v>25</v>
      </c>
    </row>
    <row r="1215" spans="12:16" ht="15.75" customHeight="1" x14ac:dyDescent="0.3">
      <c r="L1215" s="6" t="s">
        <v>178</v>
      </c>
      <c r="M1215" s="6" t="s">
        <v>283</v>
      </c>
      <c r="N1215" s="6" t="s">
        <v>135</v>
      </c>
      <c r="O1215" s="6" t="s">
        <v>136</v>
      </c>
      <c r="P1215" s="17">
        <v>0.5</v>
      </c>
    </row>
    <row r="1216" spans="12:16" ht="15.75" customHeight="1" x14ac:dyDescent="0.3">
      <c r="L1216" s="6" t="s">
        <v>178</v>
      </c>
      <c r="M1216" s="6" t="s">
        <v>283</v>
      </c>
      <c r="N1216" s="6" t="s">
        <v>138</v>
      </c>
      <c r="O1216" s="6" t="s">
        <v>139</v>
      </c>
      <c r="P1216" s="19">
        <v>2</v>
      </c>
    </row>
    <row r="1217" spans="12:16" ht="15.75" customHeight="1" x14ac:dyDescent="0.3">
      <c r="L1217" s="6" t="s">
        <v>178</v>
      </c>
      <c r="M1217" s="6" t="s">
        <v>283</v>
      </c>
      <c r="N1217" s="6" t="s">
        <v>30</v>
      </c>
      <c r="O1217" s="6" t="s">
        <v>148</v>
      </c>
      <c r="P1217" s="17">
        <v>50.490299999999998</v>
      </c>
    </row>
    <row r="1218" spans="12:16" ht="15.75" customHeight="1" x14ac:dyDescent="0.3">
      <c r="L1218" s="6" t="s">
        <v>178</v>
      </c>
      <c r="M1218" s="6" t="s">
        <v>283</v>
      </c>
      <c r="N1218" s="6" t="s">
        <v>156</v>
      </c>
      <c r="O1218" s="6" t="s">
        <v>157</v>
      </c>
      <c r="P1218" s="19">
        <v>1</v>
      </c>
    </row>
    <row r="1219" spans="12:16" ht="15.75" customHeight="1" x14ac:dyDescent="0.3">
      <c r="L1219" s="6" t="s">
        <v>178</v>
      </c>
      <c r="M1219" s="6" t="s">
        <v>283</v>
      </c>
      <c r="N1219" s="6" t="s">
        <v>158</v>
      </c>
      <c r="O1219" s="6" t="s">
        <v>159</v>
      </c>
      <c r="P1219" s="19">
        <v>6</v>
      </c>
    </row>
    <row r="1220" spans="12:16" ht="15.75" customHeight="1" x14ac:dyDescent="0.3">
      <c r="L1220" s="6" t="s">
        <v>178</v>
      </c>
      <c r="M1220" s="6" t="s">
        <v>283</v>
      </c>
      <c r="N1220" s="6" t="s">
        <v>160</v>
      </c>
      <c r="O1220" s="6" t="s">
        <v>161</v>
      </c>
      <c r="P1220" s="19">
        <v>10</v>
      </c>
    </row>
    <row r="1221" spans="12:16" ht="15.75" customHeight="1" x14ac:dyDescent="0.3">
      <c r="L1221" s="6" t="s">
        <v>178</v>
      </c>
      <c r="M1221" s="6" t="s">
        <v>283</v>
      </c>
      <c r="N1221" s="6" t="s">
        <v>162</v>
      </c>
      <c r="O1221" s="6" t="s">
        <v>163</v>
      </c>
      <c r="P1221" s="19">
        <v>5</v>
      </c>
    </row>
    <row r="1222" spans="12:16" ht="15.75" customHeight="1" x14ac:dyDescent="0.3">
      <c r="L1222" s="6" t="s">
        <v>178</v>
      </c>
      <c r="M1222" s="6" t="s">
        <v>283</v>
      </c>
      <c r="N1222" s="6" t="s">
        <v>165</v>
      </c>
      <c r="O1222" s="6" t="s">
        <v>166</v>
      </c>
      <c r="P1222" s="19">
        <v>1</v>
      </c>
    </row>
    <row r="1223" spans="12:16" ht="15.75" customHeight="1" x14ac:dyDescent="0.3">
      <c r="L1223" s="6" t="s">
        <v>178</v>
      </c>
      <c r="M1223" s="6" t="s">
        <v>271</v>
      </c>
      <c r="N1223" s="6" t="s">
        <v>72</v>
      </c>
      <c r="O1223" s="6" t="s">
        <v>75</v>
      </c>
      <c r="P1223" s="19">
        <v>6</v>
      </c>
    </row>
    <row r="1224" spans="12:16" ht="15.75" customHeight="1" x14ac:dyDescent="0.3">
      <c r="L1224" s="6" t="s">
        <v>178</v>
      </c>
      <c r="M1224" s="6" t="s">
        <v>271</v>
      </c>
      <c r="N1224" s="6" t="s">
        <v>83</v>
      </c>
      <c r="O1224" s="6" t="s">
        <v>84</v>
      </c>
      <c r="P1224" s="19">
        <v>2</v>
      </c>
    </row>
    <row r="1225" spans="12:16" ht="15.75" customHeight="1" x14ac:dyDescent="0.3">
      <c r="L1225" s="6" t="s">
        <v>178</v>
      </c>
      <c r="M1225" s="6" t="s">
        <v>271</v>
      </c>
      <c r="N1225" s="6" t="s">
        <v>88</v>
      </c>
      <c r="O1225" s="6" t="s">
        <v>90</v>
      </c>
      <c r="P1225" s="17">
        <v>0.5</v>
      </c>
    </row>
    <row r="1226" spans="12:16" ht="15.75" customHeight="1" x14ac:dyDescent="0.3">
      <c r="L1226" s="6" t="s">
        <v>178</v>
      </c>
      <c r="M1226" s="6" t="s">
        <v>271</v>
      </c>
      <c r="N1226" s="6" t="s">
        <v>96</v>
      </c>
      <c r="O1226" s="6" t="s">
        <v>97</v>
      </c>
      <c r="P1226" s="19">
        <v>4</v>
      </c>
    </row>
    <row r="1227" spans="12:16" ht="15.75" customHeight="1" x14ac:dyDescent="0.3">
      <c r="L1227" s="6" t="s">
        <v>178</v>
      </c>
      <c r="M1227" s="6" t="s">
        <v>271</v>
      </c>
      <c r="N1227" s="6" t="s">
        <v>100</v>
      </c>
      <c r="O1227" s="6" t="s">
        <v>101</v>
      </c>
      <c r="P1227" s="19">
        <v>0</v>
      </c>
    </row>
    <row r="1228" spans="12:16" ht="15.75" customHeight="1" x14ac:dyDescent="0.3">
      <c r="L1228" s="6" t="s">
        <v>178</v>
      </c>
      <c r="M1228" s="6" t="s">
        <v>271</v>
      </c>
      <c r="N1228" s="6" t="s">
        <v>22</v>
      </c>
      <c r="O1228" s="6" t="s">
        <v>104</v>
      </c>
      <c r="P1228" s="17">
        <v>14.7727</v>
      </c>
    </row>
    <row r="1229" spans="12:16" ht="15.75" customHeight="1" x14ac:dyDescent="0.3">
      <c r="L1229" s="6" t="s">
        <v>178</v>
      </c>
      <c r="M1229" s="6" t="s">
        <v>271</v>
      </c>
      <c r="N1229" s="6" t="s">
        <v>23</v>
      </c>
      <c r="O1229" s="6" t="s">
        <v>107</v>
      </c>
      <c r="P1229" s="17">
        <v>2980.2256000000002</v>
      </c>
    </row>
    <row r="1230" spans="12:16" ht="15.75" customHeight="1" x14ac:dyDescent="0.3">
      <c r="L1230" s="6" t="s">
        <v>178</v>
      </c>
      <c r="M1230" s="6" t="s">
        <v>271</v>
      </c>
      <c r="N1230" s="6" t="s">
        <v>24</v>
      </c>
      <c r="O1230" s="6" t="s">
        <v>109</v>
      </c>
      <c r="P1230" s="17">
        <v>6.9000000000000006E-2</v>
      </c>
    </row>
    <row r="1231" spans="12:16" ht="15.75" customHeight="1" x14ac:dyDescent="0.3">
      <c r="L1231" s="6" t="s">
        <v>178</v>
      </c>
      <c r="M1231" s="6" t="s">
        <v>271</v>
      </c>
      <c r="N1231" s="6" t="s">
        <v>25</v>
      </c>
      <c r="O1231" s="6" t="s">
        <v>111</v>
      </c>
      <c r="P1231" s="19">
        <v>44</v>
      </c>
    </row>
    <row r="1232" spans="12:16" ht="15.75" customHeight="1" x14ac:dyDescent="0.3">
      <c r="L1232" s="6" t="s">
        <v>178</v>
      </c>
      <c r="M1232" s="6" t="s">
        <v>271</v>
      </c>
      <c r="N1232" s="6" t="s">
        <v>26</v>
      </c>
      <c r="O1232" s="6" t="s">
        <v>113</v>
      </c>
      <c r="P1232" s="19">
        <v>24</v>
      </c>
    </row>
    <row r="1233" spans="12:16" ht="15.75" customHeight="1" x14ac:dyDescent="0.3">
      <c r="L1233" s="6" t="s">
        <v>178</v>
      </c>
      <c r="M1233" s="6" t="s">
        <v>271</v>
      </c>
      <c r="N1233" s="6" t="s">
        <v>27</v>
      </c>
      <c r="O1233" s="6" t="s">
        <v>117</v>
      </c>
      <c r="P1233" s="17">
        <v>201.73840000000001</v>
      </c>
    </row>
    <row r="1234" spans="12:16" ht="15.75" customHeight="1" x14ac:dyDescent="0.3">
      <c r="L1234" s="6" t="s">
        <v>178</v>
      </c>
      <c r="M1234" s="6" t="s">
        <v>271</v>
      </c>
      <c r="N1234" s="6" t="s">
        <v>29</v>
      </c>
      <c r="O1234" s="6" t="s">
        <v>125</v>
      </c>
      <c r="P1234" s="19">
        <v>13</v>
      </c>
    </row>
    <row r="1235" spans="12:16" ht="15.75" customHeight="1" x14ac:dyDescent="0.3">
      <c r="L1235" s="6" t="s">
        <v>178</v>
      </c>
      <c r="M1235" s="6" t="s">
        <v>271</v>
      </c>
      <c r="N1235" s="6" t="s">
        <v>135</v>
      </c>
      <c r="O1235" s="6" t="s">
        <v>136</v>
      </c>
      <c r="P1235" s="19">
        <v>1</v>
      </c>
    </row>
    <row r="1236" spans="12:16" ht="15.75" customHeight="1" x14ac:dyDescent="0.3">
      <c r="L1236" s="6" t="s">
        <v>178</v>
      </c>
      <c r="M1236" s="6" t="s">
        <v>271</v>
      </c>
      <c r="N1236" s="6" t="s">
        <v>138</v>
      </c>
      <c r="O1236" s="6" t="s">
        <v>139</v>
      </c>
      <c r="P1236" s="19">
        <v>2</v>
      </c>
    </row>
    <row r="1237" spans="12:16" ht="15.75" customHeight="1" x14ac:dyDescent="0.3">
      <c r="L1237" s="6" t="s">
        <v>178</v>
      </c>
      <c r="M1237" s="6" t="s">
        <v>271</v>
      </c>
      <c r="N1237" s="6" t="s">
        <v>30</v>
      </c>
      <c r="O1237" s="6" t="s">
        <v>148</v>
      </c>
      <c r="P1237" s="17">
        <v>59.311700000000002</v>
      </c>
    </row>
    <row r="1238" spans="12:16" ht="15.75" customHeight="1" x14ac:dyDescent="0.3">
      <c r="L1238" s="6" t="s">
        <v>178</v>
      </c>
      <c r="M1238" s="6" t="s">
        <v>271</v>
      </c>
      <c r="N1238" s="6" t="s">
        <v>156</v>
      </c>
      <c r="O1238" s="6" t="s">
        <v>157</v>
      </c>
      <c r="P1238" s="19">
        <v>2</v>
      </c>
    </row>
    <row r="1239" spans="12:16" ht="15.75" customHeight="1" x14ac:dyDescent="0.3">
      <c r="L1239" s="6" t="s">
        <v>178</v>
      </c>
      <c r="M1239" s="6" t="s">
        <v>271</v>
      </c>
      <c r="N1239" s="6" t="s">
        <v>158</v>
      </c>
      <c r="O1239" s="6" t="s">
        <v>159</v>
      </c>
      <c r="P1239" s="19">
        <v>7</v>
      </c>
    </row>
    <row r="1240" spans="12:16" ht="15.75" customHeight="1" x14ac:dyDescent="0.3">
      <c r="L1240" s="6" t="s">
        <v>178</v>
      </c>
      <c r="M1240" s="6" t="s">
        <v>271</v>
      </c>
      <c r="N1240" s="6" t="s">
        <v>160</v>
      </c>
      <c r="O1240" s="6" t="s">
        <v>161</v>
      </c>
      <c r="P1240" s="19">
        <v>11</v>
      </c>
    </row>
    <row r="1241" spans="12:16" ht="15.75" customHeight="1" x14ac:dyDescent="0.3">
      <c r="L1241" s="6" t="s">
        <v>178</v>
      </c>
      <c r="M1241" s="6" t="s">
        <v>271</v>
      </c>
      <c r="N1241" s="6" t="s">
        <v>162</v>
      </c>
      <c r="O1241" s="6" t="s">
        <v>163</v>
      </c>
      <c r="P1241" s="19">
        <v>2</v>
      </c>
    </row>
    <row r="1242" spans="12:16" ht="15.75" customHeight="1" x14ac:dyDescent="0.3">
      <c r="L1242" s="6" t="s">
        <v>178</v>
      </c>
      <c r="M1242" s="6" t="s">
        <v>271</v>
      </c>
      <c r="N1242" s="6" t="s">
        <v>165</v>
      </c>
      <c r="O1242" s="6" t="s">
        <v>166</v>
      </c>
      <c r="P1242" s="19">
        <v>2</v>
      </c>
    </row>
    <row r="1243" spans="12:16" ht="15.75" customHeight="1" x14ac:dyDescent="0.3">
      <c r="L1243" s="6" t="s">
        <v>178</v>
      </c>
      <c r="M1243" s="6" t="s">
        <v>358</v>
      </c>
      <c r="N1243" s="6" t="s">
        <v>72</v>
      </c>
      <c r="O1243" s="6" t="s">
        <v>75</v>
      </c>
      <c r="P1243" s="19">
        <v>0</v>
      </c>
    </row>
    <row r="1244" spans="12:16" ht="15.75" customHeight="1" x14ac:dyDescent="0.3">
      <c r="L1244" s="6" t="s">
        <v>178</v>
      </c>
      <c r="M1244" s="6" t="s">
        <v>358</v>
      </c>
      <c r="N1244" s="6" t="s">
        <v>83</v>
      </c>
      <c r="O1244" s="6" t="s">
        <v>84</v>
      </c>
      <c r="P1244" s="19">
        <v>0</v>
      </c>
    </row>
    <row r="1245" spans="12:16" ht="15.75" customHeight="1" x14ac:dyDescent="0.3">
      <c r="L1245" s="6" t="s">
        <v>178</v>
      </c>
      <c r="M1245" s="6" t="s">
        <v>358</v>
      </c>
      <c r="N1245" s="6" t="s">
        <v>88</v>
      </c>
      <c r="O1245" s="6" t="s">
        <v>90</v>
      </c>
      <c r="P1245" s="19">
        <v>0</v>
      </c>
    </row>
    <row r="1246" spans="12:16" ht="15.75" customHeight="1" x14ac:dyDescent="0.3">
      <c r="L1246" s="6" t="s">
        <v>178</v>
      </c>
      <c r="M1246" s="6" t="s">
        <v>358</v>
      </c>
      <c r="N1246" s="6" t="s">
        <v>96</v>
      </c>
      <c r="O1246" s="6" t="s">
        <v>97</v>
      </c>
      <c r="P1246" s="19">
        <v>0</v>
      </c>
    </row>
    <row r="1247" spans="12:16" ht="15.75" customHeight="1" x14ac:dyDescent="0.3">
      <c r="L1247" s="6" t="s">
        <v>178</v>
      </c>
      <c r="M1247" s="6" t="s">
        <v>358</v>
      </c>
      <c r="N1247" s="6" t="s">
        <v>100</v>
      </c>
      <c r="O1247" s="6" t="s">
        <v>101</v>
      </c>
      <c r="P1247" s="19">
        <v>0</v>
      </c>
    </row>
    <row r="1248" spans="12:16" ht="15.75" customHeight="1" x14ac:dyDescent="0.3">
      <c r="L1248" s="6" t="s">
        <v>178</v>
      </c>
      <c r="M1248" s="6" t="s">
        <v>358</v>
      </c>
      <c r="N1248" s="6" t="s">
        <v>22</v>
      </c>
      <c r="O1248" s="6" t="s">
        <v>104</v>
      </c>
      <c r="P1248" s="17">
        <v>2.5</v>
      </c>
    </row>
    <row r="1249" spans="12:16" ht="15.75" customHeight="1" x14ac:dyDescent="0.3">
      <c r="L1249" s="6" t="s">
        <v>178</v>
      </c>
      <c r="M1249" s="6" t="s">
        <v>358</v>
      </c>
      <c r="N1249" s="6" t="s">
        <v>23</v>
      </c>
      <c r="O1249" s="6" t="s">
        <v>107</v>
      </c>
      <c r="P1249" s="17">
        <v>87.172899999999998</v>
      </c>
    </row>
    <row r="1250" spans="12:16" ht="15.75" customHeight="1" x14ac:dyDescent="0.3">
      <c r="L1250" s="6" t="s">
        <v>178</v>
      </c>
      <c r="M1250" s="6" t="s">
        <v>358</v>
      </c>
      <c r="N1250" s="6" t="s">
        <v>24</v>
      </c>
      <c r="O1250" s="6" t="s">
        <v>109</v>
      </c>
      <c r="P1250" s="17">
        <v>6.6E-3</v>
      </c>
    </row>
    <row r="1251" spans="12:16" ht="15.75" customHeight="1" x14ac:dyDescent="0.3">
      <c r="L1251" s="6" t="s">
        <v>178</v>
      </c>
      <c r="M1251" s="6" t="s">
        <v>358</v>
      </c>
      <c r="N1251" s="6" t="s">
        <v>25</v>
      </c>
      <c r="O1251" s="6" t="s">
        <v>111</v>
      </c>
      <c r="P1251" s="19">
        <v>11</v>
      </c>
    </row>
    <row r="1252" spans="12:16" ht="15.75" customHeight="1" x14ac:dyDescent="0.3">
      <c r="L1252" s="6" t="s">
        <v>178</v>
      </c>
      <c r="M1252" s="6" t="s">
        <v>358</v>
      </c>
      <c r="N1252" s="6" t="s">
        <v>26</v>
      </c>
      <c r="O1252" s="6" t="s">
        <v>113</v>
      </c>
      <c r="P1252" s="19">
        <v>9</v>
      </c>
    </row>
    <row r="1253" spans="12:16" ht="15.75" customHeight="1" x14ac:dyDescent="0.3">
      <c r="L1253" s="6" t="s">
        <v>178</v>
      </c>
      <c r="M1253" s="6" t="s">
        <v>358</v>
      </c>
      <c r="N1253" s="6" t="s">
        <v>27</v>
      </c>
      <c r="O1253" s="6" t="s">
        <v>117</v>
      </c>
      <c r="P1253" s="17">
        <v>34.869199999999999</v>
      </c>
    </row>
    <row r="1254" spans="12:16" ht="15.75" customHeight="1" x14ac:dyDescent="0.3">
      <c r="L1254" s="6" t="s">
        <v>178</v>
      </c>
      <c r="M1254" s="6" t="s">
        <v>358</v>
      </c>
      <c r="N1254" s="6" t="s">
        <v>29</v>
      </c>
      <c r="O1254" s="6" t="s">
        <v>125</v>
      </c>
      <c r="P1254" s="19">
        <v>4</v>
      </c>
    </row>
    <row r="1255" spans="12:16" ht="15.75" customHeight="1" x14ac:dyDescent="0.3">
      <c r="L1255" s="6" t="s">
        <v>178</v>
      </c>
      <c r="M1255" s="6" t="s">
        <v>358</v>
      </c>
      <c r="N1255" s="6" t="s">
        <v>135</v>
      </c>
      <c r="O1255" s="6" t="s">
        <v>136</v>
      </c>
      <c r="P1255" s="19">
        <v>1</v>
      </c>
    </row>
    <row r="1256" spans="12:16" ht="15.75" customHeight="1" x14ac:dyDescent="0.3">
      <c r="L1256" s="6" t="s">
        <v>178</v>
      </c>
      <c r="M1256" s="6" t="s">
        <v>358</v>
      </c>
      <c r="N1256" s="6" t="s">
        <v>138</v>
      </c>
      <c r="O1256" s="6" t="s">
        <v>139</v>
      </c>
      <c r="P1256" s="19">
        <v>0</v>
      </c>
    </row>
    <row r="1257" spans="12:16" ht="15.75" customHeight="1" x14ac:dyDescent="0.3">
      <c r="L1257" s="6" t="s">
        <v>178</v>
      </c>
      <c r="M1257" s="6" t="s">
        <v>358</v>
      </c>
      <c r="N1257" s="6" t="s">
        <v>30</v>
      </c>
      <c r="O1257" s="6" t="s">
        <v>148</v>
      </c>
      <c r="P1257" s="17">
        <v>76.143199999999993</v>
      </c>
    </row>
    <row r="1258" spans="12:16" ht="15.75" customHeight="1" x14ac:dyDescent="0.3">
      <c r="L1258" s="6" t="s">
        <v>178</v>
      </c>
      <c r="M1258" s="6" t="s">
        <v>358</v>
      </c>
      <c r="N1258" s="6" t="s">
        <v>156</v>
      </c>
      <c r="O1258" s="6" t="s">
        <v>157</v>
      </c>
      <c r="P1258" s="19">
        <v>0</v>
      </c>
    </row>
    <row r="1259" spans="12:16" ht="15.75" customHeight="1" x14ac:dyDescent="0.3">
      <c r="L1259" s="6" t="s">
        <v>178</v>
      </c>
      <c r="M1259" s="6" t="s">
        <v>358</v>
      </c>
      <c r="N1259" s="6" t="s">
        <v>158</v>
      </c>
      <c r="O1259" s="6" t="s">
        <v>159</v>
      </c>
      <c r="P1259" s="19">
        <v>1</v>
      </c>
    </row>
    <row r="1260" spans="12:16" ht="15.75" customHeight="1" x14ac:dyDescent="0.3">
      <c r="L1260" s="6" t="s">
        <v>178</v>
      </c>
      <c r="M1260" s="6" t="s">
        <v>358</v>
      </c>
      <c r="N1260" s="6" t="s">
        <v>160</v>
      </c>
      <c r="O1260" s="6" t="s">
        <v>161</v>
      </c>
      <c r="P1260" s="19">
        <v>4</v>
      </c>
    </row>
    <row r="1261" spans="12:16" ht="15.75" customHeight="1" x14ac:dyDescent="0.3">
      <c r="L1261" s="6" t="s">
        <v>178</v>
      </c>
      <c r="M1261" s="6" t="s">
        <v>358</v>
      </c>
      <c r="N1261" s="6" t="s">
        <v>162</v>
      </c>
      <c r="O1261" s="6" t="s">
        <v>163</v>
      </c>
      <c r="P1261" s="19">
        <v>0</v>
      </c>
    </row>
    <row r="1262" spans="12:16" ht="15.75" customHeight="1" x14ac:dyDescent="0.3">
      <c r="L1262" s="6" t="s">
        <v>178</v>
      </c>
      <c r="M1262" s="6" t="s">
        <v>358</v>
      </c>
      <c r="N1262" s="6" t="s">
        <v>165</v>
      </c>
      <c r="O1262" s="6" t="s">
        <v>166</v>
      </c>
      <c r="P1262" s="19">
        <v>2</v>
      </c>
    </row>
    <row r="1263" spans="12:16" ht="15.75" customHeight="1" x14ac:dyDescent="0.3">
      <c r="L1263" s="6" t="s">
        <v>178</v>
      </c>
      <c r="M1263" s="6" t="s">
        <v>305</v>
      </c>
      <c r="N1263" s="6" t="s">
        <v>72</v>
      </c>
      <c r="O1263" s="6" t="s">
        <v>75</v>
      </c>
      <c r="P1263" s="19">
        <v>4</v>
      </c>
    </row>
    <row r="1264" spans="12:16" ht="15.75" customHeight="1" x14ac:dyDescent="0.3">
      <c r="L1264" s="6" t="s">
        <v>178</v>
      </c>
      <c r="M1264" s="6" t="s">
        <v>305</v>
      </c>
      <c r="N1264" s="6" t="s">
        <v>83</v>
      </c>
      <c r="O1264" s="6" t="s">
        <v>84</v>
      </c>
      <c r="P1264" s="19">
        <v>1</v>
      </c>
    </row>
    <row r="1265" spans="12:16" ht="15.75" customHeight="1" x14ac:dyDescent="0.3">
      <c r="L1265" s="6" t="s">
        <v>178</v>
      </c>
      <c r="M1265" s="6" t="s">
        <v>305</v>
      </c>
      <c r="N1265" s="6" t="s">
        <v>88</v>
      </c>
      <c r="O1265" s="6" t="s">
        <v>90</v>
      </c>
      <c r="P1265" s="17">
        <v>0.5</v>
      </c>
    </row>
    <row r="1266" spans="12:16" ht="15.75" customHeight="1" x14ac:dyDescent="0.3">
      <c r="L1266" s="6" t="s">
        <v>178</v>
      </c>
      <c r="M1266" s="6" t="s">
        <v>305</v>
      </c>
      <c r="N1266" s="6" t="s">
        <v>96</v>
      </c>
      <c r="O1266" s="6" t="s">
        <v>97</v>
      </c>
      <c r="P1266" s="19">
        <v>6</v>
      </c>
    </row>
    <row r="1267" spans="12:16" ht="15.75" customHeight="1" x14ac:dyDescent="0.3">
      <c r="L1267" s="6" t="s">
        <v>178</v>
      </c>
      <c r="M1267" s="6" t="s">
        <v>305</v>
      </c>
      <c r="N1267" s="6" t="s">
        <v>100</v>
      </c>
      <c r="O1267" s="6" t="s">
        <v>101</v>
      </c>
      <c r="P1267" s="19">
        <v>0</v>
      </c>
    </row>
    <row r="1268" spans="12:16" ht="15.75" customHeight="1" x14ac:dyDescent="0.3">
      <c r="L1268" s="6" t="s">
        <v>178</v>
      </c>
      <c r="M1268" s="6" t="s">
        <v>305</v>
      </c>
      <c r="N1268" s="6" t="s">
        <v>22</v>
      </c>
      <c r="O1268" s="6" t="s">
        <v>104</v>
      </c>
      <c r="P1268" s="17">
        <v>11.142899999999999</v>
      </c>
    </row>
    <row r="1269" spans="12:16" ht="15.75" customHeight="1" x14ac:dyDescent="0.3">
      <c r="L1269" s="6" t="s">
        <v>178</v>
      </c>
      <c r="M1269" s="6" t="s">
        <v>305</v>
      </c>
      <c r="N1269" s="6" t="s">
        <v>23</v>
      </c>
      <c r="O1269" s="6" t="s">
        <v>107</v>
      </c>
      <c r="P1269" s="17">
        <v>1396.6002000000001</v>
      </c>
    </row>
    <row r="1270" spans="12:16" ht="15.75" customHeight="1" x14ac:dyDescent="0.3">
      <c r="L1270" s="6" t="s">
        <v>178</v>
      </c>
      <c r="M1270" s="6" t="s">
        <v>305</v>
      </c>
      <c r="N1270" s="6" t="s">
        <v>24</v>
      </c>
      <c r="O1270" s="6" t="s">
        <v>109</v>
      </c>
      <c r="P1270" s="17">
        <v>4.1599999999999998E-2</v>
      </c>
    </row>
    <row r="1271" spans="12:16" ht="15.75" customHeight="1" x14ac:dyDescent="0.3">
      <c r="L1271" s="6" t="s">
        <v>178</v>
      </c>
      <c r="M1271" s="6" t="s">
        <v>305</v>
      </c>
      <c r="N1271" s="6" t="s">
        <v>25</v>
      </c>
      <c r="O1271" s="6" t="s">
        <v>111</v>
      </c>
      <c r="P1271" s="19">
        <v>29</v>
      </c>
    </row>
    <row r="1272" spans="12:16" ht="15.75" customHeight="1" x14ac:dyDescent="0.3">
      <c r="L1272" s="6" t="s">
        <v>178</v>
      </c>
      <c r="M1272" s="6" t="s">
        <v>305</v>
      </c>
      <c r="N1272" s="6" t="s">
        <v>26</v>
      </c>
      <c r="O1272" s="6" t="s">
        <v>113</v>
      </c>
      <c r="P1272" s="19">
        <v>20</v>
      </c>
    </row>
    <row r="1273" spans="12:16" ht="15.75" customHeight="1" x14ac:dyDescent="0.3">
      <c r="L1273" s="6" t="s">
        <v>178</v>
      </c>
      <c r="M1273" s="6" t="s">
        <v>305</v>
      </c>
      <c r="N1273" s="6" t="s">
        <v>27</v>
      </c>
      <c r="O1273" s="6" t="s">
        <v>117</v>
      </c>
      <c r="P1273" s="17">
        <v>125.3359</v>
      </c>
    </row>
    <row r="1274" spans="12:16" ht="15.75" customHeight="1" x14ac:dyDescent="0.3">
      <c r="L1274" s="6" t="s">
        <v>178</v>
      </c>
      <c r="M1274" s="6" t="s">
        <v>305</v>
      </c>
      <c r="N1274" s="6" t="s">
        <v>29</v>
      </c>
      <c r="O1274" s="6" t="s">
        <v>125</v>
      </c>
      <c r="P1274" s="19">
        <v>9</v>
      </c>
    </row>
    <row r="1275" spans="12:16" ht="15.75" customHeight="1" x14ac:dyDescent="0.3">
      <c r="L1275" s="6" t="s">
        <v>178</v>
      </c>
      <c r="M1275" s="6" t="s">
        <v>305</v>
      </c>
      <c r="N1275" s="6" t="s">
        <v>135</v>
      </c>
      <c r="O1275" s="6" t="s">
        <v>136</v>
      </c>
      <c r="P1275" s="19">
        <v>1</v>
      </c>
    </row>
    <row r="1276" spans="12:16" ht="15.75" customHeight="1" x14ac:dyDescent="0.3">
      <c r="L1276" s="6" t="s">
        <v>178</v>
      </c>
      <c r="M1276" s="6" t="s">
        <v>305</v>
      </c>
      <c r="N1276" s="6" t="s">
        <v>138</v>
      </c>
      <c r="O1276" s="6" t="s">
        <v>139</v>
      </c>
      <c r="P1276" s="19">
        <v>2</v>
      </c>
    </row>
    <row r="1277" spans="12:16" ht="15.75" customHeight="1" x14ac:dyDescent="0.3">
      <c r="L1277" s="6" t="s">
        <v>178</v>
      </c>
      <c r="M1277" s="6" t="s">
        <v>305</v>
      </c>
      <c r="N1277" s="6" t="s">
        <v>30</v>
      </c>
      <c r="O1277" s="6" t="s">
        <v>148</v>
      </c>
      <c r="P1277" s="17">
        <v>64.2851</v>
      </c>
    </row>
    <row r="1278" spans="12:16" ht="15.75" customHeight="1" x14ac:dyDescent="0.3">
      <c r="L1278" s="6" t="s">
        <v>178</v>
      </c>
      <c r="M1278" s="6" t="s">
        <v>305</v>
      </c>
      <c r="N1278" s="6" t="s">
        <v>156</v>
      </c>
      <c r="O1278" s="6" t="s">
        <v>157</v>
      </c>
      <c r="P1278" s="19">
        <v>1</v>
      </c>
    </row>
    <row r="1279" spans="12:16" ht="15.75" customHeight="1" x14ac:dyDescent="0.3">
      <c r="L1279" s="6" t="s">
        <v>178</v>
      </c>
      <c r="M1279" s="6" t="s">
        <v>305</v>
      </c>
      <c r="N1279" s="6" t="s">
        <v>158</v>
      </c>
      <c r="O1279" s="6" t="s">
        <v>159</v>
      </c>
      <c r="P1279" s="19">
        <v>5</v>
      </c>
    </row>
    <row r="1280" spans="12:16" ht="15.75" customHeight="1" x14ac:dyDescent="0.3">
      <c r="L1280" s="6" t="s">
        <v>178</v>
      </c>
      <c r="M1280" s="6" t="s">
        <v>305</v>
      </c>
      <c r="N1280" s="6" t="s">
        <v>160</v>
      </c>
      <c r="O1280" s="6" t="s">
        <v>161</v>
      </c>
      <c r="P1280" s="19">
        <v>7</v>
      </c>
    </row>
    <row r="1281" spans="12:16" ht="15.75" customHeight="1" x14ac:dyDescent="0.3">
      <c r="L1281" s="6" t="s">
        <v>178</v>
      </c>
      <c r="M1281" s="6" t="s">
        <v>305</v>
      </c>
      <c r="N1281" s="6" t="s">
        <v>162</v>
      </c>
      <c r="O1281" s="6" t="s">
        <v>163</v>
      </c>
      <c r="P1281" s="19">
        <v>3</v>
      </c>
    </row>
    <row r="1282" spans="12:16" ht="15.75" customHeight="1" x14ac:dyDescent="0.3">
      <c r="L1282" s="6" t="s">
        <v>178</v>
      </c>
      <c r="M1282" s="6" t="s">
        <v>305</v>
      </c>
      <c r="N1282" s="6" t="s">
        <v>165</v>
      </c>
      <c r="O1282" s="6" t="s">
        <v>166</v>
      </c>
      <c r="P1282" s="19">
        <v>2</v>
      </c>
    </row>
    <row r="1283" spans="12:16" ht="15.75" customHeight="1" x14ac:dyDescent="0.3">
      <c r="L1283" s="6" t="s">
        <v>178</v>
      </c>
      <c r="M1283" s="6" t="s">
        <v>249</v>
      </c>
      <c r="N1283" s="6" t="s">
        <v>72</v>
      </c>
      <c r="O1283" s="6" t="s">
        <v>75</v>
      </c>
      <c r="P1283" s="19">
        <v>10</v>
      </c>
    </row>
    <row r="1284" spans="12:16" ht="15.75" customHeight="1" x14ac:dyDescent="0.3">
      <c r="L1284" s="6" t="s">
        <v>178</v>
      </c>
      <c r="M1284" s="6" t="s">
        <v>249</v>
      </c>
      <c r="N1284" s="6" t="s">
        <v>83</v>
      </c>
      <c r="O1284" s="6" t="s">
        <v>84</v>
      </c>
      <c r="P1284" s="19">
        <v>2</v>
      </c>
    </row>
    <row r="1285" spans="12:16" ht="15.75" customHeight="1" x14ac:dyDescent="0.3">
      <c r="L1285" s="6" t="s">
        <v>178</v>
      </c>
      <c r="M1285" s="6" t="s">
        <v>249</v>
      </c>
      <c r="N1285" s="6" t="s">
        <v>88</v>
      </c>
      <c r="O1285" s="6" t="s">
        <v>90</v>
      </c>
      <c r="P1285" s="17">
        <v>0.5625</v>
      </c>
    </row>
    <row r="1286" spans="12:16" ht="15.75" customHeight="1" x14ac:dyDescent="0.3">
      <c r="L1286" s="6" t="s">
        <v>178</v>
      </c>
      <c r="M1286" s="6" t="s">
        <v>249</v>
      </c>
      <c r="N1286" s="6" t="s">
        <v>96</v>
      </c>
      <c r="O1286" s="6" t="s">
        <v>97</v>
      </c>
      <c r="P1286" s="19">
        <v>14</v>
      </c>
    </row>
    <row r="1287" spans="12:16" ht="15.75" customHeight="1" x14ac:dyDescent="0.3">
      <c r="L1287" s="6" t="s">
        <v>178</v>
      </c>
      <c r="M1287" s="6" t="s">
        <v>249</v>
      </c>
      <c r="N1287" s="6" t="s">
        <v>100</v>
      </c>
      <c r="O1287" s="6" t="s">
        <v>101</v>
      </c>
      <c r="P1287" s="19">
        <v>1</v>
      </c>
    </row>
    <row r="1288" spans="12:16" ht="15.75" customHeight="1" x14ac:dyDescent="0.3">
      <c r="L1288" s="6" t="s">
        <v>178</v>
      </c>
      <c r="M1288" s="6" t="s">
        <v>249</v>
      </c>
      <c r="N1288" s="6" t="s">
        <v>22</v>
      </c>
      <c r="O1288" s="6" t="s">
        <v>104</v>
      </c>
      <c r="P1288" s="17">
        <v>43.421100000000003</v>
      </c>
    </row>
    <row r="1289" spans="12:16" ht="15.75" customHeight="1" x14ac:dyDescent="0.3">
      <c r="L1289" s="6" t="s">
        <v>178</v>
      </c>
      <c r="M1289" s="6" t="s">
        <v>249</v>
      </c>
      <c r="N1289" s="6" t="s">
        <v>23</v>
      </c>
      <c r="O1289" s="6" t="s">
        <v>107</v>
      </c>
      <c r="P1289" s="17">
        <v>29011.7968</v>
      </c>
    </row>
    <row r="1290" spans="12:16" ht="15.75" customHeight="1" x14ac:dyDescent="0.3">
      <c r="L1290" s="6" t="s">
        <v>178</v>
      </c>
      <c r="M1290" s="6" t="s">
        <v>249</v>
      </c>
      <c r="N1290" s="6" t="s">
        <v>24</v>
      </c>
      <c r="O1290" s="6" t="s">
        <v>109</v>
      </c>
      <c r="P1290" s="17">
        <v>0.31469999999999998</v>
      </c>
    </row>
    <row r="1291" spans="12:16" ht="15.75" customHeight="1" x14ac:dyDescent="0.3">
      <c r="L1291" s="6" t="s">
        <v>178</v>
      </c>
      <c r="M1291" s="6" t="s">
        <v>249</v>
      </c>
      <c r="N1291" s="6" t="s">
        <v>25</v>
      </c>
      <c r="O1291" s="6" t="s">
        <v>111</v>
      </c>
      <c r="P1291" s="19">
        <v>119</v>
      </c>
    </row>
    <row r="1292" spans="12:16" ht="15.75" customHeight="1" x14ac:dyDescent="0.3">
      <c r="L1292" s="6" t="s">
        <v>178</v>
      </c>
      <c r="M1292" s="6" t="s">
        <v>249</v>
      </c>
      <c r="N1292" s="6" t="s">
        <v>26</v>
      </c>
      <c r="O1292" s="6" t="s">
        <v>113</v>
      </c>
      <c r="P1292" s="19">
        <v>49</v>
      </c>
    </row>
    <row r="1293" spans="12:16" ht="15.75" customHeight="1" x14ac:dyDescent="0.3">
      <c r="L1293" s="6" t="s">
        <v>178</v>
      </c>
      <c r="M1293" s="6" t="s">
        <v>249</v>
      </c>
      <c r="N1293" s="6" t="s">
        <v>27</v>
      </c>
      <c r="O1293" s="6" t="s">
        <v>117</v>
      </c>
      <c r="P1293" s="17">
        <v>668.15049999999997</v>
      </c>
    </row>
    <row r="1294" spans="12:16" ht="15.75" customHeight="1" x14ac:dyDescent="0.3">
      <c r="L1294" s="6" t="s">
        <v>178</v>
      </c>
      <c r="M1294" s="6" t="s">
        <v>249</v>
      </c>
      <c r="N1294" s="6" t="s">
        <v>29</v>
      </c>
      <c r="O1294" s="6" t="s">
        <v>125</v>
      </c>
      <c r="P1294" s="19">
        <v>46</v>
      </c>
    </row>
    <row r="1295" spans="12:16" ht="15.75" customHeight="1" x14ac:dyDescent="0.3">
      <c r="L1295" s="6" t="s">
        <v>178</v>
      </c>
      <c r="M1295" s="6" t="s">
        <v>249</v>
      </c>
      <c r="N1295" s="6" t="s">
        <v>135</v>
      </c>
      <c r="O1295" s="6" t="s">
        <v>136</v>
      </c>
      <c r="P1295" s="17">
        <v>0.8</v>
      </c>
    </row>
    <row r="1296" spans="12:16" ht="15.75" customHeight="1" x14ac:dyDescent="0.3">
      <c r="L1296" s="6" t="s">
        <v>178</v>
      </c>
      <c r="M1296" s="6" t="s">
        <v>249</v>
      </c>
      <c r="N1296" s="6" t="s">
        <v>138</v>
      </c>
      <c r="O1296" s="6" t="s">
        <v>139</v>
      </c>
      <c r="P1296" s="19">
        <v>2</v>
      </c>
    </row>
    <row r="1297" spans="12:16" ht="15.75" customHeight="1" x14ac:dyDescent="0.3">
      <c r="L1297" s="6" t="s">
        <v>178</v>
      </c>
      <c r="M1297" s="6" t="s">
        <v>249</v>
      </c>
      <c r="N1297" s="6" t="s">
        <v>30</v>
      </c>
      <c r="O1297" s="6" t="s">
        <v>148</v>
      </c>
      <c r="P1297" s="17">
        <v>43.639800000000001</v>
      </c>
    </row>
    <row r="1298" spans="12:16" ht="15.75" customHeight="1" x14ac:dyDescent="0.3">
      <c r="L1298" s="6" t="s">
        <v>178</v>
      </c>
      <c r="M1298" s="6" t="s">
        <v>249</v>
      </c>
      <c r="N1298" s="6" t="s">
        <v>156</v>
      </c>
      <c r="O1298" s="6" t="s">
        <v>157</v>
      </c>
      <c r="P1298" s="19">
        <v>2</v>
      </c>
    </row>
    <row r="1299" spans="12:16" ht="15.75" customHeight="1" x14ac:dyDescent="0.3">
      <c r="L1299" s="6" t="s">
        <v>178</v>
      </c>
      <c r="M1299" s="6" t="s">
        <v>249</v>
      </c>
      <c r="N1299" s="6" t="s">
        <v>158</v>
      </c>
      <c r="O1299" s="6" t="s">
        <v>159</v>
      </c>
      <c r="P1299" s="19">
        <v>10</v>
      </c>
    </row>
    <row r="1300" spans="12:16" ht="15.75" customHeight="1" x14ac:dyDescent="0.3">
      <c r="L1300" s="6" t="s">
        <v>178</v>
      </c>
      <c r="M1300" s="6" t="s">
        <v>249</v>
      </c>
      <c r="N1300" s="6" t="s">
        <v>160</v>
      </c>
      <c r="O1300" s="6" t="s">
        <v>161</v>
      </c>
      <c r="P1300" s="19">
        <v>15</v>
      </c>
    </row>
    <row r="1301" spans="12:16" ht="15.75" customHeight="1" x14ac:dyDescent="0.3">
      <c r="L1301" s="6" t="s">
        <v>178</v>
      </c>
      <c r="M1301" s="6" t="s">
        <v>249</v>
      </c>
      <c r="N1301" s="6" t="s">
        <v>162</v>
      </c>
      <c r="O1301" s="6" t="s">
        <v>163</v>
      </c>
      <c r="P1301" s="19">
        <v>6</v>
      </c>
    </row>
    <row r="1302" spans="12:16" ht="15.75" customHeight="1" x14ac:dyDescent="0.3">
      <c r="L1302" s="6" t="s">
        <v>178</v>
      </c>
      <c r="M1302" s="6" t="s">
        <v>249</v>
      </c>
      <c r="N1302" s="6" t="s">
        <v>165</v>
      </c>
      <c r="O1302" s="6" t="s">
        <v>166</v>
      </c>
      <c r="P1302" s="19">
        <v>0</v>
      </c>
    </row>
    <row r="1303" spans="12:16" ht="15.75" customHeight="1" x14ac:dyDescent="0.3">
      <c r="L1303" s="6" t="s">
        <v>178</v>
      </c>
      <c r="M1303" s="6" t="s">
        <v>274</v>
      </c>
      <c r="N1303" s="6" t="s">
        <v>72</v>
      </c>
      <c r="O1303" s="6" t="s">
        <v>75</v>
      </c>
      <c r="P1303" s="19">
        <v>7</v>
      </c>
    </row>
    <row r="1304" spans="12:16" ht="15.75" customHeight="1" x14ac:dyDescent="0.3">
      <c r="L1304" s="6" t="s">
        <v>178</v>
      </c>
      <c r="M1304" s="6" t="s">
        <v>274</v>
      </c>
      <c r="N1304" s="6" t="s">
        <v>83</v>
      </c>
      <c r="O1304" s="6" t="s">
        <v>84</v>
      </c>
      <c r="P1304" s="19">
        <v>2</v>
      </c>
    </row>
    <row r="1305" spans="12:16" ht="15.75" customHeight="1" x14ac:dyDescent="0.3">
      <c r="L1305" s="6" t="s">
        <v>178</v>
      </c>
      <c r="M1305" s="6" t="s">
        <v>274</v>
      </c>
      <c r="N1305" s="6" t="s">
        <v>88</v>
      </c>
      <c r="O1305" s="6" t="s">
        <v>90</v>
      </c>
      <c r="P1305" s="17">
        <v>0.28570000000000001</v>
      </c>
    </row>
    <row r="1306" spans="12:16" ht="15.75" customHeight="1" x14ac:dyDescent="0.3">
      <c r="L1306" s="6" t="s">
        <v>178</v>
      </c>
      <c r="M1306" s="6" t="s">
        <v>274</v>
      </c>
      <c r="N1306" s="6" t="s">
        <v>96</v>
      </c>
      <c r="O1306" s="6" t="s">
        <v>97</v>
      </c>
      <c r="P1306" s="19">
        <v>12</v>
      </c>
    </row>
    <row r="1307" spans="12:16" ht="15.75" customHeight="1" x14ac:dyDescent="0.3">
      <c r="L1307" s="6" t="s">
        <v>178</v>
      </c>
      <c r="M1307" s="6" t="s">
        <v>274</v>
      </c>
      <c r="N1307" s="6" t="s">
        <v>100</v>
      </c>
      <c r="O1307" s="6" t="s">
        <v>101</v>
      </c>
      <c r="P1307" s="19">
        <v>0</v>
      </c>
    </row>
    <row r="1308" spans="12:16" ht="15.75" customHeight="1" x14ac:dyDescent="0.3">
      <c r="L1308" s="6" t="s">
        <v>178</v>
      </c>
      <c r="M1308" s="6" t="s">
        <v>274</v>
      </c>
      <c r="N1308" s="6" t="s">
        <v>22</v>
      </c>
      <c r="O1308" s="6" t="s">
        <v>104</v>
      </c>
      <c r="P1308" s="17">
        <v>26.1</v>
      </c>
    </row>
    <row r="1309" spans="12:16" ht="15.75" customHeight="1" x14ac:dyDescent="0.3">
      <c r="L1309" s="6" t="s">
        <v>178</v>
      </c>
      <c r="M1309" s="6" t="s">
        <v>274</v>
      </c>
      <c r="N1309" s="6" t="s">
        <v>23</v>
      </c>
      <c r="O1309" s="6" t="s">
        <v>107</v>
      </c>
      <c r="P1309" s="17">
        <v>9570.2849999999999</v>
      </c>
    </row>
    <row r="1310" spans="12:16" ht="15.75" customHeight="1" x14ac:dyDescent="0.3">
      <c r="L1310" s="6" t="s">
        <v>178</v>
      </c>
      <c r="M1310" s="6" t="s">
        <v>274</v>
      </c>
      <c r="N1310" s="6" t="s">
        <v>24</v>
      </c>
      <c r="O1310" s="6" t="s">
        <v>109</v>
      </c>
      <c r="P1310" s="17">
        <v>0.15029999999999999</v>
      </c>
    </row>
    <row r="1311" spans="12:16" ht="15.75" customHeight="1" x14ac:dyDescent="0.3">
      <c r="L1311" s="6" t="s">
        <v>178</v>
      </c>
      <c r="M1311" s="6" t="s">
        <v>274</v>
      </c>
      <c r="N1311" s="6" t="s">
        <v>25</v>
      </c>
      <c r="O1311" s="6" t="s">
        <v>111</v>
      </c>
      <c r="P1311" s="19">
        <v>68</v>
      </c>
    </row>
    <row r="1312" spans="12:16" ht="15.75" customHeight="1" x14ac:dyDescent="0.3">
      <c r="L1312" s="6" t="s">
        <v>178</v>
      </c>
      <c r="M1312" s="6" t="s">
        <v>274</v>
      </c>
      <c r="N1312" s="6" t="s">
        <v>26</v>
      </c>
      <c r="O1312" s="6" t="s">
        <v>113</v>
      </c>
      <c r="P1312" s="19">
        <v>42</v>
      </c>
    </row>
    <row r="1313" spans="12:16" ht="15.75" customHeight="1" x14ac:dyDescent="0.3">
      <c r="L1313" s="6" t="s">
        <v>178</v>
      </c>
      <c r="M1313" s="6" t="s">
        <v>274</v>
      </c>
      <c r="N1313" s="6" t="s">
        <v>27</v>
      </c>
      <c r="O1313" s="6" t="s">
        <v>117</v>
      </c>
      <c r="P1313" s="17">
        <v>366.67759999999998</v>
      </c>
    </row>
    <row r="1314" spans="12:16" ht="15.75" customHeight="1" x14ac:dyDescent="0.3">
      <c r="L1314" s="6" t="s">
        <v>178</v>
      </c>
      <c r="M1314" s="6" t="s">
        <v>274</v>
      </c>
      <c r="N1314" s="6" t="s">
        <v>29</v>
      </c>
      <c r="O1314" s="6" t="s">
        <v>125</v>
      </c>
      <c r="P1314" s="19">
        <v>42</v>
      </c>
    </row>
    <row r="1315" spans="12:16" ht="15.75" customHeight="1" x14ac:dyDescent="0.3">
      <c r="L1315" s="6" t="s">
        <v>178</v>
      </c>
      <c r="M1315" s="6" t="s">
        <v>274</v>
      </c>
      <c r="N1315" s="6" t="s">
        <v>135</v>
      </c>
      <c r="O1315" s="6" t="s">
        <v>136</v>
      </c>
      <c r="P1315" s="19">
        <v>1</v>
      </c>
    </row>
    <row r="1316" spans="12:16" ht="15.75" customHeight="1" x14ac:dyDescent="0.3">
      <c r="L1316" s="6" t="s">
        <v>178</v>
      </c>
      <c r="M1316" s="6" t="s">
        <v>274</v>
      </c>
      <c r="N1316" s="6" t="s">
        <v>138</v>
      </c>
      <c r="O1316" s="6" t="s">
        <v>139</v>
      </c>
      <c r="P1316" s="19">
        <v>1</v>
      </c>
    </row>
    <row r="1317" spans="12:16" ht="15.75" customHeight="1" x14ac:dyDescent="0.3">
      <c r="L1317" s="6" t="s">
        <v>178</v>
      </c>
      <c r="M1317" s="6" t="s">
        <v>274</v>
      </c>
      <c r="N1317" s="6" t="s">
        <v>30</v>
      </c>
      <c r="O1317" s="6" t="s">
        <v>148</v>
      </c>
      <c r="P1317" s="17">
        <v>46.4</v>
      </c>
    </row>
    <row r="1318" spans="12:16" ht="15.75" customHeight="1" x14ac:dyDescent="0.3">
      <c r="L1318" s="6" t="s">
        <v>178</v>
      </c>
      <c r="M1318" s="6" t="s">
        <v>274</v>
      </c>
      <c r="N1318" s="6" t="s">
        <v>156</v>
      </c>
      <c r="O1318" s="6" t="s">
        <v>157</v>
      </c>
      <c r="P1318" s="19">
        <v>3</v>
      </c>
    </row>
    <row r="1319" spans="12:16" ht="15.75" customHeight="1" x14ac:dyDescent="0.3">
      <c r="L1319" s="6" t="s">
        <v>178</v>
      </c>
      <c r="M1319" s="6" t="s">
        <v>274</v>
      </c>
      <c r="N1319" s="6" t="s">
        <v>158</v>
      </c>
      <c r="O1319" s="6" t="s">
        <v>159</v>
      </c>
      <c r="P1319" s="19">
        <v>6</v>
      </c>
    </row>
    <row r="1320" spans="12:16" ht="15.75" customHeight="1" x14ac:dyDescent="0.3">
      <c r="L1320" s="6" t="s">
        <v>178</v>
      </c>
      <c r="M1320" s="6" t="s">
        <v>274</v>
      </c>
      <c r="N1320" s="6" t="s">
        <v>160</v>
      </c>
      <c r="O1320" s="6" t="s">
        <v>161</v>
      </c>
      <c r="P1320" s="19">
        <v>8</v>
      </c>
    </row>
    <row r="1321" spans="12:16" ht="15.75" customHeight="1" x14ac:dyDescent="0.3">
      <c r="L1321" s="6" t="s">
        <v>178</v>
      </c>
      <c r="M1321" s="6" t="s">
        <v>274</v>
      </c>
      <c r="N1321" s="6" t="s">
        <v>162</v>
      </c>
      <c r="O1321" s="6" t="s">
        <v>163</v>
      </c>
      <c r="P1321" s="19">
        <v>1</v>
      </c>
    </row>
    <row r="1322" spans="12:16" ht="15.75" customHeight="1" x14ac:dyDescent="0.3">
      <c r="L1322" s="6" t="s">
        <v>178</v>
      </c>
      <c r="M1322" s="6" t="s">
        <v>274</v>
      </c>
      <c r="N1322" s="6" t="s">
        <v>165</v>
      </c>
      <c r="O1322" s="6" t="s">
        <v>166</v>
      </c>
      <c r="P1322" s="19">
        <v>1</v>
      </c>
    </row>
    <row r="1323" spans="12:16" ht="15.75" customHeight="1" x14ac:dyDescent="0.3">
      <c r="L1323" s="6" t="s">
        <v>178</v>
      </c>
      <c r="M1323" s="6" t="s">
        <v>365</v>
      </c>
      <c r="N1323" s="6" t="s">
        <v>72</v>
      </c>
      <c r="O1323" s="6" t="s">
        <v>75</v>
      </c>
      <c r="P1323" s="19">
        <v>1</v>
      </c>
    </row>
    <row r="1324" spans="12:16" ht="15.75" customHeight="1" x14ac:dyDescent="0.3">
      <c r="L1324" s="6" t="s">
        <v>178</v>
      </c>
      <c r="M1324" s="6" t="s">
        <v>365</v>
      </c>
      <c r="N1324" s="6" t="s">
        <v>83</v>
      </c>
      <c r="O1324" s="6" t="s">
        <v>84</v>
      </c>
      <c r="P1324" s="19">
        <v>1</v>
      </c>
    </row>
    <row r="1325" spans="12:16" ht="15.75" customHeight="1" x14ac:dyDescent="0.3">
      <c r="L1325" s="6" t="s">
        <v>178</v>
      </c>
      <c r="M1325" s="6" t="s">
        <v>365</v>
      </c>
      <c r="N1325" s="6" t="s">
        <v>88</v>
      </c>
      <c r="O1325" s="6" t="s">
        <v>90</v>
      </c>
      <c r="P1325" s="17">
        <v>0.5</v>
      </c>
    </row>
    <row r="1326" spans="12:16" ht="15.75" customHeight="1" x14ac:dyDescent="0.3">
      <c r="L1326" s="6" t="s">
        <v>178</v>
      </c>
      <c r="M1326" s="6" t="s">
        <v>365</v>
      </c>
      <c r="N1326" s="6" t="s">
        <v>96</v>
      </c>
      <c r="O1326" s="6" t="s">
        <v>97</v>
      </c>
      <c r="P1326" s="19">
        <v>2</v>
      </c>
    </row>
    <row r="1327" spans="12:16" ht="15.75" customHeight="1" x14ac:dyDescent="0.3">
      <c r="L1327" s="6" t="s">
        <v>178</v>
      </c>
      <c r="M1327" s="6" t="s">
        <v>365</v>
      </c>
      <c r="N1327" s="6" t="s">
        <v>100</v>
      </c>
      <c r="O1327" s="6" t="s">
        <v>101</v>
      </c>
      <c r="P1327" s="19">
        <v>0</v>
      </c>
    </row>
    <row r="1328" spans="12:16" ht="15.75" customHeight="1" x14ac:dyDescent="0.3">
      <c r="L1328" s="6" t="s">
        <v>178</v>
      </c>
      <c r="M1328" s="6" t="s">
        <v>365</v>
      </c>
      <c r="N1328" s="6" t="s">
        <v>22</v>
      </c>
      <c r="O1328" s="6" t="s">
        <v>104</v>
      </c>
      <c r="P1328" s="19">
        <v>10</v>
      </c>
    </row>
    <row r="1329" spans="12:16" ht="15.75" customHeight="1" x14ac:dyDescent="0.3">
      <c r="L1329" s="6" t="s">
        <v>178</v>
      </c>
      <c r="M1329" s="6" t="s">
        <v>365</v>
      </c>
      <c r="N1329" s="6" t="s">
        <v>23</v>
      </c>
      <c r="O1329" s="6" t="s">
        <v>107</v>
      </c>
      <c r="P1329" s="19">
        <v>1200</v>
      </c>
    </row>
    <row r="1330" spans="12:16" ht="15.75" customHeight="1" x14ac:dyDescent="0.3">
      <c r="L1330" s="6" t="s">
        <v>178</v>
      </c>
      <c r="M1330" s="6" t="s">
        <v>365</v>
      </c>
      <c r="N1330" s="6" t="s">
        <v>24</v>
      </c>
      <c r="O1330" s="6" t="s">
        <v>109</v>
      </c>
      <c r="P1330" s="17">
        <v>3.7600000000000001E-2</v>
      </c>
    </row>
    <row r="1331" spans="12:16" ht="15.75" customHeight="1" x14ac:dyDescent="0.3">
      <c r="L1331" s="6" t="s">
        <v>178</v>
      </c>
      <c r="M1331" s="6" t="s">
        <v>365</v>
      </c>
      <c r="N1331" s="6" t="s">
        <v>25</v>
      </c>
      <c r="O1331" s="6" t="s">
        <v>111</v>
      </c>
      <c r="P1331" s="19">
        <v>30</v>
      </c>
    </row>
    <row r="1332" spans="12:16" ht="15.75" customHeight="1" x14ac:dyDescent="0.3">
      <c r="L1332" s="6" t="s">
        <v>178</v>
      </c>
      <c r="M1332" s="6" t="s">
        <v>365</v>
      </c>
      <c r="N1332" s="6" t="s">
        <v>26</v>
      </c>
      <c r="O1332" s="6" t="s">
        <v>113</v>
      </c>
      <c r="P1332" s="19">
        <v>16</v>
      </c>
    </row>
    <row r="1333" spans="12:16" ht="15.75" customHeight="1" x14ac:dyDescent="0.3">
      <c r="L1333" s="6" t="s">
        <v>178</v>
      </c>
      <c r="M1333" s="6" t="s">
        <v>365</v>
      </c>
      <c r="N1333" s="6" t="s">
        <v>27</v>
      </c>
      <c r="O1333" s="6" t="s">
        <v>117</v>
      </c>
      <c r="P1333" s="19">
        <v>120</v>
      </c>
    </row>
    <row r="1334" spans="12:16" ht="15.75" customHeight="1" x14ac:dyDescent="0.3">
      <c r="L1334" s="6" t="s">
        <v>178</v>
      </c>
      <c r="M1334" s="6" t="s">
        <v>365</v>
      </c>
      <c r="N1334" s="6" t="s">
        <v>29</v>
      </c>
      <c r="O1334" s="6" t="s">
        <v>125</v>
      </c>
      <c r="P1334" s="19">
        <v>10</v>
      </c>
    </row>
    <row r="1335" spans="12:16" ht="15.75" customHeight="1" x14ac:dyDescent="0.3">
      <c r="L1335" s="6" t="s">
        <v>178</v>
      </c>
      <c r="M1335" s="6" t="s">
        <v>365</v>
      </c>
      <c r="N1335" s="6" t="s">
        <v>135</v>
      </c>
      <c r="O1335" s="6" t="s">
        <v>136</v>
      </c>
      <c r="P1335" s="19">
        <v>1</v>
      </c>
    </row>
    <row r="1336" spans="12:16" ht="15.75" customHeight="1" x14ac:dyDescent="0.3">
      <c r="L1336" s="6" t="s">
        <v>178</v>
      </c>
      <c r="M1336" s="6" t="s">
        <v>365</v>
      </c>
      <c r="N1336" s="6" t="s">
        <v>138</v>
      </c>
      <c r="O1336" s="6" t="s">
        <v>139</v>
      </c>
      <c r="P1336" s="19">
        <v>0</v>
      </c>
    </row>
    <row r="1337" spans="12:16" ht="15.75" customHeight="1" x14ac:dyDescent="0.3">
      <c r="L1337" s="6" t="s">
        <v>178</v>
      </c>
      <c r="M1337" s="6" t="s">
        <v>365</v>
      </c>
      <c r="N1337" s="6" t="s">
        <v>30</v>
      </c>
      <c r="O1337" s="6" t="s">
        <v>148</v>
      </c>
      <c r="P1337" s="17">
        <v>63.534399999999998</v>
      </c>
    </row>
    <row r="1338" spans="12:16" ht="15.75" customHeight="1" x14ac:dyDescent="0.3">
      <c r="L1338" s="6" t="s">
        <v>178</v>
      </c>
      <c r="M1338" s="6" t="s">
        <v>365</v>
      </c>
      <c r="N1338" s="6" t="s">
        <v>156</v>
      </c>
      <c r="O1338" s="6" t="s">
        <v>157</v>
      </c>
      <c r="P1338" s="19">
        <v>1</v>
      </c>
    </row>
    <row r="1339" spans="12:16" ht="15.75" customHeight="1" x14ac:dyDescent="0.3">
      <c r="L1339" s="6" t="s">
        <v>178</v>
      </c>
      <c r="M1339" s="6" t="s">
        <v>365</v>
      </c>
      <c r="N1339" s="6" t="s">
        <v>158</v>
      </c>
      <c r="O1339" s="6" t="s">
        <v>159</v>
      </c>
      <c r="P1339" s="19">
        <v>2</v>
      </c>
    </row>
    <row r="1340" spans="12:16" ht="15.75" customHeight="1" x14ac:dyDescent="0.3">
      <c r="L1340" s="6" t="s">
        <v>178</v>
      </c>
      <c r="M1340" s="6" t="s">
        <v>365</v>
      </c>
      <c r="N1340" s="6" t="s">
        <v>160</v>
      </c>
      <c r="O1340" s="6" t="s">
        <v>161</v>
      </c>
      <c r="P1340" s="19">
        <v>3</v>
      </c>
    </row>
    <row r="1341" spans="12:16" ht="15.75" customHeight="1" x14ac:dyDescent="0.3">
      <c r="L1341" s="6" t="s">
        <v>178</v>
      </c>
      <c r="M1341" s="6" t="s">
        <v>365</v>
      </c>
      <c r="N1341" s="6" t="s">
        <v>162</v>
      </c>
      <c r="O1341" s="6" t="s">
        <v>163</v>
      </c>
      <c r="P1341" s="19">
        <v>0</v>
      </c>
    </row>
    <row r="1342" spans="12:16" ht="15.75" customHeight="1" x14ac:dyDescent="0.3">
      <c r="L1342" s="6" t="s">
        <v>178</v>
      </c>
      <c r="M1342" s="6" t="s">
        <v>365</v>
      </c>
      <c r="N1342" s="6" t="s">
        <v>165</v>
      </c>
      <c r="O1342" s="6" t="s">
        <v>166</v>
      </c>
      <c r="P1342" s="19">
        <v>2</v>
      </c>
    </row>
    <row r="1343" spans="12:16" ht="15.75" customHeight="1" x14ac:dyDescent="0.3">
      <c r="L1343" s="6" t="s">
        <v>178</v>
      </c>
      <c r="M1343" s="6" t="s">
        <v>363</v>
      </c>
      <c r="N1343" s="6" t="s">
        <v>72</v>
      </c>
      <c r="O1343" s="6" t="s">
        <v>75</v>
      </c>
      <c r="P1343" s="19">
        <v>2</v>
      </c>
    </row>
    <row r="1344" spans="12:16" ht="15.75" customHeight="1" x14ac:dyDescent="0.3">
      <c r="L1344" s="6" t="s">
        <v>178</v>
      </c>
      <c r="M1344" s="6" t="s">
        <v>363</v>
      </c>
      <c r="N1344" s="6" t="s">
        <v>83</v>
      </c>
      <c r="O1344" s="6" t="s">
        <v>84</v>
      </c>
      <c r="P1344" s="19">
        <v>1</v>
      </c>
    </row>
    <row r="1345" spans="12:16" ht="15.75" customHeight="1" x14ac:dyDescent="0.3">
      <c r="L1345" s="6" t="s">
        <v>178</v>
      </c>
      <c r="M1345" s="6" t="s">
        <v>363</v>
      </c>
      <c r="N1345" s="6" t="s">
        <v>88</v>
      </c>
      <c r="O1345" s="6" t="s">
        <v>90</v>
      </c>
      <c r="P1345" s="19">
        <v>1</v>
      </c>
    </row>
    <row r="1346" spans="12:16" ht="15.75" customHeight="1" x14ac:dyDescent="0.3">
      <c r="L1346" s="6" t="s">
        <v>178</v>
      </c>
      <c r="M1346" s="6" t="s">
        <v>363</v>
      </c>
      <c r="N1346" s="6" t="s">
        <v>96</v>
      </c>
      <c r="O1346" s="6" t="s">
        <v>97</v>
      </c>
      <c r="P1346" s="19">
        <v>2</v>
      </c>
    </row>
    <row r="1347" spans="12:16" ht="15.75" customHeight="1" x14ac:dyDescent="0.3">
      <c r="L1347" s="6" t="s">
        <v>178</v>
      </c>
      <c r="M1347" s="6" t="s">
        <v>363</v>
      </c>
      <c r="N1347" s="6" t="s">
        <v>100</v>
      </c>
      <c r="O1347" s="6" t="s">
        <v>101</v>
      </c>
      <c r="P1347" s="19">
        <v>0</v>
      </c>
    </row>
    <row r="1348" spans="12:16" ht="15.75" customHeight="1" x14ac:dyDescent="0.3">
      <c r="L1348" s="6" t="s">
        <v>178</v>
      </c>
      <c r="M1348" s="6" t="s">
        <v>363</v>
      </c>
      <c r="N1348" s="6" t="s">
        <v>22</v>
      </c>
      <c r="O1348" s="6" t="s">
        <v>104</v>
      </c>
      <c r="P1348" s="17">
        <v>5.25</v>
      </c>
    </row>
    <row r="1349" spans="12:16" ht="15.75" customHeight="1" x14ac:dyDescent="0.3">
      <c r="L1349" s="6" t="s">
        <v>178</v>
      </c>
      <c r="M1349" s="6" t="s">
        <v>363</v>
      </c>
      <c r="N1349" s="6" t="s">
        <v>23</v>
      </c>
      <c r="O1349" s="6" t="s">
        <v>107</v>
      </c>
      <c r="P1349" s="17">
        <v>348.69</v>
      </c>
    </row>
    <row r="1350" spans="12:16" ht="15.75" customHeight="1" x14ac:dyDescent="0.3">
      <c r="L1350" s="6" t="s">
        <v>178</v>
      </c>
      <c r="M1350" s="6" t="s">
        <v>363</v>
      </c>
      <c r="N1350" s="6" t="s">
        <v>24</v>
      </c>
      <c r="O1350" s="6" t="s">
        <v>109</v>
      </c>
      <c r="P1350" s="17">
        <v>1.6500000000000001E-2</v>
      </c>
    </row>
    <row r="1351" spans="12:16" ht="15.75" customHeight="1" x14ac:dyDescent="0.3">
      <c r="L1351" s="6" t="s">
        <v>178</v>
      </c>
      <c r="M1351" s="6" t="s">
        <v>363</v>
      </c>
      <c r="N1351" s="6" t="s">
        <v>25</v>
      </c>
      <c r="O1351" s="6" t="s">
        <v>111</v>
      </c>
      <c r="P1351" s="19">
        <v>17</v>
      </c>
    </row>
    <row r="1352" spans="12:16" ht="15.75" customHeight="1" x14ac:dyDescent="0.3">
      <c r="L1352" s="6" t="s">
        <v>178</v>
      </c>
      <c r="M1352" s="6" t="s">
        <v>363</v>
      </c>
      <c r="N1352" s="6" t="s">
        <v>26</v>
      </c>
      <c r="O1352" s="6" t="s">
        <v>113</v>
      </c>
      <c r="P1352" s="19">
        <v>15</v>
      </c>
    </row>
    <row r="1353" spans="12:16" ht="15.75" customHeight="1" x14ac:dyDescent="0.3">
      <c r="L1353" s="6" t="s">
        <v>178</v>
      </c>
      <c r="M1353" s="6" t="s">
        <v>363</v>
      </c>
      <c r="N1353" s="6" t="s">
        <v>27</v>
      </c>
      <c r="O1353" s="6" t="s">
        <v>117</v>
      </c>
      <c r="P1353" s="17">
        <v>66.417100000000005</v>
      </c>
    </row>
    <row r="1354" spans="12:16" ht="15.75" customHeight="1" x14ac:dyDescent="0.3">
      <c r="L1354" s="6" t="s">
        <v>178</v>
      </c>
      <c r="M1354" s="6" t="s">
        <v>363</v>
      </c>
      <c r="N1354" s="6" t="s">
        <v>29</v>
      </c>
      <c r="O1354" s="6" t="s">
        <v>125</v>
      </c>
      <c r="P1354" s="19">
        <v>8</v>
      </c>
    </row>
    <row r="1355" spans="12:16" ht="15.75" customHeight="1" x14ac:dyDescent="0.3">
      <c r="L1355" s="6" t="s">
        <v>178</v>
      </c>
      <c r="M1355" s="6" t="s">
        <v>363</v>
      </c>
      <c r="N1355" s="6" t="s">
        <v>135</v>
      </c>
      <c r="O1355" s="6" t="s">
        <v>136</v>
      </c>
      <c r="P1355" s="19">
        <v>1</v>
      </c>
    </row>
    <row r="1356" spans="12:16" ht="15.75" customHeight="1" x14ac:dyDescent="0.3">
      <c r="L1356" s="6" t="s">
        <v>178</v>
      </c>
      <c r="M1356" s="6" t="s">
        <v>363</v>
      </c>
      <c r="N1356" s="6" t="s">
        <v>138</v>
      </c>
      <c r="O1356" s="6" t="s">
        <v>139</v>
      </c>
      <c r="P1356" s="19">
        <v>1</v>
      </c>
    </row>
    <row r="1357" spans="12:16" ht="15.75" customHeight="1" x14ac:dyDescent="0.3">
      <c r="L1357" s="6" t="s">
        <v>178</v>
      </c>
      <c r="M1357" s="6" t="s">
        <v>363</v>
      </c>
      <c r="N1357" s="6" t="s">
        <v>30</v>
      </c>
      <c r="O1357" s="6" t="s">
        <v>148</v>
      </c>
      <c r="P1357" s="17">
        <v>67.411799999999999</v>
      </c>
    </row>
    <row r="1358" spans="12:16" ht="15.75" customHeight="1" x14ac:dyDescent="0.3">
      <c r="L1358" s="6" t="s">
        <v>178</v>
      </c>
      <c r="M1358" s="6" t="s">
        <v>363</v>
      </c>
      <c r="N1358" s="6" t="s">
        <v>156</v>
      </c>
      <c r="O1358" s="6" t="s">
        <v>157</v>
      </c>
      <c r="P1358" s="19">
        <v>0</v>
      </c>
    </row>
    <row r="1359" spans="12:16" ht="15.75" customHeight="1" x14ac:dyDescent="0.3">
      <c r="L1359" s="6" t="s">
        <v>178</v>
      </c>
      <c r="M1359" s="6" t="s">
        <v>363</v>
      </c>
      <c r="N1359" s="6" t="s">
        <v>158</v>
      </c>
      <c r="O1359" s="6" t="s">
        <v>159</v>
      </c>
      <c r="P1359" s="19">
        <v>3</v>
      </c>
    </row>
    <row r="1360" spans="12:16" ht="15.75" customHeight="1" x14ac:dyDescent="0.3">
      <c r="L1360" s="6" t="s">
        <v>178</v>
      </c>
      <c r="M1360" s="6" t="s">
        <v>363</v>
      </c>
      <c r="N1360" s="6" t="s">
        <v>160</v>
      </c>
      <c r="O1360" s="6" t="s">
        <v>161</v>
      </c>
      <c r="P1360" s="19">
        <v>3</v>
      </c>
    </row>
    <row r="1361" spans="12:16" ht="15.75" customHeight="1" x14ac:dyDescent="0.3">
      <c r="L1361" s="6" t="s">
        <v>178</v>
      </c>
      <c r="M1361" s="6" t="s">
        <v>363</v>
      </c>
      <c r="N1361" s="6" t="s">
        <v>162</v>
      </c>
      <c r="O1361" s="6" t="s">
        <v>163</v>
      </c>
      <c r="P1361" s="19">
        <v>1</v>
      </c>
    </row>
    <row r="1362" spans="12:16" ht="15.75" customHeight="1" x14ac:dyDescent="0.3">
      <c r="L1362" s="6" t="s">
        <v>178</v>
      </c>
      <c r="M1362" s="6" t="s">
        <v>363</v>
      </c>
      <c r="N1362" s="6" t="s">
        <v>165</v>
      </c>
      <c r="O1362" s="6" t="s">
        <v>166</v>
      </c>
      <c r="P1362" s="19">
        <v>1</v>
      </c>
    </row>
    <row r="1363" spans="12:16" ht="15.75" customHeight="1" x14ac:dyDescent="0.3">
      <c r="L1363" s="6" t="s">
        <v>180</v>
      </c>
      <c r="M1363" s="6" t="s">
        <v>369</v>
      </c>
      <c r="N1363" s="6" t="s">
        <v>72</v>
      </c>
      <c r="O1363" s="6" t="s">
        <v>75</v>
      </c>
      <c r="P1363" s="19">
        <v>0</v>
      </c>
    </row>
    <row r="1364" spans="12:16" ht="15.75" customHeight="1" x14ac:dyDescent="0.3">
      <c r="L1364" s="6" t="s">
        <v>180</v>
      </c>
      <c r="M1364" s="6" t="s">
        <v>369</v>
      </c>
      <c r="N1364" s="6" t="s">
        <v>83</v>
      </c>
      <c r="O1364" s="6" t="s">
        <v>84</v>
      </c>
      <c r="P1364" s="19">
        <v>0</v>
      </c>
    </row>
    <row r="1365" spans="12:16" ht="15.75" customHeight="1" x14ac:dyDescent="0.3">
      <c r="L1365" s="6" t="s">
        <v>180</v>
      </c>
      <c r="M1365" s="6" t="s">
        <v>369</v>
      </c>
      <c r="N1365" s="6" t="s">
        <v>88</v>
      </c>
      <c r="O1365" s="6" t="s">
        <v>90</v>
      </c>
      <c r="P1365" s="19">
        <v>0</v>
      </c>
    </row>
    <row r="1366" spans="12:16" ht="15.75" customHeight="1" x14ac:dyDescent="0.3">
      <c r="L1366" s="6" t="s">
        <v>180</v>
      </c>
      <c r="M1366" s="6" t="s">
        <v>369</v>
      </c>
      <c r="N1366" s="6" t="s">
        <v>96</v>
      </c>
      <c r="O1366" s="6" t="s">
        <v>97</v>
      </c>
      <c r="P1366" s="19">
        <v>0</v>
      </c>
    </row>
    <row r="1367" spans="12:16" ht="15.75" customHeight="1" x14ac:dyDescent="0.3">
      <c r="L1367" s="6" t="s">
        <v>180</v>
      </c>
      <c r="M1367" s="6" t="s">
        <v>369</v>
      </c>
      <c r="N1367" s="6" t="s">
        <v>100</v>
      </c>
      <c r="O1367" s="6" t="s">
        <v>101</v>
      </c>
      <c r="P1367" s="19">
        <v>0</v>
      </c>
    </row>
    <row r="1368" spans="12:16" ht="15.75" customHeight="1" x14ac:dyDescent="0.3">
      <c r="L1368" s="6" t="s">
        <v>180</v>
      </c>
      <c r="M1368" s="6" t="s">
        <v>369</v>
      </c>
      <c r="N1368" s="6" t="s">
        <v>22</v>
      </c>
      <c r="O1368" s="6" t="s">
        <v>104</v>
      </c>
      <c r="P1368" s="19">
        <v>0</v>
      </c>
    </row>
    <row r="1369" spans="12:16" ht="15.75" customHeight="1" x14ac:dyDescent="0.3">
      <c r="L1369" s="6" t="s">
        <v>180</v>
      </c>
      <c r="M1369" s="6" t="s">
        <v>369</v>
      </c>
      <c r="N1369" s="6" t="s">
        <v>23</v>
      </c>
      <c r="O1369" s="6" t="s">
        <v>107</v>
      </c>
      <c r="P1369" s="19">
        <v>0</v>
      </c>
    </row>
    <row r="1370" spans="12:16" ht="15.75" customHeight="1" x14ac:dyDescent="0.3">
      <c r="L1370" s="6" t="s">
        <v>180</v>
      </c>
      <c r="M1370" s="6" t="s">
        <v>369</v>
      </c>
      <c r="N1370" s="6" t="s">
        <v>24</v>
      </c>
      <c r="O1370" s="6" t="s">
        <v>109</v>
      </c>
      <c r="P1370" s="19">
        <v>0</v>
      </c>
    </row>
    <row r="1371" spans="12:16" ht="15.75" customHeight="1" x14ac:dyDescent="0.3">
      <c r="L1371" s="6" t="s">
        <v>180</v>
      </c>
      <c r="M1371" s="6" t="s">
        <v>369</v>
      </c>
      <c r="N1371" s="6" t="s">
        <v>25</v>
      </c>
      <c r="O1371" s="6" t="s">
        <v>111</v>
      </c>
      <c r="P1371" s="19">
        <v>1</v>
      </c>
    </row>
    <row r="1372" spans="12:16" ht="15.75" customHeight="1" x14ac:dyDescent="0.3">
      <c r="L1372" s="6" t="s">
        <v>180</v>
      </c>
      <c r="M1372" s="6" t="s">
        <v>369</v>
      </c>
      <c r="N1372" s="6" t="s">
        <v>26</v>
      </c>
      <c r="O1372" s="6" t="s">
        <v>113</v>
      </c>
      <c r="P1372" s="19">
        <v>1</v>
      </c>
    </row>
    <row r="1373" spans="12:16" ht="15.75" customHeight="1" x14ac:dyDescent="0.3">
      <c r="L1373" s="6" t="s">
        <v>180</v>
      </c>
      <c r="M1373" s="6" t="s">
        <v>369</v>
      </c>
      <c r="N1373" s="6" t="s">
        <v>27</v>
      </c>
      <c r="O1373" s="6" t="s">
        <v>117</v>
      </c>
      <c r="P1373" s="19">
        <v>0</v>
      </c>
    </row>
    <row r="1374" spans="12:16" ht="15.75" customHeight="1" x14ac:dyDescent="0.3">
      <c r="L1374" s="6" t="s">
        <v>180</v>
      </c>
      <c r="M1374" s="6" t="s">
        <v>369</v>
      </c>
      <c r="N1374" s="6" t="s">
        <v>29</v>
      </c>
      <c r="O1374" s="6" t="s">
        <v>125</v>
      </c>
      <c r="P1374" s="19">
        <v>1</v>
      </c>
    </row>
    <row r="1375" spans="12:16" ht="15.75" customHeight="1" x14ac:dyDescent="0.3">
      <c r="L1375" s="6" t="s">
        <v>180</v>
      </c>
      <c r="M1375" s="6" t="s">
        <v>369</v>
      </c>
      <c r="N1375" s="6" t="s">
        <v>135</v>
      </c>
      <c r="O1375" s="6" t="s">
        <v>136</v>
      </c>
      <c r="P1375" s="19">
        <v>0</v>
      </c>
    </row>
    <row r="1376" spans="12:16" ht="15.75" customHeight="1" x14ac:dyDescent="0.3">
      <c r="L1376" s="6" t="s">
        <v>180</v>
      </c>
      <c r="M1376" s="6" t="s">
        <v>369</v>
      </c>
      <c r="N1376" s="6" t="s">
        <v>138</v>
      </c>
      <c r="O1376" s="6" t="s">
        <v>139</v>
      </c>
      <c r="P1376" s="19">
        <v>0</v>
      </c>
    </row>
    <row r="1377" spans="12:16" ht="15.75" customHeight="1" x14ac:dyDescent="0.3">
      <c r="L1377" s="6" t="s">
        <v>180</v>
      </c>
      <c r="M1377" s="6" t="s">
        <v>369</v>
      </c>
      <c r="N1377" s="6" t="s">
        <v>30</v>
      </c>
      <c r="O1377" s="6" t="s">
        <v>148</v>
      </c>
      <c r="P1377" s="25" t="s">
        <v>173</v>
      </c>
    </row>
    <row r="1378" spans="12:16" ht="15.75" customHeight="1" x14ac:dyDescent="0.3">
      <c r="L1378" s="6" t="s">
        <v>180</v>
      </c>
      <c r="M1378" s="6" t="s">
        <v>369</v>
      </c>
      <c r="N1378" s="6" t="s">
        <v>156</v>
      </c>
      <c r="O1378" s="6" t="s">
        <v>157</v>
      </c>
      <c r="P1378" s="19">
        <v>0</v>
      </c>
    </row>
    <row r="1379" spans="12:16" ht="15.75" customHeight="1" x14ac:dyDescent="0.3">
      <c r="L1379" s="6" t="s">
        <v>180</v>
      </c>
      <c r="M1379" s="6" t="s">
        <v>369</v>
      </c>
      <c r="N1379" s="6" t="s">
        <v>158</v>
      </c>
      <c r="O1379" s="6" t="s">
        <v>159</v>
      </c>
      <c r="P1379" s="19">
        <v>1</v>
      </c>
    </row>
    <row r="1380" spans="12:16" ht="15.75" customHeight="1" x14ac:dyDescent="0.3">
      <c r="L1380" s="6" t="s">
        <v>180</v>
      </c>
      <c r="M1380" s="6" t="s">
        <v>369</v>
      </c>
      <c r="N1380" s="6" t="s">
        <v>160</v>
      </c>
      <c r="O1380" s="6" t="s">
        <v>161</v>
      </c>
      <c r="P1380" s="19">
        <v>0</v>
      </c>
    </row>
    <row r="1381" spans="12:16" ht="15.75" customHeight="1" x14ac:dyDescent="0.3">
      <c r="L1381" s="6" t="s">
        <v>180</v>
      </c>
      <c r="M1381" s="6" t="s">
        <v>369</v>
      </c>
      <c r="N1381" s="6" t="s">
        <v>162</v>
      </c>
      <c r="O1381" s="6" t="s">
        <v>163</v>
      </c>
      <c r="P1381" s="19">
        <v>0</v>
      </c>
    </row>
    <row r="1382" spans="12:16" ht="15.75" customHeight="1" x14ac:dyDescent="0.3">
      <c r="L1382" s="6" t="s">
        <v>180</v>
      </c>
      <c r="M1382" s="6" t="s">
        <v>369</v>
      </c>
      <c r="N1382" s="6" t="s">
        <v>165</v>
      </c>
      <c r="O1382" s="6" t="s">
        <v>166</v>
      </c>
      <c r="P1382" s="19">
        <v>0</v>
      </c>
    </row>
    <row r="1383" spans="12:16" ht="15.75" customHeight="1" x14ac:dyDescent="0.3">
      <c r="L1383" s="6" t="s">
        <v>180</v>
      </c>
      <c r="M1383" s="6" t="s">
        <v>297</v>
      </c>
      <c r="N1383" s="6" t="s">
        <v>72</v>
      </c>
      <c r="O1383" s="6" t="s">
        <v>75</v>
      </c>
      <c r="P1383" s="19">
        <v>4</v>
      </c>
    </row>
    <row r="1384" spans="12:16" ht="15.75" customHeight="1" x14ac:dyDescent="0.3">
      <c r="L1384" s="6" t="s">
        <v>180</v>
      </c>
      <c r="M1384" s="6" t="s">
        <v>297</v>
      </c>
      <c r="N1384" s="6" t="s">
        <v>83</v>
      </c>
      <c r="O1384" s="6" t="s">
        <v>84</v>
      </c>
      <c r="P1384" s="19">
        <v>1</v>
      </c>
    </row>
    <row r="1385" spans="12:16" ht="15.75" customHeight="1" x14ac:dyDescent="0.3">
      <c r="L1385" s="6" t="s">
        <v>180</v>
      </c>
      <c r="M1385" s="6" t="s">
        <v>297</v>
      </c>
      <c r="N1385" s="6" t="s">
        <v>88</v>
      </c>
      <c r="O1385" s="6" t="s">
        <v>90</v>
      </c>
      <c r="P1385" s="17">
        <v>0.36359999999999998</v>
      </c>
    </row>
    <row r="1386" spans="12:16" ht="15.75" customHeight="1" x14ac:dyDescent="0.3">
      <c r="L1386" s="6" t="s">
        <v>180</v>
      </c>
      <c r="M1386" s="6" t="s">
        <v>297</v>
      </c>
      <c r="N1386" s="6" t="s">
        <v>96</v>
      </c>
      <c r="O1386" s="6" t="s">
        <v>97</v>
      </c>
      <c r="P1386" s="19">
        <v>10</v>
      </c>
    </row>
    <row r="1387" spans="12:16" ht="15.75" customHeight="1" x14ac:dyDescent="0.3">
      <c r="L1387" s="6" t="s">
        <v>180</v>
      </c>
      <c r="M1387" s="6" t="s">
        <v>297</v>
      </c>
      <c r="N1387" s="6" t="s">
        <v>100</v>
      </c>
      <c r="O1387" s="6" t="s">
        <v>101</v>
      </c>
      <c r="P1387" s="19">
        <v>0</v>
      </c>
    </row>
    <row r="1388" spans="12:16" ht="15.75" customHeight="1" x14ac:dyDescent="0.3">
      <c r="L1388" s="6" t="s">
        <v>180</v>
      </c>
      <c r="M1388" s="6" t="s">
        <v>297</v>
      </c>
      <c r="N1388" s="6" t="s">
        <v>22</v>
      </c>
      <c r="O1388" s="6" t="s">
        <v>104</v>
      </c>
      <c r="P1388" s="17">
        <v>18.529399999999999</v>
      </c>
    </row>
    <row r="1389" spans="12:16" ht="15.75" customHeight="1" x14ac:dyDescent="0.3">
      <c r="L1389" s="6" t="s">
        <v>180</v>
      </c>
      <c r="M1389" s="6" t="s">
        <v>297</v>
      </c>
      <c r="N1389" s="6" t="s">
        <v>23</v>
      </c>
      <c r="O1389" s="6" t="s">
        <v>107</v>
      </c>
      <c r="P1389" s="17">
        <v>5639.9786000000004</v>
      </c>
    </row>
    <row r="1390" spans="12:16" ht="15.75" customHeight="1" x14ac:dyDescent="0.3">
      <c r="L1390" s="6" t="s">
        <v>180</v>
      </c>
      <c r="M1390" s="6" t="s">
        <v>297</v>
      </c>
      <c r="N1390" s="6" t="s">
        <v>24</v>
      </c>
      <c r="O1390" s="6" t="s">
        <v>109</v>
      </c>
      <c r="P1390" s="17">
        <v>0.1056</v>
      </c>
    </row>
    <row r="1391" spans="12:16" ht="15.75" customHeight="1" x14ac:dyDescent="0.3">
      <c r="L1391" s="6" t="s">
        <v>180</v>
      </c>
      <c r="M1391" s="6" t="s">
        <v>297</v>
      </c>
      <c r="N1391" s="6" t="s">
        <v>25</v>
      </c>
      <c r="O1391" s="6" t="s">
        <v>111</v>
      </c>
      <c r="P1391" s="19">
        <v>58</v>
      </c>
    </row>
    <row r="1392" spans="12:16" ht="15.75" customHeight="1" x14ac:dyDescent="0.3">
      <c r="L1392" s="6" t="s">
        <v>180</v>
      </c>
      <c r="M1392" s="6" t="s">
        <v>297</v>
      </c>
      <c r="N1392" s="6" t="s">
        <v>26</v>
      </c>
      <c r="O1392" s="6" t="s">
        <v>113</v>
      </c>
      <c r="P1392" s="19">
        <v>38</v>
      </c>
    </row>
    <row r="1393" spans="12:16" ht="15.75" customHeight="1" x14ac:dyDescent="0.3">
      <c r="L1393" s="6" t="s">
        <v>180</v>
      </c>
      <c r="M1393" s="6" t="s">
        <v>297</v>
      </c>
      <c r="N1393" s="6" t="s">
        <v>27</v>
      </c>
      <c r="O1393" s="6" t="s">
        <v>117</v>
      </c>
      <c r="P1393" s="17">
        <v>304.37979999999999</v>
      </c>
    </row>
    <row r="1394" spans="12:16" ht="15.75" customHeight="1" x14ac:dyDescent="0.3">
      <c r="L1394" s="6" t="s">
        <v>180</v>
      </c>
      <c r="M1394" s="6" t="s">
        <v>297</v>
      </c>
      <c r="N1394" s="6" t="s">
        <v>29</v>
      </c>
      <c r="O1394" s="6" t="s">
        <v>125</v>
      </c>
      <c r="P1394" s="19">
        <v>19</v>
      </c>
    </row>
    <row r="1395" spans="12:16" ht="15.75" customHeight="1" x14ac:dyDescent="0.3">
      <c r="L1395" s="6" t="s">
        <v>180</v>
      </c>
      <c r="M1395" s="6" t="s">
        <v>297</v>
      </c>
      <c r="N1395" s="6" t="s">
        <v>135</v>
      </c>
      <c r="O1395" s="6" t="s">
        <v>136</v>
      </c>
      <c r="P1395" s="19">
        <v>0</v>
      </c>
    </row>
    <row r="1396" spans="12:16" ht="15.75" customHeight="1" x14ac:dyDescent="0.3">
      <c r="L1396" s="6" t="s">
        <v>180</v>
      </c>
      <c r="M1396" s="6" t="s">
        <v>297</v>
      </c>
      <c r="N1396" s="6" t="s">
        <v>138</v>
      </c>
      <c r="O1396" s="6" t="s">
        <v>139</v>
      </c>
      <c r="P1396" s="19">
        <v>2</v>
      </c>
    </row>
    <row r="1397" spans="12:16" ht="15.75" customHeight="1" x14ac:dyDescent="0.3">
      <c r="L1397" s="6" t="s">
        <v>180</v>
      </c>
      <c r="M1397" s="6" t="s">
        <v>297</v>
      </c>
      <c r="N1397" s="6" t="s">
        <v>30</v>
      </c>
      <c r="O1397" s="6" t="s">
        <v>148</v>
      </c>
      <c r="P1397" s="17">
        <v>54.503700000000002</v>
      </c>
    </row>
    <row r="1398" spans="12:16" ht="15.75" customHeight="1" x14ac:dyDescent="0.3">
      <c r="L1398" s="6" t="s">
        <v>180</v>
      </c>
      <c r="M1398" s="6" t="s">
        <v>297</v>
      </c>
      <c r="N1398" s="6" t="s">
        <v>156</v>
      </c>
      <c r="O1398" s="6" t="s">
        <v>157</v>
      </c>
      <c r="P1398" s="19">
        <v>2</v>
      </c>
    </row>
    <row r="1399" spans="12:16" ht="15.75" customHeight="1" x14ac:dyDescent="0.3">
      <c r="L1399" s="6" t="s">
        <v>180</v>
      </c>
      <c r="M1399" s="6" t="s">
        <v>297</v>
      </c>
      <c r="N1399" s="6" t="s">
        <v>158</v>
      </c>
      <c r="O1399" s="6" t="s">
        <v>159</v>
      </c>
      <c r="P1399" s="19">
        <v>5</v>
      </c>
    </row>
    <row r="1400" spans="12:16" ht="15.75" customHeight="1" x14ac:dyDescent="0.3">
      <c r="L1400" s="6" t="s">
        <v>180</v>
      </c>
      <c r="M1400" s="6" t="s">
        <v>297</v>
      </c>
      <c r="N1400" s="6" t="s">
        <v>160</v>
      </c>
      <c r="O1400" s="6" t="s">
        <v>161</v>
      </c>
      <c r="P1400" s="19">
        <v>10</v>
      </c>
    </row>
    <row r="1401" spans="12:16" ht="15.75" customHeight="1" x14ac:dyDescent="0.3">
      <c r="L1401" s="6" t="s">
        <v>180</v>
      </c>
      <c r="M1401" s="6" t="s">
        <v>297</v>
      </c>
      <c r="N1401" s="6" t="s">
        <v>162</v>
      </c>
      <c r="O1401" s="6" t="s">
        <v>163</v>
      </c>
      <c r="P1401" s="19">
        <v>2</v>
      </c>
    </row>
    <row r="1402" spans="12:16" ht="15.75" customHeight="1" x14ac:dyDescent="0.3">
      <c r="L1402" s="6" t="s">
        <v>180</v>
      </c>
      <c r="M1402" s="6" t="s">
        <v>297</v>
      </c>
      <c r="N1402" s="6" t="s">
        <v>165</v>
      </c>
      <c r="O1402" s="6" t="s">
        <v>166</v>
      </c>
      <c r="P1402" s="19">
        <v>3</v>
      </c>
    </row>
    <row r="1403" spans="12:16" ht="15.75" customHeight="1" x14ac:dyDescent="0.3">
      <c r="L1403" s="6" t="s">
        <v>180</v>
      </c>
      <c r="M1403" s="6" t="s">
        <v>302</v>
      </c>
      <c r="N1403" s="6" t="s">
        <v>72</v>
      </c>
      <c r="O1403" s="6" t="s">
        <v>75</v>
      </c>
      <c r="P1403" s="19">
        <v>4</v>
      </c>
    </row>
    <row r="1404" spans="12:16" ht="15.75" customHeight="1" x14ac:dyDescent="0.3">
      <c r="L1404" s="6" t="s">
        <v>180</v>
      </c>
      <c r="M1404" s="6" t="s">
        <v>302</v>
      </c>
      <c r="N1404" s="6" t="s">
        <v>83</v>
      </c>
      <c r="O1404" s="6" t="s">
        <v>84</v>
      </c>
      <c r="P1404" s="19">
        <v>1</v>
      </c>
    </row>
    <row r="1405" spans="12:16" ht="15.75" customHeight="1" x14ac:dyDescent="0.3">
      <c r="L1405" s="6" t="s">
        <v>180</v>
      </c>
      <c r="M1405" s="6" t="s">
        <v>302</v>
      </c>
      <c r="N1405" s="6" t="s">
        <v>88</v>
      </c>
      <c r="O1405" s="6" t="s">
        <v>90</v>
      </c>
      <c r="P1405" s="17">
        <v>0.4</v>
      </c>
    </row>
    <row r="1406" spans="12:16" ht="15.75" customHeight="1" x14ac:dyDescent="0.3">
      <c r="L1406" s="6" t="s">
        <v>180</v>
      </c>
      <c r="M1406" s="6" t="s">
        <v>302</v>
      </c>
      <c r="N1406" s="6" t="s">
        <v>96</v>
      </c>
      <c r="O1406" s="6" t="s">
        <v>97</v>
      </c>
      <c r="P1406" s="19">
        <v>5</v>
      </c>
    </row>
    <row r="1407" spans="12:16" ht="15.75" customHeight="1" x14ac:dyDescent="0.3">
      <c r="L1407" s="6" t="s">
        <v>180</v>
      </c>
      <c r="M1407" s="6" t="s">
        <v>302</v>
      </c>
      <c r="N1407" s="6" t="s">
        <v>100</v>
      </c>
      <c r="O1407" s="6" t="s">
        <v>101</v>
      </c>
      <c r="P1407" s="19">
        <v>1</v>
      </c>
    </row>
    <row r="1408" spans="12:16" ht="15.75" customHeight="1" x14ac:dyDescent="0.3">
      <c r="L1408" s="6" t="s">
        <v>180</v>
      </c>
      <c r="M1408" s="6" t="s">
        <v>302</v>
      </c>
      <c r="N1408" s="6" t="s">
        <v>22</v>
      </c>
      <c r="O1408" s="6" t="s">
        <v>104</v>
      </c>
      <c r="P1408" s="19">
        <v>9</v>
      </c>
    </row>
    <row r="1409" spans="12:16" ht="15.75" customHeight="1" x14ac:dyDescent="0.3">
      <c r="L1409" s="6" t="s">
        <v>180</v>
      </c>
      <c r="M1409" s="6" t="s">
        <v>302</v>
      </c>
      <c r="N1409" s="6" t="s">
        <v>23</v>
      </c>
      <c r="O1409" s="6" t="s">
        <v>107</v>
      </c>
      <c r="P1409" s="17">
        <v>1364.5861</v>
      </c>
    </row>
    <row r="1410" spans="12:16" ht="15.75" customHeight="1" x14ac:dyDescent="0.3">
      <c r="L1410" s="6" t="s">
        <v>180</v>
      </c>
      <c r="M1410" s="6" t="s">
        <v>302</v>
      </c>
      <c r="N1410" s="6" t="s">
        <v>24</v>
      </c>
      <c r="O1410" s="6" t="s">
        <v>109</v>
      </c>
      <c r="P1410" s="17">
        <v>4.1000000000000002E-2</v>
      </c>
    </row>
    <row r="1411" spans="12:16" ht="15.75" customHeight="1" x14ac:dyDescent="0.3">
      <c r="L1411" s="6" t="s">
        <v>180</v>
      </c>
      <c r="M1411" s="6" t="s">
        <v>302</v>
      </c>
      <c r="N1411" s="6" t="s">
        <v>25</v>
      </c>
      <c r="O1411" s="6" t="s">
        <v>111</v>
      </c>
      <c r="P1411" s="19">
        <v>34</v>
      </c>
    </row>
    <row r="1412" spans="12:16" ht="15.75" customHeight="1" x14ac:dyDescent="0.3">
      <c r="L1412" s="6" t="s">
        <v>180</v>
      </c>
      <c r="M1412" s="6" t="s">
        <v>302</v>
      </c>
      <c r="N1412" s="6" t="s">
        <v>26</v>
      </c>
      <c r="O1412" s="6" t="s">
        <v>113</v>
      </c>
      <c r="P1412" s="19">
        <v>22</v>
      </c>
    </row>
    <row r="1413" spans="12:16" ht="15.75" customHeight="1" x14ac:dyDescent="0.3">
      <c r="L1413" s="6" t="s">
        <v>180</v>
      </c>
      <c r="M1413" s="6" t="s">
        <v>302</v>
      </c>
      <c r="N1413" s="6" t="s">
        <v>27</v>
      </c>
      <c r="O1413" s="6" t="s">
        <v>117</v>
      </c>
      <c r="P1413" s="17">
        <v>151.6207</v>
      </c>
    </row>
    <row r="1414" spans="12:16" ht="15.75" customHeight="1" x14ac:dyDescent="0.3">
      <c r="L1414" s="6" t="s">
        <v>180</v>
      </c>
      <c r="M1414" s="6" t="s">
        <v>302</v>
      </c>
      <c r="N1414" s="6" t="s">
        <v>29</v>
      </c>
      <c r="O1414" s="6" t="s">
        <v>125</v>
      </c>
      <c r="P1414" s="19">
        <v>14</v>
      </c>
    </row>
    <row r="1415" spans="12:16" ht="15.75" customHeight="1" x14ac:dyDescent="0.3">
      <c r="L1415" s="6" t="s">
        <v>180</v>
      </c>
      <c r="M1415" s="6" t="s">
        <v>302</v>
      </c>
      <c r="N1415" s="6" t="s">
        <v>135</v>
      </c>
      <c r="O1415" s="6" t="s">
        <v>136</v>
      </c>
      <c r="P1415" s="19">
        <v>0</v>
      </c>
    </row>
    <row r="1416" spans="12:16" ht="15.75" customHeight="1" x14ac:dyDescent="0.3">
      <c r="L1416" s="6" t="s">
        <v>180</v>
      </c>
      <c r="M1416" s="6" t="s">
        <v>302</v>
      </c>
      <c r="N1416" s="6" t="s">
        <v>138</v>
      </c>
      <c r="O1416" s="6" t="s">
        <v>139</v>
      </c>
      <c r="P1416" s="19">
        <v>0</v>
      </c>
    </row>
    <row r="1417" spans="12:16" ht="15.75" customHeight="1" x14ac:dyDescent="0.3">
      <c r="L1417" s="6" t="s">
        <v>180</v>
      </c>
      <c r="M1417" s="6" t="s">
        <v>302</v>
      </c>
      <c r="N1417" s="6" t="s">
        <v>30</v>
      </c>
      <c r="O1417" s="6" t="s">
        <v>148</v>
      </c>
      <c r="P1417" s="17">
        <v>59.524700000000003</v>
      </c>
    </row>
    <row r="1418" spans="12:16" ht="15.75" customHeight="1" x14ac:dyDescent="0.3">
      <c r="L1418" s="6" t="s">
        <v>180</v>
      </c>
      <c r="M1418" s="6" t="s">
        <v>302</v>
      </c>
      <c r="N1418" s="6" t="s">
        <v>156</v>
      </c>
      <c r="O1418" s="6" t="s">
        <v>157</v>
      </c>
      <c r="P1418" s="19">
        <v>1</v>
      </c>
    </row>
    <row r="1419" spans="12:16" ht="15.75" customHeight="1" x14ac:dyDescent="0.3">
      <c r="L1419" s="6" t="s">
        <v>180</v>
      </c>
      <c r="M1419" s="6" t="s">
        <v>302</v>
      </c>
      <c r="N1419" s="6" t="s">
        <v>158</v>
      </c>
      <c r="O1419" s="6" t="s">
        <v>159</v>
      </c>
      <c r="P1419" s="19">
        <v>5</v>
      </c>
    </row>
    <row r="1420" spans="12:16" ht="15.75" customHeight="1" x14ac:dyDescent="0.3">
      <c r="L1420" s="6" t="s">
        <v>180</v>
      </c>
      <c r="M1420" s="6" t="s">
        <v>302</v>
      </c>
      <c r="N1420" s="6" t="s">
        <v>160</v>
      </c>
      <c r="O1420" s="6" t="s">
        <v>161</v>
      </c>
      <c r="P1420" s="19">
        <v>2</v>
      </c>
    </row>
    <row r="1421" spans="12:16" ht="15.75" customHeight="1" x14ac:dyDescent="0.3">
      <c r="L1421" s="6" t="s">
        <v>180</v>
      </c>
      <c r="M1421" s="6" t="s">
        <v>302</v>
      </c>
      <c r="N1421" s="6" t="s">
        <v>162</v>
      </c>
      <c r="O1421" s="6" t="s">
        <v>163</v>
      </c>
      <c r="P1421" s="19">
        <v>0</v>
      </c>
    </row>
    <row r="1422" spans="12:16" ht="15.75" customHeight="1" x14ac:dyDescent="0.3">
      <c r="L1422" s="6" t="s">
        <v>180</v>
      </c>
      <c r="M1422" s="6" t="s">
        <v>302</v>
      </c>
      <c r="N1422" s="6" t="s">
        <v>165</v>
      </c>
      <c r="O1422" s="6" t="s">
        <v>166</v>
      </c>
      <c r="P1422" s="19">
        <v>1</v>
      </c>
    </row>
    <row r="1423" spans="12:16" ht="15.75" customHeight="1" x14ac:dyDescent="0.3">
      <c r="L1423" s="6" t="s">
        <v>180</v>
      </c>
      <c r="M1423" s="6" t="s">
        <v>375</v>
      </c>
      <c r="N1423" s="6" t="s">
        <v>72</v>
      </c>
      <c r="O1423" s="6" t="s">
        <v>75</v>
      </c>
      <c r="P1423" s="19">
        <v>0</v>
      </c>
    </row>
    <row r="1424" spans="12:16" ht="15.75" customHeight="1" x14ac:dyDescent="0.3">
      <c r="L1424" s="6" t="s">
        <v>180</v>
      </c>
      <c r="M1424" s="6" t="s">
        <v>375</v>
      </c>
      <c r="N1424" s="6" t="s">
        <v>83</v>
      </c>
      <c r="O1424" s="6" t="s">
        <v>84</v>
      </c>
      <c r="P1424" s="19">
        <v>0</v>
      </c>
    </row>
    <row r="1425" spans="12:16" ht="15.75" customHeight="1" x14ac:dyDescent="0.3">
      <c r="L1425" s="6" t="s">
        <v>180</v>
      </c>
      <c r="M1425" s="6" t="s">
        <v>375</v>
      </c>
      <c r="N1425" s="6" t="s">
        <v>88</v>
      </c>
      <c r="O1425" s="6" t="s">
        <v>90</v>
      </c>
      <c r="P1425" s="17">
        <v>0.5</v>
      </c>
    </row>
    <row r="1426" spans="12:16" ht="15.75" customHeight="1" x14ac:dyDescent="0.3">
      <c r="L1426" s="6" t="s">
        <v>180</v>
      </c>
      <c r="M1426" s="6" t="s">
        <v>375</v>
      </c>
      <c r="N1426" s="6" t="s">
        <v>96</v>
      </c>
      <c r="O1426" s="6" t="s">
        <v>97</v>
      </c>
      <c r="P1426" s="19">
        <v>1</v>
      </c>
    </row>
    <row r="1427" spans="12:16" ht="15.75" customHeight="1" x14ac:dyDescent="0.3">
      <c r="L1427" s="6" t="s">
        <v>180</v>
      </c>
      <c r="M1427" s="6" t="s">
        <v>375</v>
      </c>
      <c r="N1427" s="6" t="s">
        <v>100</v>
      </c>
      <c r="O1427" s="6" t="s">
        <v>101</v>
      </c>
      <c r="P1427" s="19">
        <v>0</v>
      </c>
    </row>
    <row r="1428" spans="12:16" ht="15.75" customHeight="1" x14ac:dyDescent="0.3">
      <c r="L1428" s="6" t="s">
        <v>180</v>
      </c>
      <c r="M1428" s="6" t="s">
        <v>375</v>
      </c>
      <c r="N1428" s="6" t="s">
        <v>22</v>
      </c>
      <c r="O1428" s="6" t="s">
        <v>104</v>
      </c>
      <c r="P1428" s="19">
        <v>3</v>
      </c>
    </row>
    <row r="1429" spans="12:16" ht="15.75" customHeight="1" x14ac:dyDescent="0.3">
      <c r="L1429" s="6" t="s">
        <v>180</v>
      </c>
      <c r="M1429" s="6" t="s">
        <v>375</v>
      </c>
      <c r="N1429" s="6" t="s">
        <v>23</v>
      </c>
      <c r="O1429" s="6" t="s">
        <v>107</v>
      </c>
      <c r="P1429" s="17">
        <v>85.587999999999994</v>
      </c>
    </row>
    <row r="1430" spans="12:16" ht="15.75" customHeight="1" x14ac:dyDescent="0.3">
      <c r="L1430" s="6" t="s">
        <v>180</v>
      </c>
      <c r="M1430" s="6" t="s">
        <v>375</v>
      </c>
      <c r="N1430" s="6" t="s">
        <v>24</v>
      </c>
      <c r="O1430" s="6" t="s">
        <v>109</v>
      </c>
      <c r="P1430" s="17">
        <v>6.4999999999999997E-3</v>
      </c>
    </row>
    <row r="1431" spans="12:16" ht="15.75" customHeight="1" x14ac:dyDescent="0.3">
      <c r="L1431" s="6" t="s">
        <v>180</v>
      </c>
      <c r="M1431" s="6" t="s">
        <v>375</v>
      </c>
      <c r="N1431" s="6" t="s">
        <v>25</v>
      </c>
      <c r="O1431" s="6" t="s">
        <v>111</v>
      </c>
      <c r="P1431" s="19">
        <v>9</v>
      </c>
    </row>
    <row r="1432" spans="12:16" ht="15.75" customHeight="1" x14ac:dyDescent="0.3">
      <c r="L1432" s="6" t="s">
        <v>180</v>
      </c>
      <c r="M1432" s="6" t="s">
        <v>375</v>
      </c>
      <c r="N1432" s="6" t="s">
        <v>26</v>
      </c>
      <c r="O1432" s="6" t="s">
        <v>113</v>
      </c>
      <c r="P1432" s="19">
        <v>9</v>
      </c>
    </row>
    <row r="1433" spans="12:16" ht="15.75" customHeight="1" x14ac:dyDescent="0.3">
      <c r="L1433" s="6" t="s">
        <v>180</v>
      </c>
      <c r="M1433" s="6" t="s">
        <v>375</v>
      </c>
      <c r="N1433" s="6" t="s">
        <v>27</v>
      </c>
      <c r="O1433" s="6" t="s">
        <v>117</v>
      </c>
      <c r="P1433" s="17">
        <v>28.529299999999999</v>
      </c>
    </row>
    <row r="1434" spans="12:16" ht="15.75" customHeight="1" x14ac:dyDescent="0.3">
      <c r="L1434" s="6" t="s">
        <v>180</v>
      </c>
      <c r="M1434" s="6" t="s">
        <v>375</v>
      </c>
      <c r="N1434" s="6" t="s">
        <v>29</v>
      </c>
      <c r="O1434" s="6" t="s">
        <v>125</v>
      </c>
      <c r="P1434" s="19">
        <v>3</v>
      </c>
    </row>
    <row r="1435" spans="12:16" ht="15.75" customHeight="1" x14ac:dyDescent="0.3">
      <c r="L1435" s="6" t="s">
        <v>180</v>
      </c>
      <c r="M1435" s="6" t="s">
        <v>375</v>
      </c>
      <c r="N1435" s="6" t="s">
        <v>135</v>
      </c>
      <c r="O1435" s="6" t="s">
        <v>136</v>
      </c>
      <c r="P1435" s="19">
        <v>0</v>
      </c>
    </row>
    <row r="1436" spans="12:16" ht="15.75" customHeight="1" x14ac:dyDescent="0.3">
      <c r="L1436" s="6" t="s">
        <v>180</v>
      </c>
      <c r="M1436" s="6" t="s">
        <v>375</v>
      </c>
      <c r="N1436" s="6" t="s">
        <v>138</v>
      </c>
      <c r="O1436" s="6" t="s">
        <v>139</v>
      </c>
      <c r="P1436" s="19">
        <v>0</v>
      </c>
    </row>
    <row r="1437" spans="12:16" ht="15.75" customHeight="1" x14ac:dyDescent="0.3">
      <c r="L1437" s="6" t="s">
        <v>180</v>
      </c>
      <c r="M1437" s="6" t="s">
        <v>375</v>
      </c>
      <c r="N1437" s="6" t="s">
        <v>30</v>
      </c>
      <c r="O1437" s="6" t="s">
        <v>148</v>
      </c>
      <c r="P1437" s="17">
        <v>79.459100000000007</v>
      </c>
    </row>
    <row r="1438" spans="12:16" ht="15.75" customHeight="1" x14ac:dyDescent="0.3">
      <c r="L1438" s="6" t="s">
        <v>180</v>
      </c>
      <c r="M1438" s="6" t="s">
        <v>375</v>
      </c>
      <c r="N1438" s="6" t="s">
        <v>156</v>
      </c>
      <c r="O1438" s="6" t="s">
        <v>157</v>
      </c>
      <c r="P1438" s="19">
        <v>0</v>
      </c>
    </row>
    <row r="1439" spans="12:16" ht="15.75" customHeight="1" x14ac:dyDescent="0.3">
      <c r="L1439" s="6" t="s">
        <v>180</v>
      </c>
      <c r="M1439" s="6" t="s">
        <v>375</v>
      </c>
      <c r="N1439" s="6" t="s">
        <v>158</v>
      </c>
      <c r="O1439" s="6" t="s">
        <v>159</v>
      </c>
      <c r="P1439" s="19">
        <v>1</v>
      </c>
    </row>
    <row r="1440" spans="12:16" ht="15.75" customHeight="1" x14ac:dyDescent="0.3">
      <c r="L1440" s="6" t="s">
        <v>180</v>
      </c>
      <c r="M1440" s="6" t="s">
        <v>375</v>
      </c>
      <c r="N1440" s="6" t="s">
        <v>160</v>
      </c>
      <c r="O1440" s="6" t="s">
        <v>161</v>
      </c>
      <c r="P1440" s="19">
        <v>2</v>
      </c>
    </row>
    <row r="1441" spans="12:16" ht="15.75" customHeight="1" x14ac:dyDescent="0.3">
      <c r="L1441" s="6" t="s">
        <v>180</v>
      </c>
      <c r="M1441" s="6" t="s">
        <v>375</v>
      </c>
      <c r="N1441" s="6" t="s">
        <v>162</v>
      </c>
      <c r="O1441" s="6" t="s">
        <v>163</v>
      </c>
      <c r="P1441" s="19">
        <v>0</v>
      </c>
    </row>
    <row r="1442" spans="12:16" ht="15.75" customHeight="1" x14ac:dyDescent="0.3">
      <c r="L1442" s="6" t="s">
        <v>180</v>
      </c>
      <c r="M1442" s="6" t="s">
        <v>375</v>
      </c>
      <c r="N1442" s="6" t="s">
        <v>165</v>
      </c>
      <c r="O1442" s="6" t="s">
        <v>166</v>
      </c>
      <c r="P1442" s="19">
        <v>2</v>
      </c>
    </row>
    <row r="1443" spans="12:16" ht="15.75" customHeight="1" x14ac:dyDescent="0.3">
      <c r="L1443" s="6" t="s">
        <v>180</v>
      </c>
      <c r="M1443" s="6" t="s">
        <v>328</v>
      </c>
      <c r="N1443" s="6" t="s">
        <v>72</v>
      </c>
      <c r="O1443" s="6" t="s">
        <v>75</v>
      </c>
      <c r="P1443" s="19">
        <v>2</v>
      </c>
    </row>
    <row r="1444" spans="12:16" ht="15.75" customHeight="1" x14ac:dyDescent="0.3">
      <c r="L1444" s="6" t="s">
        <v>180</v>
      </c>
      <c r="M1444" s="6" t="s">
        <v>328</v>
      </c>
      <c r="N1444" s="6" t="s">
        <v>83</v>
      </c>
      <c r="O1444" s="6" t="s">
        <v>84</v>
      </c>
      <c r="P1444" s="19">
        <v>0</v>
      </c>
    </row>
    <row r="1445" spans="12:16" ht="15.75" customHeight="1" x14ac:dyDescent="0.3">
      <c r="L1445" s="6" t="s">
        <v>180</v>
      </c>
      <c r="M1445" s="6" t="s">
        <v>328</v>
      </c>
      <c r="N1445" s="6" t="s">
        <v>88</v>
      </c>
      <c r="O1445" s="6" t="s">
        <v>90</v>
      </c>
      <c r="P1445" s="17">
        <v>0.47060000000000002</v>
      </c>
    </row>
    <row r="1446" spans="12:16" ht="15.75" customHeight="1" x14ac:dyDescent="0.3">
      <c r="L1446" s="6" t="s">
        <v>180</v>
      </c>
      <c r="M1446" s="6" t="s">
        <v>328</v>
      </c>
      <c r="N1446" s="6" t="s">
        <v>96</v>
      </c>
      <c r="O1446" s="6" t="s">
        <v>97</v>
      </c>
      <c r="P1446" s="19">
        <v>15</v>
      </c>
    </row>
    <row r="1447" spans="12:16" ht="15.75" customHeight="1" x14ac:dyDescent="0.3">
      <c r="L1447" s="6" t="s">
        <v>180</v>
      </c>
      <c r="M1447" s="6" t="s">
        <v>328</v>
      </c>
      <c r="N1447" s="6" t="s">
        <v>100</v>
      </c>
      <c r="O1447" s="6" t="s">
        <v>101</v>
      </c>
      <c r="P1447" s="19">
        <v>2</v>
      </c>
    </row>
    <row r="1448" spans="12:16" ht="15.75" customHeight="1" x14ac:dyDescent="0.3">
      <c r="L1448" s="6" t="s">
        <v>180</v>
      </c>
      <c r="M1448" s="6" t="s">
        <v>328</v>
      </c>
      <c r="N1448" s="6" t="s">
        <v>22</v>
      </c>
      <c r="O1448" s="6" t="s">
        <v>104</v>
      </c>
      <c r="P1448" s="17">
        <v>33.296300000000002</v>
      </c>
    </row>
    <row r="1449" spans="12:16" ht="15.75" customHeight="1" x14ac:dyDescent="0.3">
      <c r="L1449" s="6" t="s">
        <v>180</v>
      </c>
      <c r="M1449" s="6" t="s">
        <v>328</v>
      </c>
      <c r="N1449" s="6" t="s">
        <v>23</v>
      </c>
      <c r="O1449" s="6" t="s">
        <v>107</v>
      </c>
      <c r="P1449" s="17">
        <v>21455.397799999999</v>
      </c>
    </row>
    <row r="1450" spans="12:16" ht="15.75" customHeight="1" x14ac:dyDescent="0.3">
      <c r="L1450" s="6" t="s">
        <v>180</v>
      </c>
      <c r="M1450" s="6" t="s">
        <v>328</v>
      </c>
      <c r="N1450" s="6" t="s">
        <v>24</v>
      </c>
      <c r="O1450" s="6" t="s">
        <v>109</v>
      </c>
      <c r="P1450" s="17">
        <v>0.25740000000000002</v>
      </c>
    </row>
    <row r="1451" spans="12:16" ht="15.75" customHeight="1" x14ac:dyDescent="0.3">
      <c r="L1451" s="6" t="s">
        <v>180</v>
      </c>
      <c r="M1451" s="6" t="s">
        <v>328</v>
      </c>
      <c r="N1451" s="6" t="s">
        <v>25</v>
      </c>
      <c r="O1451" s="6" t="s">
        <v>111</v>
      </c>
      <c r="P1451" s="19">
        <v>110</v>
      </c>
    </row>
    <row r="1452" spans="12:16" ht="15.75" customHeight="1" x14ac:dyDescent="0.3">
      <c r="L1452" s="6" t="s">
        <v>180</v>
      </c>
      <c r="M1452" s="6" t="s">
        <v>328</v>
      </c>
      <c r="N1452" s="6" t="s">
        <v>26</v>
      </c>
      <c r="O1452" s="6" t="s">
        <v>113</v>
      </c>
      <c r="P1452" s="19">
        <v>58</v>
      </c>
    </row>
    <row r="1453" spans="12:16" ht="15.75" customHeight="1" x14ac:dyDescent="0.3">
      <c r="L1453" s="6" t="s">
        <v>180</v>
      </c>
      <c r="M1453" s="6" t="s">
        <v>328</v>
      </c>
      <c r="N1453" s="6" t="s">
        <v>27</v>
      </c>
      <c r="O1453" s="6" t="s">
        <v>117</v>
      </c>
      <c r="P1453" s="17">
        <v>644.37789999999995</v>
      </c>
    </row>
    <row r="1454" spans="12:16" ht="15.75" customHeight="1" x14ac:dyDescent="0.3">
      <c r="L1454" s="6" t="s">
        <v>180</v>
      </c>
      <c r="M1454" s="6" t="s">
        <v>328</v>
      </c>
      <c r="N1454" s="6" t="s">
        <v>29</v>
      </c>
      <c r="O1454" s="6" t="s">
        <v>125</v>
      </c>
      <c r="P1454" s="19">
        <v>32</v>
      </c>
    </row>
    <row r="1455" spans="12:16" ht="15.75" customHeight="1" x14ac:dyDescent="0.3">
      <c r="L1455" s="6" t="s">
        <v>180</v>
      </c>
      <c r="M1455" s="6" t="s">
        <v>328</v>
      </c>
      <c r="N1455" s="6" t="s">
        <v>135</v>
      </c>
      <c r="O1455" s="6" t="s">
        <v>136</v>
      </c>
      <c r="P1455" s="17">
        <v>0.5</v>
      </c>
    </row>
    <row r="1456" spans="12:16" ht="15.75" customHeight="1" x14ac:dyDescent="0.3">
      <c r="L1456" s="6" t="s">
        <v>180</v>
      </c>
      <c r="M1456" s="6" t="s">
        <v>328</v>
      </c>
      <c r="N1456" s="6" t="s">
        <v>138</v>
      </c>
      <c r="O1456" s="6" t="s">
        <v>139</v>
      </c>
      <c r="P1456" s="19">
        <v>2</v>
      </c>
    </row>
    <row r="1457" spans="12:16" ht="15.75" customHeight="1" x14ac:dyDescent="0.3">
      <c r="L1457" s="6" t="s">
        <v>180</v>
      </c>
      <c r="M1457" s="6" t="s">
        <v>328</v>
      </c>
      <c r="N1457" s="6" t="s">
        <v>30</v>
      </c>
      <c r="O1457" s="6" t="s">
        <v>148</v>
      </c>
      <c r="P1457" s="17">
        <v>47.351100000000002</v>
      </c>
    </row>
    <row r="1458" spans="12:16" ht="15.75" customHeight="1" x14ac:dyDescent="0.3">
      <c r="L1458" s="6" t="s">
        <v>180</v>
      </c>
      <c r="M1458" s="6" t="s">
        <v>328</v>
      </c>
      <c r="N1458" s="6" t="s">
        <v>156</v>
      </c>
      <c r="O1458" s="6" t="s">
        <v>157</v>
      </c>
      <c r="P1458" s="19">
        <v>4</v>
      </c>
    </row>
    <row r="1459" spans="12:16" ht="15.75" customHeight="1" x14ac:dyDescent="0.3">
      <c r="L1459" s="6" t="s">
        <v>180</v>
      </c>
      <c r="M1459" s="6" t="s">
        <v>328</v>
      </c>
      <c r="N1459" s="6" t="s">
        <v>158</v>
      </c>
      <c r="O1459" s="6" t="s">
        <v>159</v>
      </c>
      <c r="P1459" s="19">
        <v>3</v>
      </c>
    </row>
    <row r="1460" spans="12:16" ht="15.75" customHeight="1" x14ac:dyDescent="0.3">
      <c r="L1460" s="6" t="s">
        <v>180</v>
      </c>
      <c r="M1460" s="6" t="s">
        <v>328</v>
      </c>
      <c r="N1460" s="6" t="s">
        <v>160</v>
      </c>
      <c r="O1460" s="6" t="s">
        <v>161</v>
      </c>
      <c r="P1460" s="19">
        <v>16</v>
      </c>
    </row>
    <row r="1461" spans="12:16" ht="15.75" customHeight="1" x14ac:dyDescent="0.3">
      <c r="L1461" s="6" t="s">
        <v>180</v>
      </c>
      <c r="M1461" s="6" t="s">
        <v>328</v>
      </c>
      <c r="N1461" s="6" t="s">
        <v>162</v>
      </c>
      <c r="O1461" s="6" t="s">
        <v>163</v>
      </c>
      <c r="P1461" s="19">
        <v>2</v>
      </c>
    </row>
    <row r="1462" spans="12:16" ht="15.75" customHeight="1" x14ac:dyDescent="0.3">
      <c r="L1462" s="6" t="s">
        <v>180</v>
      </c>
      <c r="M1462" s="6" t="s">
        <v>328</v>
      </c>
      <c r="N1462" s="6" t="s">
        <v>165</v>
      </c>
      <c r="O1462" s="6" t="s">
        <v>166</v>
      </c>
      <c r="P1462" s="19">
        <v>3</v>
      </c>
    </row>
    <row r="1463" spans="12:16" ht="15.75" customHeight="1" x14ac:dyDescent="0.3">
      <c r="L1463" s="6" t="s">
        <v>180</v>
      </c>
      <c r="M1463" s="6" t="s">
        <v>378</v>
      </c>
      <c r="N1463" s="6" t="s">
        <v>72</v>
      </c>
      <c r="O1463" s="6" t="s">
        <v>75</v>
      </c>
      <c r="P1463" s="19">
        <v>0</v>
      </c>
    </row>
    <row r="1464" spans="12:16" ht="15.75" customHeight="1" x14ac:dyDescent="0.3">
      <c r="L1464" s="6" t="s">
        <v>180</v>
      </c>
      <c r="M1464" s="6" t="s">
        <v>378</v>
      </c>
      <c r="N1464" s="6" t="s">
        <v>83</v>
      </c>
      <c r="O1464" s="6" t="s">
        <v>84</v>
      </c>
      <c r="P1464" s="19">
        <v>0</v>
      </c>
    </row>
    <row r="1465" spans="12:16" ht="15.75" customHeight="1" x14ac:dyDescent="0.3">
      <c r="L1465" s="6" t="s">
        <v>180</v>
      </c>
      <c r="M1465" s="6" t="s">
        <v>378</v>
      </c>
      <c r="N1465" s="6" t="s">
        <v>88</v>
      </c>
      <c r="O1465" s="6" t="s">
        <v>90</v>
      </c>
      <c r="P1465" s="19">
        <v>1</v>
      </c>
    </row>
    <row r="1466" spans="12:16" ht="15.75" customHeight="1" x14ac:dyDescent="0.3">
      <c r="L1466" s="6" t="s">
        <v>180</v>
      </c>
      <c r="M1466" s="6" t="s">
        <v>378</v>
      </c>
      <c r="N1466" s="6" t="s">
        <v>96</v>
      </c>
      <c r="O1466" s="6" t="s">
        <v>97</v>
      </c>
      <c r="P1466" s="19">
        <v>2</v>
      </c>
    </row>
    <row r="1467" spans="12:16" ht="15.75" customHeight="1" x14ac:dyDescent="0.3">
      <c r="L1467" s="6" t="s">
        <v>180</v>
      </c>
      <c r="M1467" s="6" t="s">
        <v>378</v>
      </c>
      <c r="N1467" s="6" t="s">
        <v>100</v>
      </c>
      <c r="O1467" s="6" t="s">
        <v>101</v>
      </c>
      <c r="P1467" s="19">
        <v>1</v>
      </c>
    </row>
    <row r="1468" spans="12:16" ht="15.75" customHeight="1" x14ac:dyDescent="0.3">
      <c r="L1468" s="6" t="s">
        <v>180</v>
      </c>
      <c r="M1468" s="6" t="s">
        <v>378</v>
      </c>
      <c r="N1468" s="6" t="s">
        <v>22</v>
      </c>
      <c r="O1468" s="6" t="s">
        <v>104</v>
      </c>
      <c r="P1468" s="17">
        <v>2.5</v>
      </c>
    </row>
    <row r="1469" spans="12:16" ht="15.75" customHeight="1" x14ac:dyDescent="0.3">
      <c r="L1469" s="6" t="s">
        <v>180</v>
      </c>
      <c r="M1469" s="6" t="s">
        <v>378</v>
      </c>
      <c r="N1469" s="6" t="s">
        <v>23</v>
      </c>
      <c r="O1469" s="6" t="s">
        <v>107</v>
      </c>
      <c r="P1469" s="17">
        <v>116.51130000000001</v>
      </c>
    </row>
    <row r="1470" spans="12:16" ht="15.75" customHeight="1" x14ac:dyDescent="0.3">
      <c r="L1470" s="6" t="s">
        <v>180</v>
      </c>
      <c r="M1470" s="6" t="s">
        <v>378</v>
      </c>
      <c r="N1470" s="6" t="s">
        <v>24</v>
      </c>
      <c r="O1470" s="6" t="s">
        <v>109</v>
      </c>
      <c r="P1470" s="17">
        <v>8.0000000000000002E-3</v>
      </c>
    </row>
    <row r="1471" spans="12:16" ht="15.75" customHeight="1" x14ac:dyDescent="0.3">
      <c r="L1471" s="6" t="s">
        <v>180</v>
      </c>
      <c r="M1471" s="6" t="s">
        <v>378</v>
      </c>
      <c r="N1471" s="6" t="s">
        <v>25</v>
      </c>
      <c r="O1471" s="6" t="s">
        <v>111</v>
      </c>
      <c r="P1471" s="19">
        <v>13</v>
      </c>
    </row>
    <row r="1472" spans="12:16" ht="15.75" customHeight="1" x14ac:dyDescent="0.3">
      <c r="L1472" s="6" t="s">
        <v>180</v>
      </c>
      <c r="M1472" s="6" t="s">
        <v>378</v>
      </c>
      <c r="N1472" s="6" t="s">
        <v>26</v>
      </c>
      <c r="O1472" s="6" t="s">
        <v>113</v>
      </c>
      <c r="P1472" s="19">
        <v>12</v>
      </c>
    </row>
    <row r="1473" spans="12:16" ht="15.75" customHeight="1" x14ac:dyDescent="0.3">
      <c r="L1473" s="6" t="s">
        <v>180</v>
      </c>
      <c r="M1473" s="6" t="s">
        <v>378</v>
      </c>
      <c r="N1473" s="6" t="s">
        <v>27</v>
      </c>
      <c r="O1473" s="6" t="s">
        <v>117</v>
      </c>
      <c r="P1473" s="17">
        <v>46.604500000000002</v>
      </c>
    </row>
    <row r="1474" spans="12:16" ht="15.75" customHeight="1" x14ac:dyDescent="0.3">
      <c r="L1474" s="6" t="s">
        <v>180</v>
      </c>
      <c r="M1474" s="6" t="s">
        <v>378</v>
      </c>
      <c r="N1474" s="6" t="s">
        <v>29</v>
      </c>
      <c r="O1474" s="6" t="s">
        <v>125</v>
      </c>
      <c r="P1474" s="19">
        <v>5</v>
      </c>
    </row>
    <row r="1475" spans="12:16" ht="15.75" customHeight="1" x14ac:dyDescent="0.3">
      <c r="L1475" s="6" t="s">
        <v>180</v>
      </c>
      <c r="M1475" s="6" t="s">
        <v>378</v>
      </c>
      <c r="N1475" s="6" t="s">
        <v>135</v>
      </c>
      <c r="O1475" s="6" t="s">
        <v>136</v>
      </c>
      <c r="P1475" s="19">
        <v>0</v>
      </c>
    </row>
    <row r="1476" spans="12:16" ht="15.75" customHeight="1" x14ac:dyDescent="0.3">
      <c r="L1476" s="6" t="s">
        <v>180</v>
      </c>
      <c r="M1476" s="6" t="s">
        <v>378</v>
      </c>
      <c r="N1476" s="6" t="s">
        <v>138</v>
      </c>
      <c r="O1476" s="6" t="s">
        <v>139</v>
      </c>
      <c r="P1476" s="19">
        <v>0</v>
      </c>
    </row>
    <row r="1477" spans="12:16" ht="15.75" customHeight="1" x14ac:dyDescent="0.3">
      <c r="L1477" s="6" t="s">
        <v>180</v>
      </c>
      <c r="M1477" s="6" t="s">
        <v>378</v>
      </c>
      <c r="N1477" s="6" t="s">
        <v>30</v>
      </c>
      <c r="O1477" s="6" t="s">
        <v>148</v>
      </c>
      <c r="P1477" s="17">
        <v>73.11</v>
      </c>
    </row>
    <row r="1478" spans="12:16" ht="15.75" customHeight="1" x14ac:dyDescent="0.3">
      <c r="L1478" s="6" t="s">
        <v>180</v>
      </c>
      <c r="M1478" s="6" t="s">
        <v>378</v>
      </c>
      <c r="N1478" s="6" t="s">
        <v>156</v>
      </c>
      <c r="O1478" s="6" t="s">
        <v>157</v>
      </c>
      <c r="P1478" s="19">
        <v>0</v>
      </c>
    </row>
    <row r="1479" spans="12:16" ht="15.75" customHeight="1" x14ac:dyDescent="0.3">
      <c r="L1479" s="6" t="s">
        <v>180</v>
      </c>
      <c r="M1479" s="6" t="s">
        <v>378</v>
      </c>
      <c r="N1479" s="6" t="s">
        <v>158</v>
      </c>
      <c r="O1479" s="6" t="s">
        <v>159</v>
      </c>
      <c r="P1479" s="19">
        <v>1</v>
      </c>
    </row>
    <row r="1480" spans="12:16" ht="15.75" customHeight="1" x14ac:dyDescent="0.3">
      <c r="L1480" s="6" t="s">
        <v>180</v>
      </c>
      <c r="M1480" s="6" t="s">
        <v>378</v>
      </c>
      <c r="N1480" s="6" t="s">
        <v>160</v>
      </c>
      <c r="O1480" s="6" t="s">
        <v>161</v>
      </c>
      <c r="P1480" s="19">
        <v>3</v>
      </c>
    </row>
    <row r="1481" spans="12:16" ht="15.75" customHeight="1" x14ac:dyDescent="0.3">
      <c r="L1481" s="6" t="s">
        <v>180</v>
      </c>
      <c r="M1481" s="6" t="s">
        <v>378</v>
      </c>
      <c r="N1481" s="6" t="s">
        <v>162</v>
      </c>
      <c r="O1481" s="6" t="s">
        <v>163</v>
      </c>
      <c r="P1481" s="19">
        <v>0</v>
      </c>
    </row>
    <row r="1482" spans="12:16" ht="15.75" customHeight="1" x14ac:dyDescent="0.3">
      <c r="L1482" s="6" t="s">
        <v>180</v>
      </c>
      <c r="M1482" s="6" t="s">
        <v>378</v>
      </c>
      <c r="N1482" s="6" t="s">
        <v>165</v>
      </c>
      <c r="O1482" s="6" t="s">
        <v>166</v>
      </c>
      <c r="P1482" s="19">
        <v>1</v>
      </c>
    </row>
    <row r="1483" spans="12:16" ht="15.75" customHeight="1" x14ac:dyDescent="0.3">
      <c r="L1483" s="6" t="s">
        <v>181</v>
      </c>
      <c r="M1483" s="6" t="s">
        <v>380</v>
      </c>
      <c r="N1483" s="6" t="s">
        <v>72</v>
      </c>
      <c r="O1483" s="6" t="s">
        <v>75</v>
      </c>
      <c r="P1483" s="19">
        <v>0</v>
      </c>
    </row>
    <row r="1484" spans="12:16" ht="15.75" customHeight="1" x14ac:dyDescent="0.3">
      <c r="L1484" s="6" t="s">
        <v>181</v>
      </c>
      <c r="M1484" s="6" t="s">
        <v>380</v>
      </c>
      <c r="N1484" s="6" t="s">
        <v>83</v>
      </c>
      <c r="O1484" s="6" t="s">
        <v>84</v>
      </c>
      <c r="P1484" s="19">
        <v>0</v>
      </c>
    </row>
    <row r="1485" spans="12:16" ht="15.75" customHeight="1" x14ac:dyDescent="0.3">
      <c r="L1485" s="6" t="s">
        <v>181</v>
      </c>
      <c r="M1485" s="6" t="s">
        <v>380</v>
      </c>
      <c r="N1485" s="6" t="s">
        <v>88</v>
      </c>
      <c r="O1485" s="6" t="s">
        <v>90</v>
      </c>
      <c r="P1485" s="17">
        <v>0.45450000000000002</v>
      </c>
    </row>
    <row r="1486" spans="12:16" ht="15.75" customHeight="1" x14ac:dyDescent="0.3">
      <c r="L1486" s="6" t="s">
        <v>181</v>
      </c>
      <c r="M1486" s="6" t="s">
        <v>380</v>
      </c>
      <c r="N1486" s="6" t="s">
        <v>96</v>
      </c>
      <c r="O1486" s="6" t="s">
        <v>97</v>
      </c>
      <c r="P1486" s="19">
        <v>8</v>
      </c>
    </row>
    <row r="1487" spans="12:16" ht="15.75" customHeight="1" x14ac:dyDescent="0.3">
      <c r="L1487" s="6" t="s">
        <v>181</v>
      </c>
      <c r="M1487" s="6" t="s">
        <v>380</v>
      </c>
      <c r="N1487" s="6" t="s">
        <v>100</v>
      </c>
      <c r="O1487" s="6" t="s">
        <v>101</v>
      </c>
      <c r="P1487" s="19">
        <v>3</v>
      </c>
    </row>
    <row r="1488" spans="12:16" ht="15.75" customHeight="1" x14ac:dyDescent="0.3">
      <c r="L1488" s="6" t="s">
        <v>181</v>
      </c>
      <c r="M1488" s="6" t="s">
        <v>380</v>
      </c>
      <c r="N1488" s="6" t="s">
        <v>22</v>
      </c>
      <c r="O1488" s="6" t="s">
        <v>104</v>
      </c>
      <c r="P1488" s="17">
        <v>12.381</v>
      </c>
    </row>
    <row r="1489" spans="12:16" ht="15.75" customHeight="1" x14ac:dyDescent="0.3">
      <c r="L1489" s="6" t="s">
        <v>181</v>
      </c>
      <c r="M1489" s="6" t="s">
        <v>380</v>
      </c>
      <c r="N1489" s="6" t="s">
        <v>23</v>
      </c>
      <c r="O1489" s="6" t="s">
        <v>107</v>
      </c>
      <c r="P1489" s="17">
        <v>4094.1963000000001</v>
      </c>
    </row>
    <row r="1490" spans="12:16" ht="15.75" customHeight="1" x14ac:dyDescent="0.3">
      <c r="L1490" s="6" t="s">
        <v>181</v>
      </c>
      <c r="M1490" s="6" t="s">
        <v>380</v>
      </c>
      <c r="N1490" s="6" t="s">
        <v>24</v>
      </c>
      <c r="O1490" s="6" t="s">
        <v>109</v>
      </c>
      <c r="P1490" s="17">
        <v>8.5300000000000001E-2</v>
      </c>
    </row>
    <row r="1491" spans="12:16" ht="15.75" customHeight="1" x14ac:dyDescent="0.3">
      <c r="L1491" s="6" t="s">
        <v>181</v>
      </c>
      <c r="M1491" s="6" t="s">
        <v>380</v>
      </c>
      <c r="N1491" s="6" t="s">
        <v>25</v>
      </c>
      <c r="O1491" s="6" t="s">
        <v>111</v>
      </c>
      <c r="P1491" s="19">
        <v>65</v>
      </c>
    </row>
    <row r="1492" spans="12:16" ht="15.75" customHeight="1" x14ac:dyDescent="0.3">
      <c r="L1492" s="6" t="s">
        <v>181</v>
      </c>
      <c r="M1492" s="6" t="s">
        <v>380</v>
      </c>
      <c r="N1492" s="6" t="s">
        <v>26</v>
      </c>
      <c r="O1492" s="6" t="s">
        <v>113</v>
      </c>
      <c r="P1492" s="19">
        <v>34</v>
      </c>
    </row>
    <row r="1493" spans="12:16" ht="15.75" customHeight="1" x14ac:dyDescent="0.3">
      <c r="L1493" s="6" t="s">
        <v>181</v>
      </c>
      <c r="M1493" s="6" t="s">
        <v>380</v>
      </c>
      <c r="N1493" s="6" t="s">
        <v>27</v>
      </c>
      <c r="O1493" s="6" t="s">
        <v>117</v>
      </c>
      <c r="P1493" s="17">
        <v>330.68509999999998</v>
      </c>
    </row>
    <row r="1494" spans="12:16" ht="15.75" customHeight="1" x14ac:dyDescent="0.3">
      <c r="L1494" s="6" t="s">
        <v>181</v>
      </c>
      <c r="M1494" s="6" t="s">
        <v>380</v>
      </c>
      <c r="N1494" s="6" t="s">
        <v>29</v>
      </c>
      <c r="O1494" s="6" t="s">
        <v>125</v>
      </c>
      <c r="P1494" s="19">
        <v>20</v>
      </c>
    </row>
    <row r="1495" spans="12:16" ht="15.75" customHeight="1" x14ac:dyDescent="0.3">
      <c r="L1495" s="6" t="s">
        <v>181</v>
      </c>
      <c r="M1495" s="6" t="s">
        <v>380</v>
      </c>
      <c r="N1495" s="6" t="s">
        <v>135</v>
      </c>
      <c r="O1495" s="6" t="s">
        <v>136</v>
      </c>
      <c r="P1495" s="17">
        <v>0.6</v>
      </c>
    </row>
    <row r="1496" spans="12:16" ht="15.75" customHeight="1" x14ac:dyDescent="0.3">
      <c r="L1496" s="6" t="s">
        <v>181</v>
      </c>
      <c r="M1496" s="6" t="s">
        <v>380</v>
      </c>
      <c r="N1496" s="6" t="s">
        <v>138</v>
      </c>
      <c r="O1496" s="6" t="s">
        <v>139</v>
      </c>
      <c r="P1496" s="19">
        <v>0</v>
      </c>
    </row>
    <row r="1497" spans="12:16" ht="15.75" customHeight="1" x14ac:dyDescent="0.3">
      <c r="L1497" s="6" t="s">
        <v>181</v>
      </c>
      <c r="M1497" s="6" t="s">
        <v>380</v>
      </c>
      <c r="N1497" s="6" t="s">
        <v>30</v>
      </c>
      <c r="O1497" s="6" t="s">
        <v>148</v>
      </c>
      <c r="P1497" s="17">
        <v>53.984699999999997</v>
      </c>
    </row>
    <row r="1498" spans="12:16" ht="15.75" customHeight="1" x14ac:dyDescent="0.3">
      <c r="L1498" s="6" t="s">
        <v>181</v>
      </c>
      <c r="M1498" s="6" t="s">
        <v>380</v>
      </c>
      <c r="N1498" s="6" t="s">
        <v>156</v>
      </c>
      <c r="O1498" s="6" t="s">
        <v>157</v>
      </c>
      <c r="P1498" s="19">
        <v>0</v>
      </c>
    </row>
    <row r="1499" spans="12:16" ht="15.75" customHeight="1" x14ac:dyDescent="0.3">
      <c r="L1499" s="6" t="s">
        <v>181</v>
      </c>
      <c r="M1499" s="6" t="s">
        <v>380</v>
      </c>
      <c r="N1499" s="6" t="s">
        <v>158</v>
      </c>
      <c r="O1499" s="6" t="s">
        <v>159</v>
      </c>
      <c r="P1499" s="19">
        <v>1</v>
      </c>
    </row>
    <row r="1500" spans="12:16" ht="15.75" customHeight="1" x14ac:dyDescent="0.3">
      <c r="L1500" s="6" t="s">
        <v>181</v>
      </c>
      <c r="M1500" s="6" t="s">
        <v>380</v>
      </c>
      <c r="N1500" s="6" t="s">
        <v>160</v>
      </c>
      <c r="O1500" s="6" t="s">
        <v>161</v>
      </c>
      <c r="P1500" s="19">
        <v>12</v>
      </c>
    </row>
    <row r="1501" spans="12:16" ht="15.75" customHeight="1" x14ac:dyDescent="0.3">
      <c r="L1501" s="6" t="s">
        <v>181</v>
      </c>
      <c r="M1501" s="6" t="s">
        <v>380</v>
      </c>
      <c r="N1501" s="6" t="s">
        <v>162</v>
      </c>
      <c r="O1501" s="6" t="s">
        <v>163</v>
      </c>
      <c r="P1501" s="19">
        <v>0</v>
      </c>
    </row>
    <row r="1502" spans="12:16" ht="15.75" customHeight="1" x14ac:dyDescent="0.3">
      <c r="L1502" s="6" t="s">
        <v>181</v>
      </c>
      <c r="M1502" s="6" t="s">
        <v>380</v>
      </c>
      <c r="N1502" s="6" t="s">
        <v>165</v>
      </c>
      <c r="O1502" s="6" t="s">
        <v>166</v>
      </c>
      <c r="P1502" s="19">
        <v>0</v>
      </c>
    </row>
    <row r="1503" spans="12:16" ht="15.75" customHeight="1" x14ac:dyDescent="0.3">
      <c r="L1503" s="6" t="s">
        <v>181</v>
      </c>
      <c r="M1503" s="6" t="s">
        <v>382</v>
      </c>
      <c r="N1503" s="6" t="s">
        <v>72</v>
      </c>
      <c r="O1503" s="6" t="s">
        <v>75</v>
      </c>
      <c r="P1503" s="19">
        <v>0</v>
      </c>
    </row>
    <row r="1504" spans="12:16" ht="15.75" customHeight="1" x14ac:dyDescent="0.3">
      <c r="L1504" s="6" t="s">
        <v>181</v>
      </c>
      <c r="M1504" s="6" t="s">
        <v>382</v>
      </c>
      <c r="N1504" s="6" t="s">
        <v>83</v>
      </c>
      <c r="O1504" s="6" t="s">
        <v>84</v>
      </c>
      <c r="P1504" s="19">
        <v>0</v>
      </c>
    </row>
    <row r="1505" spans="12:16" ht="15.75" customHeight="1" x14ac:dyDescent="0.3">
      <c r="L1505" s="6" t="s">
        <v>181</v>
      </c>
      <c r="M1505" s="6" t="s">
        <v>382</v>
      </c>
      <c r="N1505" s="6" t="s">
        <v>88</v>
      </c>
      <c r="O1505" s="6" t="s">
        <v>90</v>
      </c>
      <c r="P1505" s="19">
        <v>1</v>
      </c>
    </row>
    <row r="1506" spans="12:16" ht="15.75" customHeight="1" x14ac:dyDescent="0.3">
      <c r="L1506" s="6" t="s">
        <v>181</v>
      </c>
      <c r="M1506" s="6" t="s">
        <v>382</v>
      </c>
      <c r="N1506" s="6" t="s">
        <v>96</v>
      </c>
      <c r="O1506" s="6" t="s">
        <v>97</v>
      </c>
      <c r="P1506" s="19">
        <v>1</v>
      </c>
    </row>
    <row r="1507" spans="12:16" ht="15.75" customHeight="1" x14ac:dyDescent="0.3">
      <c r="L1507" s="6" t="s">
        <v>181</v>
      </c>
      <c r="M1507" s="6" t="s">
        <v>382</v>
      </c>
      <c r="N1507" s="6" t="s">
        <v>100</v>
      </c>
      <c r="O1507" s="6" t="s">
        <v>101</v>
      </c>
      <c r="P1507" s="19">
        <v>1</v>
      </c>
    </row>
    <row r="1508" spans="12:16" ht="15.75" customHeight="1" x14ac:dyDescent="0.3">
      <c r="L1508" s="6" t="s">
        <v>181</v>
      </c>
      <c r="M1508" s="6" t="s">
        <v>382</v>
      </c>
      <c r="N1508" s="6" t="s">
        <v>22</v>
      </c>
      <c r="O1508" s="6" t="s">
        <v>104</v>
      </c>
      <c r="P1508" s="17">
        <v>3.2143000000000002</v>
      </c>
    </row>
    <row r="1509" spans="12:16" ht="15.75" customHeight="1" x14ac:dyDescent="0.3">
      <c r="L1509" s="6" t="s">
        <v>181</v>
      </c>
      <c r="M1509" s="6" t="s">
        <v>382</v>
      </c>
      <c r="N1509" s="6" t="s">
        <v>23</v>
      </c>
      <c r="O1509" s="6" t="s">
        <v>107</v>
      </c>
      <c r="P1509" s="17">
        <v>184.36949999999999</v>
      </c>
    </row>
    <row r="1510" spans="12:16" ht="15.75" customHeight="1" x14ac:dyDescent="0.3">
      <c r="L1510" s="6" t="s">
        <v>181</v>
      </c>
      <c r="M1510" s="6" t="s">
        <v>382</v>
      </c>
      <c r="N1510" s="6" t="s">
        <v>24</v>
      </c>
      <c r="O1510" s="6" t="s">
        <v>109</v>
      </c>
      <c r="P1510" s="17">
        <v>1.0800000000000001E-2</v>
      </c>
    </row>
    <row r="1511" spans="12:16" ht="15.75" customHeight="1" x14ac:dyDescent="0.3">
      <c r="L1511" s="6" t="s">
        <v>181</v>
      </c>
      <c r="M1511" s="6" t="s">
        <v>382</v>
      </c>
      <c r="N1511" s="6" t="s">
        <v>25</v>
      </c>
      <c r="O1511" s="6" t="s">
        <v>111</v>
      </c>
      <c r="P1511" s="19">
        <v>16</v>
      </c>
    </row>
    <row r="1512" spans="12:16" ht="15.75" customHeight="1" x14ac:dyDescent="0.3">
      <c r="L1512" s="6" t="s">
        <v>181</v>
      </c>
      <c r="M1512" s="6" t="s">
        <v>382</v>
      </c>
      <c r="N1512" s="6" t="s">
        <v>26</v>
      </c>
      <c r="O1512" s="6" t="s">
        <v>113</v>
      </c>
      <c r="P1512" s="19">
        <v>12</v>
      </c>
    </row>
    <row r="1513" spans="12:16" ht="15.75" customHeight="1" x14ac:dyDescent="0.3">
      <c r="L1513" s="6" t="s">
        <v>181</v>
      </c>
      <c r="M1513" s="6" t="s">
        <v>382</v>
      </c>
      <c r="N1513" s="6" t="s">
        <v>27</v>
      </c>
      <c r="O1513" s="6" t="s">
        <v>117</v>
      </c>
      <c r="P1513" s="17">
        <v>57.359400000000001</v>
      </c>
    </row>
    <row r="1514" spans="12:16" ht="15.75" customHeight="1" x14ac:dyDescent="0.3">
      <c r="L1514" s="6" t="s">
        <v>181</v>
      </c>
      <c r="M1514" s="6" t="s">
        <v>382</v>
      </c>
      <c r="N1514" s="6" t="s">
        <v>29</v>
      </c>
      <c r="O1514" s="6" t="s">
        <v>125</v>
      </c>
      <c r="P1514" s="19">
        <v>6</v>
      </c>
    </row>
    <row r="1515" spans="12:16" ht="15.75" customHeight="1" x14ac:dyDescent="0.3">
      <c r="L1515" s="6" t="s">
        <v>181</v>
      </c>
      <c r="M1515" s="6" t="s">
        <v>382</v>
      </c>
      <c r="N1515" s="6" t="s">
        <v>135</v>
      </c>
      <c r="O1515" s="6" t="s">
        <v>136</v>
      </c>
      <c r="P1515" s="19">
        <v>0</v>
      </c>
    </row>
    <row r="1516" spans="12:16" ht="15.75" customHeight="1" x14ac:dyDescent="0.3">
      <c r="L1516" s="6" t="s">
        <v>181</v>
      </c>
      <c r="M1516" s="6" t="s">
        <v>382</v>
      </c>
      <c r="N1516" s="6" t="s">
        <v>138</v>
      </c>
      <c r="O1516" s="6" t="s">
        <v>139</v>
      </c>
      <c r="P1516" s="19">
        <v>0</v>
      </c>
    </row>
    <row r="1517" spans="12:16" ht="15.75" customHeight="1" x14ac:dyDescent="0.3">
      <c r="L1517" s="6" t="s">
        <v>181</v>
      </c>
      <c r="M1517" s="6" t="s">
        <v>382</v>
      </c>
      <c r="N1517" s="6" t="s">
        <v>30</v>
      </c>
      <c r="O1517" s="6" t="s">
        <v>148</v>
      </c>
      <c r="P1517" s="17">
        <v>70.730800000000002</v>
      </c>
    </row>
    <row r="1518" spans="12:16" ht="15.75" customHeight="1" x14ac:dyDescent="0.3">
      <c r="L1518" s="6" t="s">
        <v>181</v>
      </c>
      <c r="M1518" s="6" t="s">
        <v>382</v>
      </c>
      <c r="N1518" s="6" t="s">
        <v>156</v>
      </c>
      <c r="O1518" s="6" t="s">
        <v>157</v>
      </c>
      <c r="P1518" s="19">
        <v>0</v>
      </c>
    </row>
    <row r="1519" spans="12:16" ht="15.75" customHeight="1" x14ac:dyDescent="0.3">
      <c r="L1519" s="6" t="s">
        <v>181</v>
      </c>
      <c r="M1519" s="6" t="s">
        <v>382</v>
      </c>
      <c r="N1519" s="6" t="s">
        <v>158</v>
      </c>
      <c r="O1519" s="6" t="s">
        <v>159</v>
      </c>
      <c r="P1519" s="19">
        <v>1</v>
      </c>
    </row>
    <row r="1520" spans="12:16" ht="15.75" customHeight="1" x14ac:dyDescent="0.3">
      <c r="L1520" s="6" t="s">
        <v>181</v>
      </c>
      <c r="M1520" s="6" t="s">
        <v>382</v>
      </c>
      <c r="N1520" s="6" t="s">
        <v>160</v>
      </c>
      <c r="O1520" s="6" t="s">
        <v>161</v>
      </c>
      <c r="P1520" s="19">
        <v>5</v>
      </c>
    </row>
    <row r="1521" spans="12:16" ht="15.75" customHeight="1" x14ac:dyDescent="0.3">
      <c r="L1521" s="6" t="s">
        <v>181</v>
      </c>
      <c r="M1521" s="6" t="s">
        <v>382</v>
      </c>
      <c r="N1521" s="6" t="s">
        <v>162</v>
      </c>
      <c r="O1521" s="6" t="s">
        <v>163</v>
      </c>
      <c r="P1521" s="19">
        <v>0</v>
      </c>
    </row>
    <row r="1522" spans="12:16" ht="15.75" customHeight="1" x14ac:dyDescent="0.3">
      <c r="L1522" s="6" t="s">
        <v>181</v>
      </c>
      <c r="M1522" s="6" t="s">
        <v>382</v>
      </c>
      <c r="N1522" s="6" t="s">
        <v>165</v>
      </c>
      <c r="O1522" s="6" t="s">
        <v>166</v>
      </c>
      <c r="P1522" s="19">
        <v>2</v>
      </c>
    </row>
    <row r="1523" spans="12:16" ht="15.75" customHeight="1" x14ac:dyDescent="0.3">
      <c r="L1523" s="6" t="s">
        <v>181</v>
      </c>
      <c r="M1523" s="6" t="s">
        <v>381</v>
      </c>
      <c r="N1523" s="6" t="s">
        <v>72</v>
      </c>
      <c r="O1523" s="6" t="s">
        <v>75</v>
      </c>
      <c r="P1523" s="19">
        <v>1</v>
      </c>
    </row>
    <row r="1524" spans="12:16" ht="15.75" customHeight="1" x14ac:dyDescent="0.3">
      <c r="L1524" s="6" t="s">
        <v>181</v>
      </c>
      <c r="M1524" s="6" t="s">
        <v>381</v>
      </c>
      <c r="N1524" s="6" t="s">
        <v>83</v>
      </c>
      <c r="O1524" s="6" t="s">
        <v>84</v>
      </c>
      <c r="P1524" s="19">
        <v>1</v>
      </c>
    </row>
    <row r="1525" spans="12:16" ht="15.75" customHeight="1" x14ac:dyDescent="0.3">
      <c r="L1525" s="6" t="s">
        <v>181</v>
      </c>
      <c r="M1525" s="6" t="s">
        <v>381</v>
      </c>
      <c r="N1525" s="6" t="s">
        <v>88</v>
      </c>
      <c r="O1525" s="6" t="s">
        <v>90</v>
      </c>
      <c r="P1525" s="19">
        <v>1</v>
      </c>
    </row>
    <row r="1526" spans="12:16" ht="15.75" customHeight="1" x14ac:dyDescent="0.3">
      <c r="L1526" s="6" t="s">
        <v>181</v>
      </c>
      <c r="M1526" s="6" t="s">
        <v>381</v>
      </c>
      <c r="N1526" s="6" t="s">
        <v>96</v>
      </c>
      <c r="O1526" s="6" t="s">
        <v>97</v>
      </c>
      <c r="P1526" s="19">
        <v>2</v>
      </c>
    </row>
    <row r="1527" spans="12:16" ht="15.75" customHeight="1" x14ac:dyDescent="0.3">
      <c r="L1527" s="6" t="s">
        <v>181</v>
      </c>
      <c r="M1527" s="6" t="s">
        <v>381</v>
      </c>
      <c r="N1527" s="6" t="s">
        <v>100</v>
      </c>
      <c r="O1527" s="6" t="s">
        <v>101</v>
      </c>
      <c r="P1527" s="19">
        <v>0</v>
      </c>
    </row>
    <row r="1528" spans="12:16" ht="15.75" customHeight="1" x14ac:dyDescent="0.3">
      <c r="L1528" s="6" t="s">
        <v>181</v>
      </c>
      <c r="M1528" s="6" t="s">
        <v>381</v>
      </c>
      <c r="N1528" s="6" t="s">
        <v>22</v>
      </c>
      <c r="O1528" s="6" t="s">
        <v>104</v>
      </c>
      <c r="P1528" s="19">
        <v>7</v>
      </c>
    </row>
    <row r="1529" spans="12:16" ht="15.75" customHeight="1" x14ac:dyDescent="0.3">
      <c r="L1529" s="6" t="s">
        <v>181</v>
      </c>
      <c r="M1529" s="6" t="s">
        <v>381</v>
      </c>
      <c r="N1529" s="6" t="s">
        <v>23</v>
      </c>
      <c r="O1529" s="6" t="s">
        <v>107</v>
      </c>
      <c r="P1529" s="17">
        <v>302.2955</v>
      </c>
    </row>
    <row r="1530" spans="12:16" ht="15.75" customHeight="1" x14ac:dyDescent="0.3">
      <c r="L1530" s="6" t="s">
        <v>181</v>
      </c>
      <c r="M1530" s="6" t="s">
        <v>381</v>
      </c>
      <c r="N1530" s="6" t="s">
        <v>24</v>
      </c>
      <c r="O1530" s="6" t="s">
        <v>109</v>
      </c>
      <c r="P1530" s="17">
        <v>1.4999999999999999E-2</v>
      </c>
    </row>
    <row r="1531" spans="12:16" ht="15.75" customHeight="1" x14ac:dyDescent="0.3">
      <c r="L1531" s="6" t="s">
        <v>181</v>
      </c>
      <c r="M1531" s="6" t="s">
        <v>381</v>
      </c>
      <c r="N1531" s="6" t="s">
        <v>25</v>
      </c>
      <c r="O1531" s="6" t="s">
        <v>111</v>
      </c>
      <c r="P1531" s="19">
        <v>13</v>
      </c>
    </row>
    <row r="1532" spans="12:16" ht="15.75" customHeight="1" x14ac:dyDescent="0.3">
      <c r="L1532" s="6" t="s">
        <v>181</v>
      </c>
      <c r="M1532" s="6" t="s">
        <v>381</v>
      </c>
      <c r="N1532" s="6" t="s">
        <v>26</v>
      </c>
      <c r="O1532" s="6" t="s">
        <v>113</v>
      </c>
      <c r="P1532" s="19">
        <v>10</v>
      </c>
    </row>
    <row r="1533" spans="12:16" ht="15.75" customHeight="1" x14ac:dyDescent="0.3">
      <c r="L1533" s="6" t="s">
        <v>181</v>
      </c>
      <c r="M1533" s="6" t="s">
        <v>381</v>
      </c>
      <c r="N1533" s="6" t="s">
        <v>27</v>
      </c>
      <c r="O1533" s="6" t="s">
        <v>117</v>
      </c>
      <c r="P1533" s="17">
        <v>43.185099999999998</v>
      </c>
    </row>
    <row r="1534" spans="12:16" ht="15.75" customHeight="1" x14ac:dyDescent="0.3">
      <c r="L1534" s="6" t="s">
        <v>181</v>
      </c>
      <c r="M1534" s="6" t="s">
        <v>381</v>
      </c>
      <c r="N1534" s="6" t="s">
        <v>29</v>
      </c>
      <c r="O1534" s="6" t="s">
        <v>125</v>
      </c>
      <c r="P1534" s="19">
        <v>11</v>
      </c>
    </row>
    <row r="1535" spans="12:16" ht="15.75" customHeight="1" x14ac:dyDescent="0.3">
      <c r="L1535" s="6" t="s">
        <v>181</v>
      </c>
      <c r="M1535" s="6" t="s">
        <v>381</v>
      </c>
      <c r="N1535" s="6" t="s">
        <v>135</v>
      </c>
      <c r="O1535" s="6" t="s">
        <v>136</v>
      </c>
      <c r="P1535" s="19">
        <v>1</v>
      </c>
    </row>
    <row r="1536" spans="12:16" ht="15.75" customHeight="1" x14ac:dyDescent="0.3">
      <c r="L1536" s="6" t="s">
        <v>181</v>
      </c>
      <c r="M1536" s="6" t="s">
        <v>381</v>
      </c>
      <c r="N1536" s="6" t="s">
        <v>138</v>
      </c>
      <c r="O1536" s="6" t="s">
        <v>139</v>
      </c>
      <c r="P1536" s="19">
        <v>0</v>
      </c>
    </row>
    <row r="1537" spans="12:16" ht="15.75" customHeight="1" x14ac:dyDescent="0.3">
      <c r="L1537" s="6" t="s">
        <v>181</v>
      </c>
      <c r="M1537" s="6" t="s">
        <v>381</v>
      </c>
      <c r="N1537" s="6" t="s">
        <v>30</v>
      </c>
      <c r="O1537" s="6" t="s">
        <v>148</v>
      </c>
      <c r="P1537" s="17">
        <v>65.752300000000005</v>
      </c>
    </row>
    <row r="1538" spans="12:16" ht="15.75" customHeight="1" x14ac:dyDescent="0.3">
      <c r="L1538" s="6" t="s">
        <v>181</v>
      </c>
      <c r="M1538" s="6" t="s">
        <v>381</v>
      </c>
      <c r="N1538" s="6" t="s">
        <v>156</v>
      </c>
      <c r="O1538" s="6" t="s">
        <v>157</v>
      </c>
      <c r="P1538" s="19">
        <v>2</v>
      </c>
    </row>
    <row r="1539" spans="12:16" ht="15.75" customHeight="1" x14ac:dyDescent="0.3">
      <c r="L1539" s="6" t="s">
        <v>181</v>
      </c>
      <c r="M1539" s="6" t="s">
        <v>381</v>
      </c>
      <c r="N1539" s="6" t="s">
        <v>158</v>
      </c>
      <c r="O1539" s="6" t="s">
        <v>159</v>
      </c>
      <c r="P1539" s="19">
        <v>2</v>
      </c>
    </row>
    <row r="1540" spans="12:16" ht="15.75" customHeight="1" x14ac:dyDescent="0.3">
      <c r="L1540" s="6" t="s">
        <v>181</v>
      </c>
      <c r="M1540" s="6" t="s">
        <v>381</v>
      </c>
      <c r="N1540" s="6" t="s">
        <v>160</v>
      </c>
      <c r="O1540" s="6" t="s">
        <v>161</v>
      </c>
      <c r="P1540" s="19">
        <v>2</v>
      </c>
    </row>
    <row r="1541" spans="12:16" ht="15.75" customHeight="1" x14ac:dyDescent="0.3">
      <c r="L1541" s="6" t="s">
        <v>181</v>
      </c>
      <c r="M1541" s="6" t="s">
        <v>381</v>
      </c>
      <c r="N1541" s="6" t="s">
        <v>162</v>
      </c>
      <c r="O1541" s="6" t="s">
        <v>163</v>
      </c>
      <c r="P1541" s="19">
        <v>0</v>
      </c>
    </row>
    <row r="1542" spans="12:16" ht="15.75" customHeight="1" x14ac:dyDescent="0.3">
      <c r="L1542" s="6" t="s">
        <v>181</v>
      </c>
      <c r="M1542" s="6" t="s">
        <v>381</v>
      </c>
      <c r="N1542" s="6" t="s">
        <v>165</v>
      </c>
      <c r="O1542" s="6" t="s">
        <v>166</v>
      </c>
      <c r="P1542" s="19">
        <v>0</v>
      </c>
    </row>
    <row r="1543" spans="12:16" ht="15.75" customHeight="1" x14ac:dyDescent="0.3">
      <c r="L1543" s="6" t="s">
        <v>181</v>
      </c>
      <c r="M1543" s="6" t="s">
        <v>389</v>
      </c>
      <c r="N1543" s="6" t="s">
        <v>72</v>
      </c>
      <c r="O1543" s="6" t="s">
        <v>75</v>
      </c>
      <c r="P1543" s="19">
        <v>0</v>
      </c>
    </row>
    <row r="1544" spans="12:16" ht="15.75" customHeight="1" x14ac:dyDescent="0.3">
      <c r="L1544" s="6" t="s">
        <v>181</v>
      </c>
      <c r="M1544" s="6" t="s">
        <v>389</v>
      </c>
      <c r="N1544" s="6" t="s">
        <v>83</v>
      </c>
      <c r="O1544" s="6" t="s">
        <v>84</v>
      </c>
      <c r="P1544" s="19">
        <v>0</v>
      </c>
    </row>
    <row r="1545" spans="12:16" ht="15.75" customHeight="1" x14ac:dyDescent="0.3">
      <c r="L1545" s="6" t="s">
        <v>181</v>
      </c>
      <c r="M1545" s="6" t="s">
        <v>389</v>
      </c>
      <c r="N1545" s="6" t="s">
        <v>88</v>
      </c>
      <c r="O1545" s="6" t="s">
        <v>90</v>
      </c>
      <c r="P1545" s="19">
        <v>1</v>
      </c>
    </row>
    <row r="1546" spans="12:16" ht="15.75" customHeight="1" x14ac:dyDescent="0.3">
      <c r="L1546" s="6" t="s">
        <v>181</v>
      </c>
      <c r="M1546" s="6" t="s">
        <v>389</v>
      </c>
      <c r="N1546" s="6" t="s">
        <v>96</v>
      </c>
      <c r="O1546" s="6" t="s">
        <v>97</v>
      </c>
      <c r="P1546" s="19">
        <v>2</v>
      </c>
    </row>
    <row r="1547" spans="12:16" ht="15.75" customHeight="1" x14ac:dyDescent="0.3">
      <c r="L1547" s="6" t="s">
        <v>181</v>
      </c>
      <c r="M1547" s="6" t="s">
        <v>389</v>
      </c>
      <c r="N1547" s="6" t="s">
        <v>100</v>
      </c>
      <c r="O1547" s="6" t="s">
        <v>101</v>
      </c>
      <c r="P1547" s="19">
        <v>1</v>
      </c>
    </row>
    <row r="1548" spans="12:16" ht="15.75" customHeight="1" x14ac:dyDescent="0.3">
      <c r="L1548" s="6" t="s">
        <v>181</v>
      </c>
      <c r="M1548" s="6" t="s">
        <v>389</v>
      </c>
      <c r="N1548" s="6" t="s">
        <v>22</v>
      </c>
      <c r="O1548" s="6" t="s">
        <v>104</v>
      </c>
      <c r="P1548" s="17">
        <v>3.6</v>
      </c>
    </row>
    <row r="1549" spans="12:16" ht="15.75" customHeight="1" x14ac:dyDescent="0.3">
      <c r="L1549" s="6" t="s">
        <v>181</v>
      </c>
      <c r="M1549" s="6" t="s">
        <v>389</v>
      </c>
      <c r="N1549" s="6" t="s">
        <v>23</v>
      </c>
      <c r="O1549" s="6" t="s">
        <v>107</v>
      </c>
      <c r="P1549" s="17">
        <v>161.9014</v>
      </c>
    </row>
    <row r="1550" spans="12:16" ht="15.75" customHeight="1" x14ac:dyDescent="0.3">
      <c r="L1550" s="6" t="s">
        <v>181</v>
      </c>
      <c r="M1550" s="6" t="s">
        <v>389</v>
      </c>
      <c r="N1550" s="6" t="s">
        <v>24</v>
      </c>
      <c r="O1550" s="6" t="s">
        <v>109</v>
      </c>
      <c r="P1550" s="17">
        <v>9.9000000000000008E-3</v>
      </c>
    </row>
    <row r="1551" spans="12:16" ht="15.75" customHeight="1" x14ac:dyDescent="0.3">
      <c r="L1551" s="6" t="s">
        <v>181</v>
      </c>
      <c r="M1551" s="6" t="s">
        <v>389</v>
      </c>
      <c r="N1551" s="6" t="s">
        <v>25</v>
      </c>
      <c r="O1551" s="6" t="s">
        <v>111</v>
      </c>
      <c r="P1551" s="19">
        <v>13</v>
      </c>
    </row>
    <row r="1552" spans="12:16" ht="15.75" customHeight="1" x14ac:dyDescent="0.3">
      <c r="L1552" s="6" t="s">
        <v>181</v>
      </c>
      <c r="M1552" s="6" t="s">
        <v>389</v>
      </c>
      <c r="N1552" s="6" t="s">
        <v>26</v>
      </c>
      <c r="O1552" s="6" t="s">
        <v>113</v>
      </c>
      <c r="P1552" s="19">
        <v>11</v>
      </c>
    </row>
    <row r="1553" spans="12:16" ht="15.75" customHeight="1" x14ac:dyDescent="0.3">
      <c r="L1553" s="6" t="s">
        <v>181</v>
      </c>
      <c r="M1553" s="6" t="s">
        <v>389</v>
      </c>
      <c r="N1553" s="6" t="s">
        <v>27</v>
      </c>
      <c r="O1553" s="6" t="s">
        <v>117</v>
      </c>
      <c r="P1553" s="17">
        <v>44.9726</v>
      </c>
    </row>
    <row r="1554" spans="12:16" ht="15.75" customHeight="1" x14ac:dyDescent="0.3">
      <c r="L1554" s="6" t="s">
        <v>181</v>
      </c>
      <c r="M1554" s="6" t="s">
        <v>389</v>
      </c>
      <c r="N1554" s="6" t="s">
        <v>29</v>
      </c>
      <c r="O1554" s="6" t="s">
        <v>125</v>
      </c>
      <c r="P1554" s="19">
        <v>5</v>
      </c>
    </row>
    <row r="1555" spans="12:16" ht="15.75" customHeight="1" x14ac:dyDescent="0.3">
      <c r="L1555" s="6" t="s">
        <v>181</v>
      </c>
      <c r="M1555" s="6" t="s">
        <v>389</v>
      </c>
      <c r="N1555" s="6" t="s">
        <v>135</v>
      </c>
      <c r="O1555" s="6" t="s">
        <v>136</v>
      </c>
      <c r="P1555" s="19">
        <v>0</v>
      </c>
    </row>
    <row r="1556" spans="12:16" ht="15.75" customHeight="1" x14ac:dyDescent="0.3">
      <c r="L1556" s="6" t="s">
        <v>181</v>
      </c>
      <c r="M1556" s="6" t="s">
        <v>389</v>
      </c>
      <c r="N1556" s="6" t="s">
        <v>138</v>
      </c>
      <c r="O1556" s="6" t="s">
        <v>139</v>
      </c>
      <c r="P1556" s="19">
        <v>0</v>
      </c>
    </row>
    <row r="1557" spans="12:16" ht="15.75" customHeight="1" x14ac:dyDescent="0.3">
      <c r="L1557" s="6" t="s">
        <v>181</v>
      </c>
      <c r="M1557" s="6" t="s">
        <v>389</v>
      </c>
      <c r="N1557" s="6" t="s">
        <v>30</v>
      </c>
      <c r="O1557" s="6" t="s">
        <v>148</v>
      </c>
      <c r="P1557" s="17">
        <v>73.245199999999997</v>
      </c>
    </row>
    <row r="1558" spans="12:16" ht="15.75" customHeight="1" x14ac:dyDescent="0.3">
      <c r="L1558" s="6" t="s">
        <v>181</v>
      </c>
      <c r="M1558" s="6" t="s">
        <v>389</v>
      </c>
      <c r="N1558" s="6" t="s">
        <v>156</v>
      </c>
      <c r="O1558" s="6" t="s">
        <v>157</v>
      </c>
      <c r="P1558" s="19">
        <v>0</v>
      </c>
    </row>
    <row r="1559" spans="12:16" ht="15.75" customHeight="1" x14ac:dyDescent="0.3">
      <c r="L1559" s="6" t="s">
        <v>181</v>
      </c>
      <c r="M1559" s="6" t="s">
        <v>389</v>
      </c>
      <c r="N1559" s="6" t="s">
        <v>158</v>
      </c>
      <c r="O1559" s="6" t="s">
        <v>159</v>
      </c>
      <c r="P1559" s="19">
        <v>1</v>
      </c>
    </row>
    <row r="1560" spans="12:16" ht="15.75" customHeight="1" x14ac:dyDescent="0.3">
      <c r="L1560" s="6" t="s">
        <v>181</v>
      </c>
      <c r="M1560" s="6" t="s">
        <v>389</v>
      </c>
      <c r="N1560" s="6" t="s">
        <v>160</v>
      </c>
      <c r="O1560" s="6" t="s">
        <v>161</v>
      </c>
      <c r="P1560" s="19">
        <v>4</v>
      </c>
    </row>
    <row r="1561" spans="12:16" ht="15.75" customHeight="1" x14ac:dyDescent="0.3">
      <c r="L1561" s="6" t="s">
        <v>181</v>
      </c>
      <c r="M1561" s="6" t="s">
        <v>389</v>
      </c>
      <c r="N1561" s="6" t="s">
        <v>162</v>
      </c>
      <c r="O1561" s="6" t="s">
        <v>163</v>
      </c>
      <c r="P1561" s="19">
        <v>0</v>
      </c>
    </row>
    <row r="1562" spans="12:16" ht="15.75" customHeight="1" x14ac:dyDescent="0.3">
      <c r="L1562" s="6" t="s">
        <v>181</v>
      </c>
      <c r="M1562" s="6" t="s">
        <v>389</v>
      </c>
      <c r="N1562" s="6" t="s">
        <v>165</v>
      </c>
      <c r="O1562" s="6" t="s">
        <v>166</v>
      </c>
      <c r="P1562" s="19">
        <v>2</v>
      </c>
    </row>
    <row r="1563" spans="12:16" ht="15.75" customHeight="1" x14ac:dyDescent="0.3">
      <c r="L1563" s="6" t="s">
        <v>181</v>
      </c>
      <c r="M1563" s="6" t="s">
        <v>295</v>
      </c>
      <c r="N1563" s="6" t="s">
        <v>72</v>
      </c>
      <c r="O1563" s="6" t="s">
        <v>75</v>
      </c>
      <c r="P1563" s="19">
        <v>4</v>
      </c>
    </row>
    <row r="1564" spans="12:16" ht="15.75" customHeight="1" x14ac:dyDescent="0.3">
      <c r="L1564" s="6" t="s">
        <v>181</v>
      </c>
      <c r="M1564" s="6" t="s">
        <v>295</v>
      </c>
      <c r="N1564" s="6" t="s">
        <v>83</v>
      </c>
      <c r="O1564" s="6" t="s">
        <v>84</v>
      </c>
      <c r="P1564" s="19">
        <v>1</v>
      </c>
    </row>
    <row r="1565" spans="12:16" ht="15.75" customHeight="1" x14ac:dyDescent="0.3">
      <c r="L1565" s="6" t="s">
        <v>181</v>
      </c>
      <c r="M1565" s="6" t="s">
        <v>295</v>
      </c>
      <c r="N1565" s="6" t="s">
        <v>88</v>
      </c>
      <c r="O1565" s="6" t="s">
        <v>90</v>
      </c>
      <c r="P1565" s="17">
        <v>0.63639999999999997</v>
      </c>
    </row>
    <row r="1566" spans="12:16" ht="15.75" customHeight="1" x14ac:dyDescent="0.3">
      <c r="L1566" s="6" t="s">
        <v>181</v>
      </c>
      <c r="M1566" s="6" t="s">
        <v>295</v>
      </c>
      <c r="N1566" s="6" t="s">
        <v>96</v>
      </c>
      <c r="O1566" s="6" t="s">
        <v>97</v>
      </c>
      <c r="P1566" s="19">
        <v>10</v>
      </c>
    </row>
    <row r="1567" spans="12:16" ht="15.75" customHeight="1" x14ac:dyDescent="0.3">
      <c r="L1567" s="6" t="s">
        <v>181</v>
      </c>
      <c r="M1567" s="6" t="s">
        <v>295</v>
      </c>
      <c r="N1567" s="6" t="s">
        <v>100</v>
      </c>
      <c r="O1567" s="6" t="s">
        <v>101</v>
      </c>
      <c r="P1567" s="19">
        <v>0</v>
      </c>
    </row>
    <row r="1568" spans="12:16" ht="15.75" customHeight="1" x14ac:dyDescent="0.3">
      <c r="L1568" s="6" t="s">
        <v>181</v>
      </c>
      <c r="M1568" s="6" t="s">
        <v>295</v>
      </c>
      <c r="N1568" s="6" t="s">
        <v>22</v>
      </c>
      <c r="O1568" s="6" t="s">
        <v>104</v>
      </c>
      <c r="P1568" s="17">
        <v>22.222200000000001</v>
      </c>
    </row>
    <row r="1569" spans="12:16" ht="15.75" customHeight="1" x14ac:dyDescent="0.3">
      <c r="L1569" s="6" t="s">
        <v>181</v>
      </c>
      <c r="M1569" s="6" t="s">
        <v>295</v>
      </c>
      <c r="N1569" s="6" t="s">
        <v>23</v>
      </c>
      <c r="O1569" s="6" t="s">
        <v>107</v>
      </c>
      <c r="P1569" s="17">
        <v>4750.0258999999996</v>
      </c>
    </row>
    <row r="1570" spans="12:16" ht="15.75" customHeight="1" x14ac:dyDescent="0.3">
      <c r="L1570" s="6" t="s">
        <v>181</v>
      </c>
      <c r="M1570" s="6" t="s">
        <v>295</v>
      </c>
      <c r="N1570" s="6" t="s">
        <v>24</v>
      </c>
      <c r="O1570" s="6" t="s">
        <v>109</v>
      </c>
      <c r="P1570" s="17">
        <v>9.4200000000000006E-2</v>
      </c>
    </row>
    <row r="1571" spans="12:16" ht="15.75" customHeight="1" x14ac:dyDescent="0.3">
      <c r="L1571" s="6" t="s">
        <v>181</v>
      </c>
      <c r="M1571" s="6" t="s">
        <v>295</v>
      </c>
      <c r="N1571" s="6" t="s">
        <v>25</v>
      </c>
      <c r="O1571" s="6" t="s">
        <v>111</v>
      </c>
      <c r="P1571" s="19">
        <v>44</v>
      </c>
    </row>
    <row r="1572" spans="12:16" ht="15.75" customHeight="1" x14ac:dyDescent="0.3">
      <c r="L1572" s="6" t="s">
        <v>181</v>
      </c>
      <c r="M1572" s="6" t="s">
        <v>295</v>
      </c>
      <c r="N1572" s="6" t="s">
        <v>26</v>
      </c>
      <c r="O1572" s="6" t="s">
        <v>113</v>
      </c>
      <c r="P1572" s="19">
        <v>29</v>
      </c>
    </row>
    <row r="1573" spans="12:16" ht="15.75" customHeight="1" x14ac:dyDescent="0.3">
      <c r="L1573" s="6" t="s">
        <v>181</v>
      </c>
      <c r="M1573" s="6" t="s">
        <v>295</v>
      </c>
      <c r="N1573" s="6" t="s">
        <v>27</v>
      </c>
      <c r="O1573" s="6" t="s">
        <v>117</v>
      </c>
      <c r="P1573" s="17">
        <v>213.75120000000001</v>
      </c>
    </row>
    <row r="1574" spans="12:16" ht="15.75" customHeight="1" x14ac:dyDescent="0.3">
      <c r="L1574" s="6" t="s">
        <v>181</v>
      </c>
      <c r="M1574" s="6" t="s">
        <v>295</v>
      </c>
      <c r="N1574" s="6" t="s">
        <v>29</v>
      </c>
      <c r="O1574" s="6" t="s">
        <v>125</v>
      </c>
      <c r="P1574" s="19">
        <v>21</v>
      </c>
    </row>
    <row r="1575" spans="12:16" ht="15.75" customHeight="1" x14ac:dyDescent="0.3">
      <c r="L1575" s="6" t="s">
        <v>181</v>
      </c>
      <c r="M1575" s="6" t="s">
        <v>295</v>
      </c>
      <c r="N1575" s="6" t="s">
        <v>135</v>
      </c>
      <c r="O1575" s="6" t="s">
        <v>136</v>
      </c>
      <c r="P1575" s="19">
        <v>1</v>
      </c>
    </row>
    <row r="1576" spans="12:16" ht="15.75" customHeight="1" x14ac:dyDescent="0.3">
      <c r="L1576" s="6" t="s">
        <v>181</v>
      </c>
      <c r="M1576" s="6" t="s">
        <v>295</v>
      </c>
      <c r="N1576" s="6" t="s">
        <v>138</v>
      </c>
      <c r="O1576" s="6" t="s">
        <v>139</v>
      </c>
      <c r="P1576" s="19">
        <v>0</v>
      </c>
    </row>
    <row r="1577" spans="12:16" ht="15.75" customHeight="1" x14ac:dyDescent="0.3">
      <c r="L1577" s="6" t="s">
        <v>181</v>
      </c>
      <c r="M1577" s="6" t="s">
        <v>295</v>
      </c>
      <c r="N1577" s="6" t="s">
        <v>30</v>
      </c>
      <c r="O1577" s="6" t="s">
        <v>148</v>
      </c>
      <c r="P1577" s="17">
        <v>54.637300000000003</v>
      </c>
    </row>
    <row r="1578" spans="12:16" ht="15.75" customHeight="1" x14ac:dyDescent="0.3">
      <c r="L1578" s="6" t="s">
        <v>181</v>
      </c>
      <c r="M1578" s="6" t="s">
        <v>295</v>
      </c>
      <c r="N1578" s="6" t="s">
        <v>156</v>
      </c>
      <c r="O1578" s="6" t="s">
        <v>157</v>
      </c>
      <c r="P1578" s="19">
        <v>1</v>
      </c>
    </row>
    <row r="1579" spans="12:16" ht="15.75" customHeight="1" x14ac:dyDescent="0.3">
      <c r="L1579" s="6" t="s">
        <v>181</v>
      </c>
      <c r="M1579" s="6" t="s">
        <v>295</v>
      </c>
      <c r="N1579" s="6" t="s">
        <v>158</v>
      </c>
      <c r="O1579" s="6" t="s">
        <v>159</v>
      </c>
      <c r="P1579" s="19">
        <v>5</v>
      </c>
    </row>
    <row r="1580" spans="12:16" ht="15.75" customHeight="1" x14ac:dyDescent="0.3">
      <c r="L1580" s="6" t="s">
        <v>181</v>
      </c>
      <c r="M1580" s="6" t="s">
        <v>295</v>
      </c>
      <c r="N1580" s="6" t="s">
        <v>160</v>
      </c>
      <c r="O1580" s="6" t="s">
        <v>161</v>
      </c>
      <c r="P1580" s="19">
        <v>7</v>
      </c>
    </row>
    <row r="1581" spans="12:16" ht="15.75" customHeight="1" x14ac:dyDescent="0.3">
      <c r="L1581" s="6" t="s">
        <v>181</v>
      </c>
      <c r="M1581" s="6" t="s">
        <v>295</v>
      </c>
      <c r="N1581" s="6" t="s">
        <v>162</v>
      </c>
      <c r="O1581" s="6" t="s">
        <v>163</v>
      </c>
      <c r="P1581" s="19">
        <v>0</v>
      </c>
    </row>
    <row r="1582" spans="12:16" ht="15.75" customHeight="1" x14ac:dyDescent="0.3">
      <c r="L1582" s="6" t="s">
        <v>181</v>
      </c>
      <c r="M1582" s="6" t="s">
        <v>295</v>
      </c>
      <c r="N1582" s="6" t="s">
        <v>165</v>
      </c>
      <c r="O1582" s="6" t="s">
        <v>166</v>
      </c>
      <c r="P1582" s="19">
        <v>1</v>
      </c>
    </row>
    <row r="1583" spans="12:16" ht="15.75" customHeight="1" x14ac:dyDescent="0.3">
      <c r="L1583" s="6" t="s">
        <v>181</v>
      </c>
      <c r="M1583" s="6" t="s">
        <v>391</v>
      </c>
      <c r="N1583" s="6" t="s">
        <v>72</v>
      </c>
      <c r="O1583" s="6" t="s">
        <v>75</v>
      </c>
      <c r="P1583" s="19">
        <v>0</v>
      </c>
    </row>
    <row r="1584" spans="12:16" ht="15.75" customHeight="1" x14ac:dyDescent="0.3">
      <c r="L1584" s="6" t="s">
        <v>181</v>
      </c>
      <c r="M1584" s="6" t="s">
        <v>391</v>
      </c>
      <c r="N1584" s="6" t="s">
        <v>83</v>
      </c>
      <c r="O1584" s="6" t="s">
        <v>84</v>
      </c>
      <c r="P1584" s="19">
        <v>0</v>
      </c>
    </row>
    <row r="1585" spans="12:16" ht="15.75" customHeight="1" x14ac:dyDescent="0.3">
      <c r="L1585" s="6" t="s">
        <v>181</v>
      </c>
      <c r="M1585" s="6" t="s">
        <v>391</v>
      </c>
      <c r="N1585" s="6" t="s">
        <v>88</v>
      </c>
      <c r="O1585" s="6" t="s">
        <v>90</v>
      </c>
      <c r="P1585" s="19">
        <v>1</v>
      </c>
    </row>
    <row r="1586" spans="12:16" ht="15.75" customHeight="1" x14ac:dyDescent="0.3">
      <c r="L1586" s="6" t="s">
        <v>181</v>
      </c>
      <c r="M1586" s="6" t="s">
        <v>391</v>
      </c>
      <c r="N1586" s="6" t="s">
        <v>96</v>
      </c>
      <c r="O1586" s="6" t="s">
        <v>97</v>
      </c>
      <c r="P1586" s="19">
        <v>3</v>
      </c>
    </row>
    <row r="1587" spans="12:16" ht="15.75" customHeight="1" x14ac:dyDescent="0.3">
      <c r="L1587" s="6" t="s">
        <v>181</v>
      </c>
      <c r="M1587" s="6" t="s">
        <v>391</v>
      </c>
      <c r="N1587" s="6" t="s">
        <v>100</v>
      </c>
      <c r="O1587" s="6" t="s">
        <v>101</v>
      </c>
      <c r="P1587" s="19">
        <v>2</v>
      </c>
    </row>
    <row r="1588" spans="12:16" ht="15.75" customHeight="1" x14ac:dyDescent="0.3">
      <c r="L1588" s="6" t="s">
        <v>181</v>
      </c>
      <c r="M1588" s="6" t="s">
        <v>391</v>
      </c>
      <c r="N1588" s="6" t="s">
        <v>22</v>
      </c>
      <c r="O1588" s="6" t="s">
        <v>104</v>
      </c>
      <c r="P1588" s="17">
        <v>4.9000000000000004</v>
      </c>
    </row>
    <row r="1589" spans="12:16" ht="15.75" customHeight="1" x14ac:dyDescent="0.3">
      <c r="L1589" s="6" t="s">
        <v>181</v>
      </c>
      <c r="M1589" s="6" t="s">
        <v>391</v>
      </c>
      <c r="N1589" s="6" t="s">
        <v>23</v>
      </c>
      <c r="O1589" s="6" t="s">
        <v>107</v>
      </c>
      <c r="P1589" s="17">
        <v>245.92840000000001</v>
      </c>
    </row>
    <row r="1590" spans="12:16" ht="15.75" customHeight="1" x14ac:dyDescent="0.3">
      <c r="L1590" s="6" t="s">
        <v>181</v>
      </c>
      <c r="M1590" s="6" t="s">
        <v>391</v>
      </c>
      <c r="N1590" s="6" t="s">
        <v>24</v>
      </c>
      <c r="O1590" s="6" t="s">
        <v>109</v>
      </c>
      <c r="P1590" s="17">
        <v>1.3100000000000001E-2</v>
      </c>
    </row>
    <row r="1591" spans="12:16" ht="15.75" customHeight="1" x14ac:dyDescent="0.3">
      <c r="L1591" s="6" t="s">
        <v>181</v>
      </c>
      <c r="M1591" s="6" t="s">
        <v>391</v>
      </c>
      <c r="N1591" s="6" t="s">
        <v>25</v>
      </c>
      <c r="O1591" s="6" t="s">
        <v>111</v>
      </c>
      <c r="P1591" s="19">
        <v>14</v>
      </c>
    </row>
    <row r="1592" spans="12:16" ht="15.75" customHeight="1" x14ac:dyDescent="0.3">
      <c r="L1592" s="6" t="s">
        <v>181</v>
      </c>
      <c r="M1592" s="6" t="s">
        <v>391</v>
      </c>
      <c r="N1592" s="6" t="s">
        <v>26</v>
      </c>
      <c r="O1592" s="6" t="s">
        <v>113</v>
      </c>
      <c r="P1592" s="19">
        <v>12</v>
      </c>
    </row>
    <row r="1593" spans="12:16" ht="15.75" customHeight="1" x14ac:dyDescent="0.3">
      <c r="L1593" s="6" t="s">
        <v>181</v>
      </c>
      <c r="M1593" s="6" t="s">
        <v>391</v>
      </c>
      <c r="N1593" s="6" t="s">
        <v>27</v>
      </c>
      <c r="O1593" s="6" t="s">
        <v>117</v>
      </c>
      <c r="P1593" s="17">
        <v>50.189500000000002</v>
      </c>
    </row>
    <row r="1594" spans="12:16" ht="15.75" customHeight="1" x14ac:dyDescent="0.3">
      <c r="L1594" s="6" t="s">
        <v>181</v>
      </c>
      <c r="M1594" s="6" t="s">
        <v>391</v>
      </c>
      <c r="N1594" s="6" t="s">
        <v>29</v>
      </c>
      <c r="O1594" s="6" t="s">
        <v>125</v>
      </c>
      <c r="P1594" s="19">
        <v>5</v>
      </c>
    </row>
    <row r="1595" spans="12:16" ht="15.75" customHeight="1" x14ac:dyDescent="0.3">
      <c r="L1595" s="6" t="s">
        <v>181</v>
      </c>
      <c r="M1595" s="6" t="s">
        <v>391</v>
      </c>
      <c r="N1595" s="6" t="s">
        <v>135</v>
      </c>
      <c r="O1595" s="6" t="s">
        <v>136</v>
      </c>
      <c r="P1595" s="19">
        <v>0</v>
      </c>
    </row>
    <row r="1596" spans="12:16" ht="15.75" customHeight="1" x14ac:dyDescent="0.3">
      <c r="L1596" s="6" t="s">
        <v>181</v>
      </c>
      <c r="M1596" s="6" t="s">
        <v>391</v>
      </c>
      <c r="N1596" s="6" t="s">
        <v>138</v>
      </c>
      <c r="O1596" s="6" t="s">
        <v>139</v>
      </c>
      <c r="P1596" s="19">
        <v>0</v>
      </c>
    </row>
    <row r="1597" spans="12:16" ht="15.75" customHeight="1" x14ac:dyDescent="0.3">
      <c r="L1597" s="6" t="s">
        <v>181</v>
      </c>
      <c r="M1597" s="6" t="s">
        <v>391</v>
      </c>
      <c r="N1597" s="6" t="s">
        <v>30</v>
      </c>
      <c r="O1597" s="6" t="s">
        <v>148</v>
      </c>
      <c r="P1597" s="17">
        <v>72.856499999999997</v>
      </c>
    </row>
    <row r="1598" spans="12:16" ht="15.75" customHeight="1" x14ac:dyDescent="0.3">
      <c r="L1598" s="6" t="s">
        <v>181</v>
      </c>
      <c r="M1598" s="6" t="s">
        <v>391</v>
      </c>
      <c r="N1598" s="6" t="s">
        <v>156</v>
      </c>
      <c r="O1598" s="6" t="s">
        <v>157</v>
      </c>
      <c r="P1598" s="19">
        <v>0</v>
      </c>
    </row>
    <row r="1599" spans="12:16" ht="15.75" customHeight="1" x14ac:dyDescent="0.3">
      <c r="L1599" s="6" t="s">
        <v>181</v>
      </c>
      <c r="M1599" s="6" t="s">
        <v>391</v>
      </c>
      <c r="N1599" s="6" t="s">
        <v>158</v>
      </c>
      <c r="O1599" s="6" t="s">
        <v>159</v>
      </c>
      <c r="P1599" s="19">
        <v>1</v>
      </c>
    </row>
    <row r="1600" spans="12:16" ht="15.75" customHeight="1" x14ac:dyDescent="0.3">
      <c r="L1600" s="6" t="s">
        <v>181</v>
      </c>
      <c r="M1600" s="6" t="s">
        <v>391</v>
      </c>
      <c r="N1600" s="6" t="s">
        <v>160</v>
      </c>
      <c r="O1600" s="6" t="s">
        <v>161</v>
      </c>
      <c r="P1600" s="19">
        <v>3</v>
      </c>
    </row>
    <row r="1601" spans="12:16" ht="15.75" customHeight="1" x14ac:dyDescent="0.3">
      <c r="L1601" s="6" t="s">
        <v>181</v>
      </c>
      <c r="M1601" s="6" t="s">
        <v>391</v>
      </c>
      <c r="N1601" s="6" t="s">
        <v>162</v>
      </c>
      <c r="O1601" s="6" t="s">
        <v>163</v>
      </c>
      <c r="P1601" s="19">
        <v>0</v>
      </c>
    </row>
    <row r="1602" spans="12:16" ht="15.75" customHeight="1" x14ac:dyDescent="0.3">
      <c r="L1602" s="6" t="s">
        <v>181</v>
      </c>
      <c r="M1602" s="6" t="s">
        <v>391</v>
      </c>
      <c r="N1602" s="6" t="s">
        <v>165</v>
      </c>
      <c r="O1602" s="6" t="s">
        <v>166</v>
      </c>
      <c r="P1602" s="19">
        <v>0</v>
      </c>
    </row>
    <row r="1603" spans="12:16" ht="15.75" customHeight="1" x14ac:dyDescent="0.3">
      <c r="L1603" s="6" t="s">
        <v>181</v>
      </c>
      <c r="M1603" s="6" t="s">
        <v>393</v>
      </c>
      <c r="N1603" s="6" t="s">
        <v>72</v>
      </c>
      <c r="O1603" s="6" t="s">
        <v>75</v>
      </c>
      <c r="P1603" s="19">
        <v>0</v>
      </c>
    </row>
    <row r="1604" spans="12:16" ht="15.75" customHeight="1" x14ac:dyDescent="0.3">
      <c r="L1604" s="6" t="s">
        <v>181</v>
      </c>
      <c r="M1604" s="6" t="s">
        <v>393</v>
      </c>
      <c r="N1604" s="6" t="s">
        <v>83</v>
      </c>
      <c r="O1604" s="6" t="s">
        <v>84</v>
      </c>
      <c r="P1604" s="19">
        <v>0</v>
      </c>
    </row>
    <row r="1605" spans="12:16" ht="15.75" customHeight="1" x14ac:dyDescent="0.3">
      <c r="L1605" s="6" t="s">
        <v>181</v>
      </c>
      <c r="M1605" s="6" t="s">
        <v>393</v>
      </c>
      <c r="N1605" s="6" t="s">
        <v>88</v>
      </c>
      <c r="O1605" s="6" t="s">
        <v>90</v>
      </c>
      <c r="P1605" s="17">
        <v>0.75</v>
      </c>
    </row>
    <row r="1606" spans="12:16" ht="15.75" customHeight="1" x14ac:dyDescent="0.3">
      <c r="L1606" s="6" t="s">
        <v>181</v>
      </c>
      <c r="M1606" s="6" t="s">
        <v>393</v>
      </c>
      <c r="N1606" s="6" t="s">
        <v>96</v>
      </c>
      <c r="O1606" s="6" t="s">
        <v>97</v>
      </c>
      <c r="P1606" s="19">
        <v>7</v>
      </c>
    </row>
    <row r="1607" spans="12:16" ht="15.75" customHeight="1" x14ac:dyDescent="0.3">
      <c r="L1607" s="6" t="s">
        <v>181</v>
      </c>
      <c r="M1607" s="6" t="s">
        <v>393</v>
      </c>
      <c r="N1607" s="6" t="s">
        <v>100</v>
      </c>
      <c r="O1607" s="6" t="s">
        <v>101</v>
      </c>
      <c r="P1607" s="19">
        <v>1</v>
      </c>
    </row>
    <row r="1608" spans="12:16" ht="15.75" customHeight="1" x14ac:dyDescent="0.3">
      <c r="L1608" s="6" t="s">
        <v>181</v>
      </c>
      <c r="M1608" s="6" t="s">
        <v>393</v>
      </c>
      <c r="N1608" s="6" t="s">
        <v>22</v>
      </c>
      <c r="O1608" s="6" t="s">
        <v>104</v>
      </c>
      <c r="P1608" s="17">
        <v>7.0587999999999997</v>
      </c>
    </row>
    <row r="1609" spans="12:16" ht="15.75" customHeight="1" x14ac:dyDescent="0.3">
      <c r="L1609" s="6" t="s">
        <v>181</v>
      </c>
      <c r="M1609" s="6" t="s">
        <v>393</v>
      </c>
      <c r="N1609" s="6" t="s">
        <v>23</v>
      </c>
      <c r="O1609" s="6" t="s">
        <v>107</v>
      </c>
      <c r="P1609" s="17">
        <v>1510.376</v>
      </c>
    </row>
    <row r="1610" spans="12:16" ht="15.75" customHeight="1" x14ac:dyDescent="0.3">
      <c r="L1610" s="6" t="s">
        <v>181</v>
      </c>
      <c r="M1610" s="6" t="s">
        <v>393</v>
      </c>
      <c r="N1610" s="6" t="s">
        <v>24</v>
      </c>
      <c r="O1610" s="6" t="s">
        <v>109</v>
      </c>
      <c r="P1610" s="17">
        <v>4.3900000000000002E-2</v>
      </c>
    </row>
    <row r="1611" spans="12:16" ht="15.75" customHeight="1" x14ac:dyDescent="0.3">
      <c r="L1611" s="6" t="s">
        <v>181</v>
      </c>
      <c r="M1611" s="6" t="s">
        <v>393</v>
      </c>
      <c r="N1611" s="6" t="s">
        <v>25</v>
      </c>
      <c r="O1611" s="6" t="s">
        <v>111</v>
      </c>
      <c r="P1611" s="19">
        <v>45</v>
      </c>
    </row>
    <row r="1612" spans="12:16" ht="15.75" customHeight="1" x14ac:dyDescent="0.3">
      <c r="L1612" s="6" t="s">
        <v>181</v>
      </c>
      <c r="M1612" s="6" t="s">
        <v>393</v>
      </c>
      <c r="N1612" s="6" t="s">
        <v>26</v>
      </c>
      <c r="O1612" s="6" t="s">
        <v>113</v>
      </c>
      <c r="P1612" s="19">
        <v>27</v>
      </c>
    </row>
    <row r="1613" spans="12:16" ht="15.75" customHeight="1" x14ac:dyDescent="0.3">
      <c r="L1613" s="6" t="s">
        <v>181</v>
      </c>
      <c r="M1613" s="6" t="s">
        <v>393</v>
      </c>
      <c r="N1613" s="6" t="s">
        <v>27</v>
      </c>
      <c r="O1613" s="6" t="s">
        <v>117</v>
      </c>
      <c r="P1613" s="17">
        <v>213.9699</v>
      </c>
    </row>
    <row r="1614" spans="12:16" ht="15.75" customHeight="1" x14ac:dyDescent="0.3">
      <c r="L1614" s="6" t="s">
        <v>181</v>
      </c>
      <c r="M1614" s="6" t="s">
        <v>393</v>
      </c>
      <c r="N1614" s="6" t="s">
        <v>29</v>
      </c>
      <c r="O1614" s="6" t="s">
        <v>125</v>
      </c>
      <c r="P1614" s="19">
        <v>13</v>
      </c>
    </row>
    <row r="1615" spans="12:16" ht="15.75" customHeight="1" x14ac:dyDescent="0.3">
      <c r="L1615" s="6" t="s">
        <v>181</v>
      </c>
      <c r="M1615" s="6" t="s">
        <v>393</v>
      </c>
      <c r="N1615" s="6" t="s">
        <v>135</v>
      </c>
      <c r="O1615" s="6" t="s">
        <v>136</v>
      </c>
      <c r="P1615" s="17">
        <v>0.44440000000000002</v>
      </c>
    </row>
    <row r="1616" spans="12:16" ht="15.75" customHeight="1" x14ac:dyDescent="0.3">
      <c r="L1616" s="6" t="s">
        <v>181</v>
      </c>
      <c r="M1616" s="6" t="s">
        <v>393</v>
      </c>
      <c r="N1616" s="6" t="s">
        <v>138</v>
      </c>
      <c r="O1616" s="6" t="s">
        <v>139</v>
      </c>
      <c r="P1616" s="19">
        <v>0</v>
      </c>
    </row>
    <row r="1617" spans="12:16" ht="15.75" customHeight="1" x14ac:dyDescent="0.3">
      <c r="L1617" s="6" t="s">
        <v>181</v>
      </c>
      <c r="M1617" s="6" t="s">
        <v>393</v>
      </c>
      <c r="N1617" s="6" t="s">
        <v>30</v>
      </c>
      <c r="O1617" s="6" t="s">
        <v>148</v>
      </c>
      <c r="P1617" s="17">
        <v>59.397100000000002</v>
      </c>
    </row>
    <row r="1618" spans="12:16" ht="15.75" customHeight="1" x14ac:dyDescent="0.3">
      <c r="L1618" s="6" t="s">
        <v>181</v>
      </c>
      <c r="M1618" s="6" t="s">
        <v>393</v>
      </c>
      <c r="N1618" s="6" t="s">
        <v>156</v>
      </c>
      <c r="O1618" s="6" t="s">
        <v>157</v>
      </c>
      <c r="P1618" s="19">
        <v>0</v>
      </c>
    </row>
    <row r="1619" spans="12:16" ht="15.75" customHeight="1" x14ac:dyDescent="0.3">
      <c r="L1619" s="6" t="s">
        <v>181</v>
      </c>
      <c r="M1619" s="6" t="s">
        <v>393</v>
      </c>
      <c r="N1619" s="6" t="s">
        <v>158</v>
      </c>
      <c r="O1619" s="6" t="s">
        <v>159</v>
      </c>
      <c r="P1619" s="19">
        <v>1</v>
      </c>
    </row>
    <row r="1620" spans="12:16" ht="15.75" customHeight="1" x14ac:dyDescent="0.3">
      <c r="L1620" s="6" t="s">
        <v>181</v>
      </c>
      <c r="M1620" s="6" t="s">
        <v>393</v>
      </c>
      <c r="N1620" s="6" t="s">
        <v>160</v>
      </c>
      <c r="O1620" s="6" t="s">
        <v>161</v>
      </c>
      <c r="P1620" s="19">
        <v>9</v>
      </c>
    </row>
    <row r="1621" spans="12:16" ht="15.75" customHeight="1" x14ac:dyDescent="0.3">
      <c r="L1621" s="6" t="s">
        <v>181</v>
      </c>
      <c r="M1621" s="6" t="s">
        <v>393</v>
      </c>
      <c r="N1621" s="6" t="s">
        <v>162</v>
      </c>
      <c r="O1621" s="6" t="s">
        <v>163</v>
      </c>
      <c r="P1621" s="19">
        <v>0</v>
      </c>
    </row>
    <row r="1622" spans="12:16" ht="15.75" customHeight="1" x14ac:dyDescent="0.3">
      <c r="L1622" s="6" t="s">
        <v>181</v>
      </c>
      <c r="M1622" s="6" t="s">
        <v>393</v>
      </c>
      <c r="N1622" s="6" t="s">
        <v>165</v>
      </c>
      <c r="O1622" s="6" t="s">
        <v>166</v>
      </c>
      <c r="P1622" s="19">
        <v>0</v>
      </c>
    </row>
    <row r="1623" spans="12:16" ht="15.75" customHeight="1" x14ac:dyDescent="0.3">
      <c r="L1623" s="6" t="s">
        <v>182</v>
      </c>
      <c r="M1623" s="6" t="s">
        <v>395</v>
      </c>
      <c r="N1623" s="6" t="s">
        <v>72</v>
      </c>
      <c r="O1623" s="6" t="s">
        <v>75</v>
      </c>
      <c r="P1623" s="19">
        <v>0</v>
      </c>
    </row>
    <row r="1624" spans="12:16" ht="15.75" customHeight="1" x14ac:dyDescent="0.3">
      <c r="L1624" s="6" t="s">
        <v>182</v>
      </c>
      <c r="M1624" s="6" t="s">
        <v>395</v>
      </c>
      <c r="N1624" s="6" t="s">
        <v>83</v>
      </c>
      <c r="O1624" s="6" t="s">
        <v>84</v>
      </c>
      <c r="P1624" s="19">
        <v>0</v>
      </c>
    </row>
    <row r="1625" spans="12:16" ht="15.75" customHeight="1" x14ac:dyDescent="0.3">
      <c r="L1625" s="6" t="s">
        <v>182</v>
      </c>
      <c r="M1625" s="6" t="s">
        <v>395</v>
      </c>
      <c r="N1625" s="6" t="s">
        <v>88</v>
      </c>
      <c r="O1625" s="6" t="s">
        <v>90</v>
      </c>
      <c r="P1625" s="19">
        <v>0</v>
      </c>
    </row>
    <row r="1626" spans="12:16" ht="15.75" customHeight="1" x14ac:dyDescent="0.3">
      <c r="L1626" s="6" t="s">
        <v>182</v>
      </c>
      <c r="M1626" s="6" t="s">
        <v>395</v>
      </c>
      <c r="N1626" s="6" t="s">
        <v>96</v>
      </c>
      <c r="O1626" s="6" t="s">
        <v>97</v>
      </c>
      <c r="P1626" s="19">
        <v>0</v>
      </c>
    </row>
    <row r="1627" spans="12:16" ht="15.75" customHeight="1" x14ac:dyDescent="0.3">
      <c r="L1627" s="6" t="s">
        <v>182</v>
      </c>
      <c r="M1627" s="6" t="s">
        <v>395</v>
      </c>
      <c r="N1627" s="6" t="s">
        <v>100</v>
      </c>
      <c r="O1627" s="6" t="s">
        <v>101</v>
      </c>
      <c r="P1627" s="19">
        <v>0</v>
      </c>
    </row>
    <row r="1628" spans="12:16" ht="15.75" customHeight="1" x14ac:dyDescent="0.3">
      <c r="L1628" s="6" t="s">
        <v>182</v>
      </c>
      <c r="M1628" s="6" t="s">
        <v>395</v>
      </c>
      <c r="N1628" s="6" t="s">
        <v>22</v>
      </c>
      <c r="O1628" s="6" t="s">
        <v>104</v>
      </c>
      <c r="P1628" s="19">
        <v>0</v>
      </c>
    </row>
    <row r="1629" spans="12:16" ht="15.75" customHeight="1" x14ac:dyDescent="0.3">
      <c r="L1629" s="6" t="s">
        <v>182</v>
      </c>
      <c r="M1629" s="6" t="s">
        <v>395</v>
      </c>
      <c r="N1629" s="6" t="s">
        <v>23</v>
      </c>
      <c r="O1629" s="6" t="s">
        <v>107</v>
      </c>
      <c r="P1629" s="25" t="s">
        <v>222</v>
      </c>
    </row>
    <row r="1630" spans="12:16" ht="15.75" customHeight="1" x14ac:dyDescent="0.3">
      <c r="L1630" s="6" t="s">
        <v>182</v>
      </c>
      <c r="M1630" s="6" t="s">
        <v>395</v>
      </c>
      <c r="N1630" s="6" t="s">
        <v>24</v>
      </c>
      <c r="O1630" s="6" t="s">
        <v>109</v>
      </c>
      <c r="P1630" s="25" t="s">
        <v>222</v>
      </c>
    </row>
    <row r="1631" spans="12:16" ht="15.75" customHeight="1" x14ac:dyDescent="0.3">
      <c r="L1631" s="6" t="s">
        <v>182</v>
      </c>
      <c r="M1631" s="6" t="s">
        <v>395</v>
      </c>
      <c r="N1631" s="6" t="s">
        <v>25</v>
      </c>
      <c r="O1631" s="6" t="s">
        <v>111</v>
      </c>
      <c r="P1631" s="19">
        <v>0</v>
      </c>
    </row>
    <row r="1632" spans="12:16" ht="15.75" customHeight="1" x14ac:dyDescent="0.3">
      <c r="L1632" s="6" t="s">
        <v>182</v>
      </c>
      <c r="M1632" s="6" t="s">
        <v>395</v>
      </c>
      <c r="N1632" s="6" t="s">
        <v>26</v>
      </c>
      <c r="O1632" s="6" t="s">
        <v>113</v>
      </c>
      <c r="P1632" s="19">
        <v>0</v>
      </c>
    </row>
    <row r="1633" spans="12:16" ht="15.75" customHeight="1" x14ac:dyDescent="0.3">
      <c r="L1633" s="6" t="s">
        <v>182</v>
      </c>
      <c r="M1633" s="6" t="s">
        <v>395</v>
      </c>
      <c r="N1633" s="6" t="s">
        <v>27</v>
      </c>
      <c r="O1633" s="6" t="s">
        <v>117</v>
      </c>
      <c r="P1633" s="25" t="s">
        <v>222</v>
      </c>
    </row>
    <row r="1634" spans="12:16" ht="15.75" customHeight="1" x14ac:dyDescent="0.3">
      <c r="L1634" s="6" t="s">
        <v>182</v>
      </c>
      <c r="M1634" s="6" t="s">
        <v>395</v>
      </c>
      <c r="N1634" s="6" t="s">
        <v>29</v>
      </c>
      <c r="O1634" s="6" t="s">
        <v>125</v>
      </c>
      <c r="P1634" s="19">
        <v>1</v>
      </c>
    </row>
    <row r="1635" spans="12:16" ht="15.75" customHeight="1" x14ac:dyDescent="0.3">
      <c r="L1635" s="6" t="s">
        <v>182</v>
      </c>
      <c r="M1635" s="6" t="s">
        <v>395</v>
      </c>
      <c r="N1635" s="6" t="s">
        <v>135</v>
      </c>
      <c r="O1635" s="6" t="s">
        <v>136</v>
      </c>
      <c r="P1635" s="19">
        <v>0</v>
      </c>
    </row>
    <row r="1636" spans="12:16" ht="15.75" customHeight="1" x14ac:dyDescent="0.3">
      <c r="L1636" s="6" t="s">
        <v>182</v>
      </c>
      <c r="M1636" s="6" t="s">
        <v>395</v>
      </c>
      <c r="N1636" s="6" t="s">
        <v>138</v>
      </c>
      <c r="O1636" s="6" t="s">
        <v>139</v>
      </c>
      <c r="P1636" s="19">
        <v>0</v>
      </c>
    </row>
    <row r="1637" spans="12:16" ht="15.75" customHeight="1" x14ac:dyDescent="0.3">
      <c r="L1637" s="6" t="s">
        <v>182</v>
      </c>
      <c r="M1637" s="6" t="s">
        <v>395</v>
      </c>
      <c r="N1637" s="6" t="s">
        <v>30</v>
      </c>
      <c r="O1637" s="6" t="s">
        <v>148</v>
      </c>
      <c r="P1637" s="25" t="s">
        <v>173</v>
      </c>
    </row>
    <row r="1638" spans="12:16" ht="15.75" customHeight="1" x14ac:dyDescent="0.3">
      <c r="L1638" s="6" t="s">
        <v>182</v>
      </c>
      <c r="M1638" s="6" t="s">
        <v>395</v>
      </c>
      <c r="N1638" s="6" t="s">
        <v>156</v>
      </c>
      <c r="O1638" s="6" t="s">
        <v>157</v>
      </c>
      <c r="P1638" s="19">
        <v>-1</v>
      </c>
    </row>
    <row r="1639" spans="12:16" ht="15.75" customHeight="1" x14ac:dyDescent="0.3">
      <c r="L1639" s="6" t="s">
        <v>182</v>
      </c>
      <c r="M1639" s="6" t="s">
        <v>395</v>
      </c>
      <c r="N1639" s="6" t="s">
        <v>158</v>
      </c>
      <c r="O1639" s="6" t="s">
        <v>159</v>
      </c>
      <c r="P1639" s="19">
        <v>1</v>
      </c>
    </row>
    <row r="1640" spans="12:16" ht="15.75" customHeight="1" x14ac:dyDescent="0.3">
      <c r="L1640" s="6" t="s">
        <v>182</v>
      </c>
      <c r="M1640" s="6" t="s">
        <v>395</v>
      </c>
      <c r="N1640" s="6" t="s">
        <v>160</v>
      </c>
      <c r="O1640" s="6" t="s">
        <v>161</v>
      </c>
      <c r="P1640" s="19">
        <v>0</v>
      </c>
    </row>
    <row r="1641" spans="12:16" ht="15.75" customHeight="1" x14ac:dyDescent="0.3">
      <c r="L1641" s="6" t="s">
        <v>182</v>
      </c>
      <c r="M1641" s="6" t="s">
        <v>395</v>
      </c>
      <c r="N1641" s="6" t="s">
        <v>162</v>
      </c>
      <c r="O1641" s="6" t="s">
        <v>163</v>
      </c>
      <c r="P1641" s="19">
        <v>0</v>
      </c>
    </row>
    <row r="1642" spans="12:16" ht="15.75" customHeight="1" x14ac:dyDescent="0.3">
      <c r="L1642" s="6" t="s">
        <v>182</v>
      </c>
      <c r="M1642" s="6" t="s">
        <v>395</v>
      </c>
      <c r="N1642" s="6" t="s">
        <v>165</v>
      </c>
      <c r="O1642" s="6" t="s">
        <v>166</v>
      </c>
      <c r="P1642" s="19">
        <v>1</v>
      </c>
    </row>
    <row r="1643" spans="12:16" ht="15.75" customHeight="1" x14ac:dyDescent="0.3">
      <c r="L1643" s="6" t="s">
        <v>182</v>
      </c>
      <c r="M1643" s="6" t="s">
        <v>397</v>
      </c>
      <c r="N1643" s="6" t="s">
        <v>72</v>
      </c>
      <c r="O1643" s="6" t="s">
        <v>75</v>
      </c>
      <c r="P1643" s="19">
        <v>0</v>
      </c>
    </row>
    <row r="1644" spans="12:16" ht="15.75" customHeight="1" x14ac:dyDescent="0.3">
      <c r="L1644" s="6" t="s">
        <v>182</v>
      </c>
      <c r="M1644" s="6" t="s">
        <v>397</v>
      </c>
      <c r="N1644" s="6" t="s">
        <v>83</v>
      </c>
      <c r="O1644" s="6" t="s">
        <v>84</v>
      </c>
      <c r="P1644" s="19">
        <v>0</v>
      </c>
    </row>
    <row r="1645" spans="12:16" ht="15.75" customHeight="1" x14ac:dyDescent="0.3">
      <c r="L1645" s="6" t="s">
        <v>182</v>
      </c>
      <c r="M1645" s="6" t="s">
        <v>397</v>
      </c>
      <c r="N1645" s="6" t="s">
        <v>88</v>
      </c>
      <c r="O1645" s="6" t="s">
        <v>90</v>
      </c>
      <c r="P1645" s="19">
        <v>0</v>
      </c>
    </row>
    <row r="1646" spans="12:16" ht="15.75" customHeight="1" x14ac:dyDescent="0.3">
      <c r="L1646" s="6" t="s">
        <v>182</v>
      </c>
      <c r="M1646" s="6" t="s">
        <v>397</v>
      </c>
      <c r="N1646" s="6" t="s">
        <v>96</v>
      </c>
      <c r="O1646" s="6" t="s">
        <v>97</v>
      </c>
      <c r="P1646" s="19">
        <v>0</v>
      </c>
    </row>
    <row r="1647" spans="12:16" ht="15.75" customHeight="1" x14ac:dyDescent="0.3">
      <c r="L1647" s="6" t="s">
        <v>182</v>
      </c>
      <c r="M1647" s="6" t="s">
        <v>397</v>
      </c>
      <c r="N1647" s="6" t="s">
        <v>100</v>
      </c>
      <c r="O1647" s="6" t="s">
        <v>101</v>
      </c>
      <c r="P1647" s="19">
        <v>0</v>
      </c>
    </row>
    <row r="1648" spans="12:16" ht="15.75" customHeight="1" x14ac:dyDescent="0.3">
      <c r="L1648" s="6" t="s">
        <v>182</v>
      </c>
      <c r="M1648" s="6" t="s">
        <v>397</v>
      </c>
      <c r="N1648" s="6" t="s">
        <v>22</v>
      </c>
      <c r="O1648" s="6" t="s">
        <v>104</v>
      </c>
      <c r="P1648" s="17">
        <v>1.5</v>
      </c>
    </row>
    <row r="1649" spans="12:16" ht="15.75" customHeight="1" x14ac:dyDescent="0.3">
      <c r="L1649" s="6" t="s">
        <v>182</v>
      </c>
      <c r="M1649" s="6" t="s">
        <v>397</v>
      </c>
      <c r="N1649" s="6" t="s">
        <v>23</v>
      </c>
      <c r="O1649" s="6" t="s">
        <v>107</v>
      </c>
      <c r="P1649" s="19">
        <v>12</v>
      </c>
    </row>
    <row r="1650" spans="12:16" ht="15.75" customHeight="1" x14ac:dyDescent="0.3">
      <c r="L1650" s="6" t="s">
        <v>182</v>
      </c>
      <c r="M1650" s="6" t="s">
        <v>397</v>
      </c>
      <c r="N1650" s="6" t="s">
        <v>24</v>
      </c>
      <c r="O1650" s="6" t="s">
        <v>109</v>
      </c>
      <c r="P1650" s="17">
        <v>1.6999999999999999E-3</v>
      </c>
    </row>
    <row r="1651" spans="12:16" ht="15.75" customHeight="1" x14ac:dyDescent="0.3">
      <c r="L1651" s="6" t="s">
        <v>182</v>
      </c>
      <c r="M1651" s="6" t="s">
        <v>397</v>
      </c>
      <c r="N1651" s="6" t="s">
        <v>25</v>
      </c>
      <c r="O1651" s="6" t="s">
        <v>111</v>
      </c>
      <c r="P1651" s="19">
        <v>4</v>
      </c>
    </row>
    <row r="1652" spans="12:16" ht="15.75" customHeight="1" x14ac:dyDescent="0.3">
      <c r="L1652" s="6" t="s">
        <v>182</v>
      </c>
      <c r="M1652" s="6" t="s">
        <v>397</v>
      </c>
      <c r="N1652" s="6" t="s">
        <v>26</v>
      </c>
      <c r="O1652" s="6" t="s">
        <v>113</v>
      </c>
      <c r="P1652" s="19">
        <v>4</v>
      </c>
    </row>
    <row r="1653" spans="12:16" ht="15.75" customHeight="1" x14ac:dyDescent="0.3">
      <c r="L1653" s="6" t="s">
        <v>182</v>
      </c>
      <c r="M1653" s="6" t="s">
        <v>397</v>
      </c>
      <c r="N1653" s="6" t="s">
        <v>27</v>
      </c>
      <c r="O1653" s="6" t="s">
        <v>117</v>
      </c>
      <c r="P1653" s="19">
        <v>8</v>
      </c>
    </row>
    <row r="1654" spans="12:16" ht="15.75" customHeight="1" x14ac:dyDescent="0.3">
      <c r="L1654" s="6" t="s">
        <v>182</v>
      </c>
      <c r="M1654" s="6" t="s">
        <v>397</v>
      </c>
      <c r="N1654" s="6" t="s">
        <v>29</v>
      </c>
      <c r="O1654" s="6" t="s">
        <v>125</v>
      </c>
      <c r="P1654" s="19">
        <v>4</v>
      </c>
    </row>
    <row r="1655" spans="12:16" ht="15.75" customHeight="1" x14ac:dyDescent="0.3">
      <c r="L1655" s="6" t="s">
        <v>182</v>
      </c>
      <c r="M1655" s="6" t="s">
        <v>397</v>
      </c>
      <c r="N1655" s="6" t="s">
        <v>135</v>
      </c>
      <c r="O1655" s="6" t="s">
        <v>136</v>
      </c>
      <c r="P1655" s="19">
        <v>1</v>
      </c>
    </row>
    <row r="1656" spans="12:16" ht="15.75" customHeight="1" x14ac:dyDescent="0.3">
      <c r="L1656" s="6" t="s">
        <v>182</v>
      </c>
      <c r="M1656" s="6" t="s">
        <v>397</v>
      </c>
      <c r="N1656" s="6" t="s">
        <v>138</v>
      </c>
      <c r="O1656" s="6" t="s">
        <v>139</v>
      </c>
      <c r="P1656" s="19">
        <v>0</v>
      </c>
    </row>
    <row r="1657" spans="12:16" ht="15.75" customHeight="1" x14ac:dyDescent="0.3">
      <c r="L1657" s="6" t="s">
        <v>182</v>
      </c>
      <c r="M1657" s="6" t="s">
        <v>397</v>
      </c>
      <c r="N1657" s="6" t="s">
        <v>30</v>
      </c>
      <c r="O1657" s="6" t="s">
        <v>148</v>
      </c>
      <c r="P1657" s="17">
        <v>80.543199999999999</v>
      </c>
    </row>
    <row r="1658" spans="12:16" ht="15.75" customHeight="1" x14ac:dyDescent="0.3">
      <c r="L1658" s="6" t="s">
        <v>182</v>
      </c>
      <c r="M1658" s="6" t="s">
        <v>397</v>
      </c>
      <c r="N1658" s="6" t="s">
        <v>156</v>
      </c>
      <c r="O1658" s="6" t="s">
        <v>157</v>
      </c>
      <c r="P1658" s="19">
        <v>0</v>
      </c>
    </row>
    <row r="1659" spans="12:16" ht="15.75" customHeight="1" x14ac:dyDescent="0.3">
      <c r="L1659" s="6" t="s">
        <v>182</v>
      </c>
      <c r="M1659" s="6" t="s">
        <v>397</v>
      </c>
      <c r="N1659" s="6" t="s">
        <v>158</v>
      </c>
      <c r="O1659" s="6" t="s">
        <v>159</v>
      </c>
      <c r="P1659" s="19">
        <v>1</v>
      </c>
    </row>
    <row r="1660" spans="12:16" ht="15.75" customHeight="1" x14ac:dyDescent="0.3">
      <c r="L1660" s="6" t="s">
        <v>182</v>
      </c>
      <c r="M1660" s="6" t="s">
        <v>397</v>
      </c>
      <c r="N1660" s="6" t="s">
        <v>160</v>
      </c>
      <c r="O1660" s="6" t="s">
        <v>161</v>
      </c>
      <c r="P1660" s="19">
        <v>1</v>
      </c>
    </row>
    <row r="1661" spans="12:16" ht="15.75" customHeight="1" x14ac:dyDescent="0.3">
      <c r="L1661" s="6" t="s">
        <v>182</v>
      </c>
      <c r="M1661" s="6" t="s">
        <v>397</v>
      </c>
      <c r="N1661" s="6" t="s">
        <v>162</v>
      </c>
      <c r="O1661" s="6" t="s">
        <v>163</v>
      </c>
      <c r="P1661" s="19">
        <v>0</v>
      </c>
    </row>
    <row r="1662" spans="12:16" ht="15.75" customHeight="1" x14ac:dyDescent="0.3">
      <c r="L1662" s="6" t="s">
        <v>182</v>
      </c>
      <c r="M1662" s="6" t="s">
        <v>397</v>
      </c>
      <c r="N1662" s="6" t="s">
        <v>165</v>
      </c>
      <c r="O1662" s="6" t="s">
        <v>166</v>
      </c>
      <c r="P1662" s="19">
        <v>0</v>
      </c>
    </row>
    <row r="1663" spans="12:16" ht="15.75" customHeight="1" x14ac:dyDescent="0.3">
      <c r="L1663" s="6" t="s">
        <v>182</v>
      </c>
      <c r="M1663" s="6" t="s">
        <v>399</v>
      </c>
      <c r="N1663" s="6" t="s">
        <v>72</v>
      </c>
      <c r="O1663" s="6" t="s">
        <v>75</v>
      </c>
      <c r="P1663" s="19">
        <v>0</v>
      </c>
    </row>
    <row r="1664" spans="12:16" ht="15.75" customHeight="1" x14ac:dyDescent="0.3">
      <c r="L1664" s="6" t="s">
        <v>182</v>
      </c>
      <c r="M1664" s="6" t="s">
        <v>399</v>
      </c>
      <c r="N1664" s="6" t="s">
        <v>83</v>
      </c>
      <c r="O1664" s="6" t="s">
        <v>84</v>
      </c>
      <c r="P1664" s="19">
        <v>0</v>
      </c>
    </row>
    <row r="1665" spans="12:16" ht="15.75" customHeight="1" x14ac:dyDescent="0.3">
      <c r="L1665" s="6" t="s">
        <v>182</v>
      </c>
      <c r="M1665" s="6" t="s">
        <v>399</v>
      </c>
      <c r="N1665" s="6" t="s">
        <v>88</v>
      </c>
      <c r="O1665" s="6" t="s">
        <v>90</v>
      </c>
      <c r="P1665" s="19">
        <v>0</v>
      </c>
    </row>
    <row r="1666" spans="12:16" ht="15.75" customHeight="1" x14ac:dyDescent="0.3">
      <c r="L1666" s="6" t="s">
        <v>182</v>
      </c>
      <c r="M1666" s="6" t="s">
        <v>399</v>
      </c>
      <c r="N1666" s="6" t="s">
        <v>96</v>
      </c>
      <c r="O1666" s="6" t="s">
        <v>97</v>
      </c>
      <c r="P1666" s="19">
        <v>0</v>
      </c>
    </row>
    <row r="1667" spans="12:16" ht="15.75" customHeight="1" x14ac:dyDescent="0.3">
      <c r="L1667" s="6" t="s">
        <v>182</v>
      </c>
      <c r="M1667" s="6" t="s">
        <v>399</v>
      </c>
      <c r="N1667" s="6" t="s">
        <v>100</v>
      </c>
      <c r="O1667" s="6" t="s">
        <v>101</v>
      </c>
      <c r="P1667" s="19">
        <v>0</v>
      </c>
    </row>
    <row r="1668" spans="12:16" ht="15.75" customHeight="1" x14ac:dyDescent="0.3">
      <c r="L1668" s="6" t="s">
        <v>182</v>
      </c>
      <c r="M1668" s="6" t="s">
        <v>399</v>
      </c>
      <c r="N1668" s="6" t="s">
        <v>22</v>
      </c>
      <c r="O1668" s="6" t="s">
        <v>104</v>
      </c>
      <c r="P1668" s="17">
        <v>1.5</v>
      </c>
    </row>
    <row r="1669" spans="12:16" ht="15.75" customHeight="1" x14ac:dyDescent="0.3">
      <c r="L1669" s="6" t="s">
        <v>182</v>
      </c>
      <c r="M1669" s="6" t="s">
        <v>399</v>
      </c>
      <c r="N1669" s="6" t="s">
        <v>23</v>
      </c>
      <c r="O1669" s="6" t="s">
        <v>107</v>
      </c>
      <c r="P1669" s="19">
        <v>12</v>
      </c>
    </row>
    <row r="1670" spans="12:16" ht="15.75" customHeight="1" x14ac:dyDescent="0.3">
      <c r="L1670" s="6" t="s">
        <v>182</v>
      </c>
      <c r="M1670" s="6" t="s">
        <v>399</v>
      </c>
      <c r="N1670" s="6" t="s">
        <v>24</v>
      </c>
      <c r="O1670" s="6" t="s">
        <v>109</v>
      </c>
      <c r="P1670" s="17">
        <v>1.6999999999999999E-3</v>
      </c>
    </row>
    <row r="1671" spans="12:16" ht="15.75" customHeight="1" x14ac:dyDescent="0.3">
      <c r="L1671" s="6" t="s">
        <v>182</v>
      </c>
      <c r="M1671" s="6" t="s">
        <v>399</v>
      </c>
      <c r="N1671" s="6" t="s">
        <v>25</v>
      </c>
      <c r="O1671" s="6" t="s">
        <v>111</v>
      </c>
      <c r="P1671" s="19">
        <v>4</v>
      </c>
    </row>
    <row r="1672" spans="12:16" ht="15.75" customHeight="1" x14ac:dyDescent="0.3">
      <c r="L1672" s="6" t="s">
        <v>182</v>
      </c>
      <c r="M1672" s="6" t="s">
        <v>399</v>
      </c>
      <c r="N1672" s="6" t="s">
        <v>26</v>
      </c>
      <c r="O1672" s="6" t="s">
        <v>113</v>
      </c>
      <c r="P1672" s="19">
        <v>4</v>
      </c>
    </row>
    <row r="1673" spans="12:16" ht="15.75" customHeight="1" x14ac:dyDescent="0.3">
      <c r="L1673" s="6" t="s">
        <v>182</v>
      </c>
      <c r="M1673" s="6" t="s">
        <v>399</v>
      </c>
      <c r="N1673" s="6" t="s">
        <v>27</v>
      </c>
      <c r="O1673" s="6" t="s">
        <v>117</v>
      </c>
      <c r="P1673" s="19">
        <v>8</v>
      </c>
    </row>
    <row r="1674" spans="12:16" ht="15.75" customHeight="1" x14ac:dyDescent="0.3">
      <c r="L1674" s="6" t="s">
        <v>182</v>
      </c>
      <c r="M1674" s="6" t="s">
        <v>399</v>
      </c>
      <c r="N1674" s="6" t="s">
        <v>29</v>
      </c>
      <c r="O1674" s="6" t="s">
        <v>125</v>
      </c>
      <c r="P1674" s="19">
        <v>4</v>
      </c>
    </row>
    <row r="1675" spans="12:16" ht="15.75" customHeight="1" x14ac:dyDescent="0.3">
      <c r="L1675" s="6" t="s">
        <v>182</v>
      </c>
      <c r="M1675" s="6" t="s">
        <v>399</v>
      </c>
      <c r="N1675" s="6" t="s">
        <v>135</v>
      </c>
      <c r="O1675" s="6" t="s">
        <v>136</v>
      </c>
      <c r="P1675" s="19">
        <v>1</v>
      </c>
    </row>
    <row r="1676" spans="12:16" ht="15.75" customHeight="1" x14ac:dyDescent="0.3">
      <c r="L1676" s="6" t="s">
        <v>182</v>
      </c>
      <c r="M1676" s="6" t="s">
        <v>399</v>
      </c>
      <c r="N1676" s="6" t="s">
        <v>138</v>
      </c>
      <c r="O1676" s="6" t="s">
        <v>139</v>
      </c>
      <c r="P1676" s="19">
        <v>0</v>
      </c>
    </row>
    <row r="1677" spans="12:16" ht="15.75" customHeight="1" x14ac:dyDescent="0.3">
      <c r="L1677" s="6" t="s">
        <v>182</v>
      </c>
      <c r="M1677" s="6" t="s">
        <v>399</v>
      </c>
      <c r="N1677" s="6" t="s">
        <v>30</v>
      </c>
      <c r="O1677" s="6" t="s">
        <v>148</v>
      </c>
      <c r="P1677" s="17">
        <v>80.543199999999999</v>
      </c>
    </row>
    <row r="1678" spans="12:16" ht="15.75" customHeight="1" x14ac:dyDescent="0.3">
      <c r="L1678" s="6" t="s">
        <v>182</v>
      </c>
      <c r="M1678" s="6" t="s">
        <v>399</v>
      </c>
      <c r="N1678" s="6" t="s">
        <v>156</v>
      </c>
      <c r="O1678" s="6" t="s">
        <v>157</v>
      </c>
      <c r="P1678" s="19">
        <v>0</v>
      </c>
    </row>
    <row r="1679" spans="12:16" ht="15.75" customHeight="1" x14ac:dyDescent="0.3">
      <c r="L1679" s="6" t="s">
        <v>182</v>
      </c>
      <c r="M1679" s="6" t="s">
        <v>399</v>
      </c>
      <c r="N1679" s="6" t="s">
        <v>158</v>
      </c>
      <c r="O1679" s="6" t="s">
        <v>159</v>
      </c>
      <c r="P1679" s="19">
        <v>1</v>
      </c>
    </row>
    <row r="1680" spans="12:16" ht="15.75" customHeight="1" x14ac:dyDescent="0.3">
      <c r="L1680" s="6" t="s">
        <v>182</v>
      </c>
      <c r="M1680" s="6" t="s">
        <v>399</v>
      </c>
      <c r="N1680" s="6" t="s">
        <v>160</v>
      </c>
      <c r="O1680" s="6" t="s">
        <v>161</v>
      </c>
      <c r="P1680" s="19">
        <v>1</v>
      </c>
    </row>
    <row r="1681" spans="12:16" ht="15.75" customHeight="1" x14ac:dyDescent="0.3">
      <c r="L1681" s="6" t="s">
        <v>182</v>
      </c>
      <c r="M1681" s="6" t="s">
        <v>399</v>
      </c>
      <c r="N1681" s="6" t="s">
        <v>162</v>
      </c>
      <c r="O1681" s="6" t="s">
        <v>163</v>
      </c>
      <c r="P1681" s="19">
        <v>0</v>
      </c>
    </row>
    <row r="1682" spans="12:16" ht="15.75" customHeight="1" x14ac:dyDescent="0.3">
      <c r="L1682" s="6" t="s">
        <v>182</v>
      </c>
      <c r="M1682" s="6" t="s">
        <v>399</v>
      </c>
      <c r="N1682" s="6" t="s">
        <v>165</v>
      </c>
      <c r="O1682" s="6" t="s">
        <v>166</v>
      </c>
      <c r="P1682" s="19">
        <v>0</v>
      </c>
    </row>
    <row r="1683" spans="12:16" ht="15.75" customHeight="1" x14ac:dyDescent="0.3">
      <c r="L1683" s="6" t="s">
        <v>182</v>
      </c>
      <c r="M1683" s="6" t="s">
        <v>402</v>
      </c>
      <c r="N1683" s="6" t="s">
        <v>72</v>
      </c>
      <c r="O1683" s="6" t="s">
        <v>75</v>
      </c>
      <c r="P1683" s="19">
        <v>0</v>
      </c>
    </row>
    <row r="1684" spans="12:16" ht="15.75" customHeight="1" x14ac:dyDescent="0.3">
      <c r="L1684" s="6" t="s">
        <v>182</v>
      </c>
      <c r="M1684" s="6" t="s">
        <v>402</v>
      </c>
      <c r="N1684" s="6" t="s">
        <v>83</v>
      </c>
      <c r="O1684" s="6" t="s">
        <v>84</v>
      </c>
      <c r="P1684" s="19">
        <v>0</v>
      </c>
    </row>
    <row r="1685" spans="12:16" ht="15.75" customHeight="1" x14ac:dyDescent="0.3">
      <c r="L1685" s="6" t="s">
        <v>182</v>
      </c>
      <c r="M1685" s="6" t="s">
        <v>402</v>
      </c>
      <c r="N1685" s="6" t="s">
        <v>88</v>
      </c>
      <c r="O1685" s="6" t="s">
        <v>90</v>
      </c>
      <c r="P1685" s="17">
        <v>0.66669999999999996</v>
      </c>
    </row>
    <row r="1686" spans="12:16" ht="15.75" customHeight="1" x14ac:dyDescent="0.3">
      <c r="L1686" s="6" t="s">
        <v>182</v>
      </c>
      <c r="M1686" s="6" t="s">
        <v>402</v>
      </c>
      <c r="N1686" s="6" t="s">
        <v>96</v>
      </c>
      <c r="O1686" s="6" t="s">
        <v>97</v>
      </c>
      <c r="P1686" s="19">
        <v>3</v>
      </c>
    </row>
    <row r="1687" spans="12:16" ht="15.75" customHeight="1" x14ac:dyDescent="0.3">
      <c r="L1687" s="6" t="s">
        <v>182</v>
      </c>
      <c r="M1687" s="6" t="s">
        <v>402</v>
      </c>
      <c r="N1687" s="6" t="s">
        <v>100</v>
      </c>
      <c r="O1687" s="6" t="s">
        <v>101</v>
      </c>
      <c r="P1687" s="19">
        <v>1</v>
      </c>
    </row>
    <row r="1688" spans="12:16" ht="15.75" customHeight="1" x14ac:dyDescent="0.3">
      <c r="L1688" s="6" t="s">
        <v>182</v>
      </c>
      <c r="M1688" s="6" t="s">
        <v>402</v>
      </c>
      <c r="N1688" s="6" t="s">
        <v>22</v>
      </c>
      <c r="O1688" s="6" t="s">
        <v>104</v>
      </c>
      <c r="P1688" s="19">
        <v>7</v>
      </c>
    </row>
    <row r="1689" spans="12:16" ht="15.75" customHeight="1" x14ac:dyDescent="0.3">
      <c r="L1689" s="6" t="s">
        <v>182</v>
      </c>
      <c r="M1689" s="6" t="s">
        <v>402</v>
      </c>
      <c r="N1689" s="6" t="s">
        <v>23</v>
      </c>
      <c r="O1689" s="6" t="s">
        <v>107</v>
      </c>
      <c r="P1689" s="17">
        <v>612.98410000000001</v>
      </c>
    </row>
    <row r="1690" spans="12:16" ht="15.75" customHeight="1" x14ac:dyDescent="0.3">
      <c r="L1690" s="6" t="s">
        <v>182</v>
      </c>
      <c r="M1690" s="6" t="s">
        <v>402</v>
      </c>
      <c r="N1690" s="6" t="s">
        <v>24</v>
      </c>
      <c r="O1690" s="6" t="s">
        <v>109</v>
      </c>
      <c r="P1690" s="17">
        <v>2.41E-2</v>
      </c>
    </row>
    <row r="1691" spans="12:16" ht="15.75" customHeight="1" x14ac:dyDescent="0.3">
      <c r="L1691" s="6" t="s">
        <v>182</v>
      </c>
      <c r="M1691" s="6" t="s">
        <v>402</v>
      </c>
      <c r="N1691" s="6" t="s">
        <v>25</v>
      </c>
      <c r="O1691" s="6" t="s">
        <v>111</v>
      </c>
      <c r="P1691" s="19">
        <v>23</v>
      </c>
    </row>
    <row r="1692" spans="12:16" ht="15.75" customHeight="1" x14ac:dyDescent="0.3">
      <c r="L1692" s="6" t="s">
        <v>182</v>
      </c>
      <c r="M1692" s="6" t="s">
        <v>402</v>
      </c>
      <c r="N1692" s="6" t="s">
        <v>26</v>
      </c>
      <c r="O1692" s="6" t="s">
        <v>113</v>
      </c>
      <c r="P1692" s="19">
        <v>14</v>
      </c>
    </row>
    <row r="1693" spans="12:16" ht="15.75" customHeight="1" x14ac:dyDescent="0.3">
      <c r="L1693" s="6" t="s">
        <v>182</v>
      </c>
      <c r="M1693" s="6" t="s">
        <v>402</v>
      </c>
      <c r="N1693" s="6" t="s">
        <v>27</v>
      </c>
      <c r="O1693" s="6" t="s">
        <v>117</v>
      </c>
      <c r="P1693" s="17">
        <v>87.569199999999995</v>
      </c>
    </row>
    <row r="1694" spans="12:16" ht="15.75" customHeight="1" x14ac:dyDescent="0.3">
      <c r="L1694" s="6" t="s">
        <v>182</v>
      </c>
      <c r="M1694" s="6" t="s">
        <v>402</v>
      </c>
      <c r="N1694" s="6" t="s">
        <v>29</v>
      </c>
      <c r="O1694" s="6" t="s">
        <v>125</v>
      </c>
      <c r="P1694" s="19">
        <v>6</v>
      </c>
    </row>
    <row r="1695" spans="12:16" ht="15.75" customHeight="1" x14ac:dyDescent="0.3">
      <c r="L1695" s="6" t="s">
        <v>182</v>
      </c>
      <c r="M1695" s="6" t="s">
        <v>402</v>
      </c>
      <c r="N1695" s="6" t="s">
        <v>135</v>
      </c>
      <c r="O1695" s="6" t="s">
        <v>136</v>
      </c>
      <c r="P1695" s="17">
        <v>0.66669999999999996</v>
      </c>
    </row>
    <row r="1696" spans="12:16" ht="15.75" customHeight="1" x14ac:dyDescent="0.3">
      <c r="L1696" s="6" t="s">
        <v>182</v>
      </c>
      <c r="M1696" s="6" t="s">
        <v>402</v>
      </c>
      <c r="N1696" s="6" t="s">
        <v>138</v>
      </c>
      <c r="O1696" s="6" t="s">
        <v>139</v>
      </c>
      <c r="P1696" s="19">
        <v>0</v>
      </c>
    </row>
    <row r="1697" spans="12:16" ht="15.75" customHeight="1" x14ac:dyDescent="0.3">
      <c r="L1697" s="6" t="s">
        <v>182</v>
      </c>
      <c r="M1697" s="6" t="s">
        <v>402</v>
      </c>
      <c r="N1697" s="6" t="s">
        <v>30</v>
      </c>
      <c r="O1697" s="6" t="s">
        <v>148</v>
      </c>
      <c r="P1697" s="17">
        <v>69.444900000000004</v>
      </c>
    </row>
    <row r="1698" spans="12:16" ht="15.75" customHeight="1" x14ac:dyDescent="0.3">
      <c r="L1698" s="6" t="s">
        <v>182</v>
      </c>
      <c r="M1698" s="6" t="s">
        <v>402</v>
      </c>
      <c r="N1698" s="6" t="s">
        <v>156</v>
      </c>
      <c r="O1698" s="6" t="s">
        <v>157</v>
      </c>
      <c r="P1698" s="19">
        <v>0</v>
      </c>
    </row>
    <row r="1699" spans="12:16" ht="15.75" customHeight="1" x14ac:dyDescent="0.3">
      <c r="L1699" s="6" t="s">
        <v>182</v>
      </c>
      <c r="M1699" s="6" t="s">
        <v>402</v>
      </c>
      <c r="N1699" s="6" t="s">
        <v>158</v>
      </c>
      <c r="O1699" s="6" t="s">
        <v>159</v>
      </c>
      <c r="P1699" s="19">
        <v>1</v>
      </c>
    </row>
    <row r="1700" spans="12:16" ht="15.75" customHeight="1" x14ac:dyDescent="0.3">
      <c r="L1700" s="6" t="s">
        <v>182</v>
      </c>
      <c r="M1700" s="6" t="s">
        <v>402</v>
      </c>
      <c r="N1700" s="6" t="s">
        <v>160</v>
      </c>
      <c r="O1700" s="6" t="s">
        <v>161</v>
      </c>
      <c r="P1700" s="19">
        <v>6</v>
      </c>
    </row>
    <row r="1701" spans="12:16" ht="15.75" customHeight="1" x14ac:dyDescent="0.3">
      <c r="L1701" s="6" t="s">
        <v>182</v>
      </c>
      <c r="M1701" s="6" t="s">
        <v>402</v>
      </c>
      <c r="N1701" s="6" t="s">
        <v>162</v>
      </c>
      <c r="O1701" s="6" t="s">
        <v>163</v>
      </c>
      <c r="P1701" s="19">
        <v>0</v>
      </c>
    </row>
    <row r="1702" spans="12:16" ht="15.75" customHeight="1" x14ac:dyDescent="0.3">
      <c r="L1702" s="6" t="s">
        <v>182</v>
      </c>
      <c r="M1702" s="6" t="s">
        <v>402</v>
      </c>
      <c r="N1702" s="6" t="s">
        <v>165</v>
      </c>
      <c r="O1702" s="6" t="s">
        <v>166</v>
      </c>
      <c r="P1702" s="19">
        <v>4</v>
      </c>
    </row>
    <row r="1703" spans="12:16" ht="15.75" customHeight="1" x14ac:dyDescent="0.3">
      <c r="L1703" s="6" t="s">
        <v>182</v>
      </c>
      <c r="M1703" s="6" t="s">
        <v>405</v>
      </c>
      <c r="N1703" s="6" t="s">
        <v>72</v>
      </c>
      <c r="O1703" s="6" t="s">
        <v>75</v>
      </c>
      <c r="P1703" s="19">
        <v>0</v>
      </c>
    </row>
    <row r="1704" spans="12:16" ht="15.75" customHeight="1" x14ac:dyDescent="0.3">
      <c r="L1704" s="6" t="s">
        <v>182</v>
      </c>
      <c r="M1704" s="6" t="s">
        <v>405</v>
      </c>
      <c r="N1704" s="6" t="s">
        <v>83</v>
      </c>
      <c r="O1704" s="6" t="s">
        <v>84</v>
      </c>
      <c r="P1704" s="19">
        <v>0</v>
      </c>
    </row>
    <row r="1705" spans="12:16" ht="15.75" customHeight="1" x14ac:dyDescent="0.3">
      <c r="L1705" s="6" t="s">
        <v>182</v>
      </c>
      <c r="M1705" s="6" t="s">
        <v>405</v>
      </c>
      <c r="N1705" s="6" t="s">
        <v>88</v>
      </c>
      <c r="O1705" s="6" t="s">
        <v>90</v>
      </c>
      <c r="P1705" s="19">
        <v>0</v>
      </c>
    </row>
    <row r="1706" spans="12:16" ht="15.75" customHeight="1" x14ac:dyDescent="0.3">
      <c r="L1706" s="6" t="s">
        <v>182</v>
      </c>
      <c r="M1706" s="6" t="s">
        <v>405</v>
      </c>
      <c r="N1706" s="6" t="s">
        <v>96</v>
      </c>
      <c r="O1706" s="6" t="s">
        <v>97</v>
      </c>
      <c r="P1706" s="19">
        <v>0</v>
      </c>
    </row>
    <row r="1707" spans="12:16" ht="15.75" customHeight="1" x14ac:dyDescent="0.3">
      <c r="L1707" s="6" t="s">
        <v>182</v>
      </c>
      <c r="M1707" s="6" t="s">
        <v>405</v>
      </c>
      <c r="N1707" s="6" t="s">
        <v>100</v>
      </c>
      <c r="O1707" s="6" t="s">
        <v>101</v>
      </c>
      <c r="P1707" s="19">
        <v>0</v>
      </c>
    </row>
    <row r="1708" spans="12:16" ht="15.75" customHeight="1" x14ac:dyDescent="0.3">
      <c r="L1708" s="6" t="s">
        <v>182</v>
      </c>
      <c r="M1708" s="6" t="s">
        <v>405</v>
      </c>
      <c r="N1708" s="6" t="s">
        <v>22</v>
      </c>
      <c r="O1708" s="6" t="s">
        <v>104</v>
      </c>
      <c r="P1708" s="19">
        <v>0</v>
      </c>
    </row>
    <row r="1709" spans="12:16" ht="15.75" customHeight="1" x14ac:dyDescent="0.3">
      <c r="L1709" s="6" t="s">
        <v>182</v>
      </c>
      <c r="M1709" s="6" t="s">
        <v>405</v>
      </c>
      <c r="N1709" s="6" t="s">
        <v>23</v>
      </c>
      <c r="O1709" s="6" t="s">
        <v>107</v>
      </c>
      <c r="P1709" s="25" t="s">
        <v>222</v>
      </c>
    </row>
    <row r="1710" spans="12:16" ht="15.75" customHeight="1" x14ac:dyDescent="0.3">
      <c r="L1710" s="6" t="s">
        <v>182</v>
      </c>
      <c r="M1710" s="6" t="s">
        <v>405</v>
      </c>
      <c r="N1710" s="6" t="s">
        <v>24</v>
      </c>
      <c r="O1710" s="6" t="s">
        <v>109</v>
      </c>
      <c r="P1710" s="25" t="s">
        <v>222</v>
      </c>
    </row>
    <row r="1711" spans="12:16" ht="15.75" customHeight="1" x14ac:dyDescent="0.3">
      <c r="L1711" s="6" t="s">
        <v>182</v>
      </c>
      <c r="M1711" s="6" t="s">
        <v>405</v>
      </c>
      <c r="N1711" s="6" t="s">
        <v>25</v>
      </c>
      <c r="O1711" s="6" t="s">
        <v>111</v>
      </c>
      <c r="P1711" s="19">
        <v>0</v>
      </c>
    </row>
    <row r="1712" spans="12:16" ht="15.75" customHeight="1" x14ac:dyDescent="0.3">
      <c r="L1712" s="6" t="s">
        <v>182</v>
      </c>
      <c r="M1712" s="6" t="s">
        <v>405</v>
      </c>
      <c r="N1712" s="6" t="s">
        <v>26</v>
      </c>
      <c r="O1712" s="6" t="s">
        <v>113</v>
      </c>
      <c r="P1712" s="19">
        <v>0</v>
      </c>
    </row>
    <row r="1713" spans="12:16" ht="15.75" customHeight="1" x14ac:dyDescent="0.3">
      <c r="L1713" s="6" t="s">
        <v>182</v>
      </c>
      <c r="M1713" s="6" t="s">
        <v>405</v>
      </c>
      <c r="N1713" s="6" t="s">
        <v>27</v>
      </c>
      <c r="O1713" s="6" t="s">
        <v>117</v>
      </c>
      <c r="P1713" s="25" t="s">
        <v>222</v>
      </c>
    </row>
    <row r="1714" spans="12:16" ht="15.75" customHeight="1" x14ac:dyDescent="0.3">
      <c r="L1714" s="6" t="s">
        <v>182</v>
      </c>
      <c r="M1714" s="6" t="s">
        <v>405</v>
      </c>
      <c r="N1714" s="6" t="s">
        <v>29</v>
      </c>
      <c r="O1714" s="6" t="s">
        <v>125</v>
      </c>
      <c r="P1714" s="19">
        <v>1</v>
      </c>
    </row>
    <row r="1715" spans="12:16" ht="15.75" customHeight="1" x14ac:dyDescent="0.3">
      <c r="L1715" s="6" t="s">
        <v>182</v>
      </c>
      <c r="M1715" s="6" t="s">
        <v>405</v>
      </c>
      <c r="N1715" s="6" t="s">
        <v>135</v>
      </c>
      <c r="O1715" s="6" t="s">
        <v>136</v>
      </c>
      <c r="P1715" s="19">
        <v>0</v>
      </c>
    </row>
    <row r="1716" spans="12:16" ht="15.75" customHeight="1" x14ac:dyDescent="0.3">
      <c r="L1716" s="6" t="s">
        <v>182</v>
      </c>
      <c r="M1716" s="6" t="s">
        <v>405</v>
      </c>
      <c r="N1716" s="6" t="s">
        <v>138</v>
      </c>
      <c r="O1716" s="6" t="s">
        <v>139</v>
      </c>
      <c r="P1716" s="19">
        <v>0</v>
      </c>
    </row>
    <row r="1717" spans="12:16" ht="15.75" customHeight="1" x14ac:dyDescent="0.3">
      <c r="L1717" s="6" t="s">
        <v>182</v>
      </c>
      <c r="M1717" s="6" t="s">
        <v>405</v>
      </c>
      <c r="N1717" s="6" t="s">
        <v>30</v>
      </c>
      <c r="O1717" s="6" t="s">
        <v>148</v>
      </c>
      <c r="P1717" s="25" t="s">
        <v>173</v>
      </c>
    </row>
    <row r="1718" spans="12:16" ht="15.75" customHeight="1" x14ac:dyDescent="0.3">
      <c r="L1718" s="6" t="s">
        <v>182</v>
      </c>
      <c r="M1718" s="6" t="s">
        <v>405</v>
      </c>
      <c r="N1718" s="6" t="s">
        <v>156</v>
      </c>
      <c r="O1718" s="6" t="s">
        <v>157</v>
      </c>
      <c r="P1718" s="19">
        <v>-1</v>
      </c>
    </row>
    <row r="1719" spans="12:16" ht="15.75" customHeight="1" x14ac:dyDescent="0.3">
      <c r="L1719" s="6" t="s">
        <v>182</v>
      </c>
      <c r="M1719" s="6" t="s">
        <v>405</v>
      </c>
      <c r="N1719" s="6" t="s">
        <v>158</v>
      </c>
      <c r="O1719" s="6" t="s">
        <v>159</v>
      </c>
      <c r="P1719" s="19">
        <v>1</v>
      </c>
    </row>
    <row r="1720" spans="12:16" ht="15.75" customHeight="1" x14ac:dyDescent="0.3">
      <c r="L1720" s="6" t="s">
        <v>182</v>
      </c>
      <c r="M1720" s="6" t="s">
        <v>405</v>
      </c>
      <c r="N1720" s="6" t="s">
        <v>160</v>
      </c>
      <c r="O1720" s="6" t="s">
        <v>161</v>
      </c>
      <c r="P1720" s="19">
        <v>0</v>
      </c>
    </row>
    <row r="1721" spans="12:16" ht="15.75" customHeight="1" x14ac:dyDescent="0.3">
      <c r="L1721" s="6" t="s">
        <v>182</v>
      </c>
      <c r="M1721" s="6" t="s">
        <v>405</v>
      </c>
      <c r="N1721" s="6" t="s">
        <v>162</v>
      </c>
      <c r="O1721" s="6" t="s">
        <v>163</v>
      </c>
      <c r="P1721" s="19">
        <v>0</v>
      </c>
    </row>
    <row r="1722" spans="12:16" ht="15.75" customHeight="1" x14ac:dyDescent="0.3">
      <c r="L1722" s="6" t="s">
        <v>182</v>
      </c>
      <c r="M1722" s="6" t="s">
        <v>405</v>
      </c>
      <c r="N1722" s="6" t="s">
        <v>165</v>
      </c>
      <c r="O1722" s="6" t="s">
        <v>166</v>
      </c>
      <c r="P1722" s="19">
        <v>0</v>
      </c>
    </row>
    <row r="1723" spans="12:16" ht="15.75" customHeight="1" x14ac:dyDescent="0.3">
      <c r="L1723" s="6" t="s">
        <v>183</v>
      </c>
      <c r="M1723" s="6" t="s">
        <v>408</v>
      </c>
      <c r="N1723" s="6" t="s">
        <v>72</v>
      </c>
      <c r="O1723" s="6" t="s">
        <v>75</v>
      </c>
      <c r="P1723" s="19">
        <v>0</v>
      </c>
    </row>
    <row r="1724" spans="12:16" ht="15.75" customHeight="1" x14ac:dyDescent="0.3">
      <c r="L1724" s="6" t="s">
        <v>183</v>
      </c>
      <c r="M1724" s="6" t="s">
        <v>408</v>
      </c>
      <c r="N1724" s="6" t="s">
        <v>83</v>
      </c>
      <c r="O1724" s="6" t="s">
        <v>84</v>
      </c>
      <c r="P1724" s="19">
        <v>0</v>
      </c>
    </row>
    <row r="1725" spans="12:16" ht="15.75" customHeight="1" x14ac:dyDescent="0.3">
      <c r="L1725" s="6" t="s">
        <v>183</v>
      </c>
      <c r="M1725" s="6" t="s">
        <v>408</v>
      </c>
      <c r="N1725" s="6" t="s">
        <v>88</v>
      </c>
      <c r="O1725" s="6" t="s">
        <v>90</v>
      </c>
      <c r="P1725" s="19">
        <v>0</v>
      </c>
    </row>
    <row r="1726" spans="12:16" ht="15.75" customHeight="1" x14ac:dyDescent="0.3">
      <c r="L1726" s="6" t="s">
        <v>183</v>
      </c>
      <c r="M1726" s="6" t="s">
        <v>408</v>
      </c>
      <c r="N1726" s="6" t="s">
        <v>96</v>
      </c>
      <c r="O1726" s="6" t="s">
        <v>97</v>
      </c>
      <c r="P1726" s="19">
        <v>0</v>
      </c>
    </row>
    <row r="1727" spans="12:16" ht="15.75" customHeight="1" x14ac:dyDescent="0.3">
      <c r="L1727" s="6" t="s">
        <v>183</v>
      </c>
      <c r="M1727" s="6" t="s">
        <v>408</v>
      </c>
      <c r="N1727" s="6" t="s">
        <v>100</v>
      </c>
      <c r="O1727" s="6" t="s">
        <v>101</v>
      </c>
      <c r="P1727" s="19">
        <v>0</v>
      </c>
    </row>
    <row r="1728" spans="12:16" ht="15.75" customHeight="1" x14ac:dyDescent="0.3">
      <c r="L1728" s="6" t="s">
        <v>183</v>
      </c>
      <c r="M1728" s="6" t="s">
        <v>408</v>
      </c>
      <c r="N1728" s="6" t="s">
        <v>22</v>
      </c>
      <c r="O1728" s="6" t="s">
        <v>104</v>
      </c>
      <c r="P1728" s="19">
        <v>0</v>
      </c>
    </row>
    <row r="1729" spans="12:16" ht="15.75" customHeight="1" x14ac:dyDescent="0.3">
      <c r="L1729" s="6" t="s">
        <v>183</v>
      </c>
      <c r="M1729" s="6" t="s">
        <v>408</v>
      </c>
      <c r="N1729" s="6" t="s">
        <v>23</v>
      </c>
      <c r="O1729" s="6" t="s">
        <v>107</v>
      </c>
      <c r="P1729" s="19">
        <v>0</v>
      </c>
    </row>
    <row r="1730" spans="12:16" ht="15.75" customHeight="1" x14ac:dyDescent="0.3">
      <c r="L1730" s="6" t="s">
        <v>183</v>
      </c>
      <c r="M1730" s="6" t="s">
        <v>408</v>
      </c>
      <c r="N1730" s="6" t="s">
        <v>24</v>
      </c>
      <c r="O1730" s="6" t="s">
        <v>109</v>
      </c>
      <c r="P1730" s="19">
        <v>0</v>
      </c>
    </row>
    <row r="1731" spans="12:16" ht="15.75" customHeight="1" x14ac:dyDescent="0.3">
      <c r="L1731" s="6" t="s">
        <v>183</v>
      </c>
      <c r="M1731" s="6" t="s">
        <v>408</v>
      </c>
      <c r="N1731" s="6" t="s">
        <v>25</v>
      </c>
      <c r="O1731" s="6" t="s">
        <v>111</v>
      </c>
      <c r="P1731" s="19">
        <v>1</v>
      </c>
    </row>
    <row r="1732" spans="12:16" ht="15.75" customHeight="1" x14ac:dyDescent="0.3">
      <c r="L1732" s="6" t="s">
        <v>183</v>
      </c>
      <c r="M1732" s="6" t="s">
        <v>408</v>
      </c>
      <c r="N1732" s="6" t="s">
        <v>26</v>
      </c>
      <c r="O1732" s="6" t="s">
        <v>113</v>
      </c>
      <c r="P1732" s="19">
        <v>1</v>
      </c>
    </row>
    <row r="1733" spans="12:16" ht="15.75" customHeight="1" x14ac:dyDescent="0.3">
      <c r="L1733" s="6" t="s">
        <v>183</v>
      </c>
      <c r="M1733" s="6" t="s">
        <v>408</v>
      </c>
      <c r="N1733" s="6" t="s">
        <v>27</v>
      </c>
      <c r="O1733" s="6" t="s">
        <v>117</v>
      </c>
      <c r="P1733" s="19">
        <v>0</v>
      </c>
    </row>
    <row r="1734" spans="12:16" ht="15.75" customHeight="1" x14ac:dyDescent="0.3">
      <c r="L1734" s="6" t="s">
        <v>183</v>
      </c>
      <c r="M1734" s="6" t="s">
        <v>408</v>
      </c>
      <c r="N1734" s="6" t="s">
        <v>29</v>
      </c>
      <c r="O1734" s="6" t="s">
        <v>125</v>
      </c>
      <c r="P1734" s="19">
        <v>3</v>
      </c>
    </row>
    <row r="1735" spans="12:16" ht="15.75" customHeight="1" x14ac:dyDescent="0.3">
      <c r="L1735" s="6" t="s">
        <v>183</v>
      </c>
      <c r="M1735" s="6" t="s">
        <v>408</v>
      </c>
      <c r="N1735" s="6" t="s">
        <v>135</v>
      </c>
      <c r="O1735" s="6" t="s">
        <v>136</v>
      </c>
      <c r="P1735" s="19">
        <v>0</v>
      </c>
    </row>
    <row r="1736" spans="12:16" ht="15.75" customHeight="1" x14ac:dyDescent="0.3">
      <c r="L1736" s="6" t="s">
        <v>183</v>
      </c>
      <c r="M1736" s="6" t="s">
        <v>408</v>
      </c>
      <c r="N1736" s="6" t="s">
        <v>138</v>
      </c>
      <c r="O1736" s="6" t="s">
        <v>139</v>
      </c>
      <c r="P1736" s="19">
        <v>0</v>
      </c>
    </row>
    <row r="1737" spans="12:16" ht="15.75" customHeight="1" x14ac:dyDescent="0.3">
      <c r="L1737" s="6" t="s">
        <v>183</v>
      </c>
      <c r="M1737" s="6" t="s">
        <v>408</v>
      </c>
      <c r="N1737" s="6" t="s">
        <v>30</v>
      </c>
      <c r="O1737" s="6" t="s">
        <v>148</v>
      </c>
      <c r="P1737" s="25" t="s">
        <v>173</v>
      </c>
    </row>
    <row r="1738" spans="12:16" ht="15.75" customHeight="1" x14ac:dyDescent="0.3">
      <c r="L1738" s="6" t="s">
        <v>183</v>
      </c>
      <c r="M1738" s="6" t="s">
        <v>408</v>
      </c>
      <c r="N1738" s="6" t="s">
        <v>156</v>
      </c>
      <c r="O1738" s="6" t="s">
        <v>157</v>
      </c>
      <c r="P1738" s="19">
        <v>0</v>
      </c>
    </row>
    <row r="1739" spans="12:16" ht="15.75" customHeight="1" x14ac:dyDescent="0.3">
      <c r="L1739" s="6" t="s">
        <v>183</v>
      </c>
      <c r="M1739" s="6" t="s">
        <v>408</v>
      </c>
      <c r="N1739" s="6" t="s">
        <v>158</v>
      </c>
      <c r="O1739" s="6" t="s">
        <v>159</v>
      </c>
      <c r="P1739" s="19">
        <v>1</v>
      </c>
    </row>
    <row r="1740" spans="12:16" ht="15.75" customHeight="1" x14ac:dyDescent="0.3">
      <c r="L1740" s="6" t="s">
        <v>183</v>
      </c>
      <c r="M1740" s="6" t="s">
        <v>408</v>
      </c>
      <c r="N1740" s="6" t="s">
        <v>160</v>
      </c>
      <c r="O1740" s="6" t="s">
        <v>161</v>
      </c>
      <c r="P1740" s="19">
        <v>0</v>
      </c>
    </row>
    <row r="1741" spans="12:16" ht="15.75" customHeight="1" x14ac:dyDescent="0.3">
      <c r="L1741" s="6" t="s">
        <v>183</v>
      </c>
      <c r="M1741" s="6" t="s">
        <v>408</v>
      </c>
      <c r="N1741" s="6" t="s">
        <v>162</v>
      </c>
      <c r="O1741" s="6" t="s">
        <v>163</v>
      </c>
      <c r="P1741" s="19">
        <v>0</v>
      </c>
    </row>
    <row r="1742" spans="12:16" ht="15.75" customHeight="1" x14ac:dyDescent="0.3">
      <c r="L1742" s="6" t="s">
        <v>183</v>
      </c>
      <c r="M1742" s="6" t="s">
        <v>408</v>
      </c>
      <c r="N1742" s="6" t="s">
        <v>165</v>
      </c>
      <c r="O1742" s="6" t="s">
        <v>166</v>
      </c>
      <c r="P1742" s="19">
        <v>0</v>
      </c>
    </row>
    <row r="1743" spans="12:16" ht="15.75" customHeight="1" x14ac:dyDescent="0.3">
      <c r="L1743" s="6" t="s">
        <v>183</v>
      </c>
      <c r="M1743" s="6" t="s">
        <v>366</v>
      </c>
      <c r="N1743" s="6" t="s">
        <v>72</v>
      </c>
      <c r="O1743" s="6" t="s">
        <v>75</v>
      </c>
      <c r="P1743" s="19">
        <v>1</v>
      </c>
    </row>
    <row r="1744" spans="12:16" ht="15.75" customHeight="1" x14ac:dyDescent="0.3">
      <c r="L1744" s="6" t="s">
        <v>183</v>
      </c>
      <c r="M1744" s="6" t="s">
        <v>366</v>
      </c>
      <c r="N1744" s="6" t="s">
        <v>83</v>
      </c>
      <c r="O1744" s="6" t="s">
        <v>84</v>
      </c>
      <c r="P1744" s="19">
        <v>0</v>
      </c>
    </row>
    <row r="1745" spans="12:16" ht="15.75" customHeight="1" x14ac:dyDescent="0.3">
      <c r="L1745" s="6" t="s">
        <v>183</v>
      </c>
      <c r="M1745" s="6" t="s">
        <v>366</v>
      </c>
      <c r="N1745" s="6" t="s">
        <v>88</v>
      </c>
      <c r="O1745" s="6" t="s">
        <v>90</v>
      </c>
      <c r="P1745" s="19">
        <v>1</v>
      </c>
    </row>
    <row r="1746" spans="12:16" ht="15.75" customHeight="1" x14ac:dyDescent="0.3">
      <c r="L1746" s="6" t="s">
        <v>183</v>
      </c>
      <c r="M1746" s="6" t="s">
        <v>366</v>
      </c>
      <c r="N1746" s="6" t="s">
        <v>96</v>
      </c>
      <c r="O1746" s="6" t="s">
        <v>97</v>
      </c>
      <c r="P1746" s="19">
        <v>2</v>
      </c>
    </row>
    <row r="1747" spans="12:16" ht="15.75" customHeight="1" x14ac:dyDescent="0.3">
      <c r="L1747" s="6" t="s">
        <v>183</v>
      </c>
      <c r="M1747" s="6" t="s">
        <v>366</v>
      </c>
      <c r="N1747" s="6" t="s">
        <v>100</v>
      </c>
      <c r="O1747" s="6" t="s">
        <v>101</v>
      </c>
      <c r="P1747" s="19">
        <v>0</v>
      </c>
    </row>
    <row r="1748" spans="12:16" ht="15.75" customHeight="1" x14ac:dyDescent="0.3">
      <c r="L1748" s="6" t="s">
        <v>183</v>
      </c>
      <c r="M1748" s="6" t="s">
        <v>366</v>
      </c>
      <c r="N1748" s="6" t="s">
        <v>22</v>
      </c>
      <c r="O1748" s="6" t="s">
        <v>104</v>
      </c>
      <c r="P1748" s="17">
        <v>5.1429</v>
      </c>
    </row>
    <row r="1749" spans="12:16" ht="15.75" customHeight="1" x14ac:dyDescent="0.3">
      <c r="L1749" s="6" t="s">
        <v>183</v>
      </c>
      <c r="M1749" s="6" t="s">
        <v>366</v>
      </c>
      <c r="N1749" s="6" t="s">
        <v>23</v>
      </c>
      <c r="O1749" s="6" t="s">
        <v>107</v>
      </c>
      <c r="P1749" s="17">
        <v>361.66640000000001</v>
      </c>
    </row>
    <row r="1750" spans="12:16" ht="15.75" customHeight="1" x14ac:dyDescent="0.3">
      <c r="L1750" s="6" t="s">
        <v>183</v>
      </c>
      <c r="M1750" s="6" t="s">
        <v>366</v>
      </c>
      <c r="N1750" s="6" t="s">
        <v>24</v>
      </c>
      <c r="O1750" s="6" t="s">
        <v>109</v>
      </c>
      <c r="P1750" s="17">
        <v>1.6899999999999998E-2</v>
      </c>
    </row>
    <row r="1751" spans="12:16" ht="15.75" customHeight="1" x14ac:dyDescent="0.3">
      <c r="L1751" s="6" t="s">
        <v>183</v>
      </c>
      <c r="M1751" s="6" t="s">
        <v>366</v>
      </c>
      <c r="N1751" s="6" t="s">
        <v>25</v>
      </c>
      <c r="O1751" s="6" t="s">
        <v>111</v>
      </c>
      <c r="P1751" s="19">
        <v>18</v>
      </c>
    </row>
    <row r="1752" spans="12:16" ht="15.75" customHeight="1" x14ac:dyDescent="0.3">
      <c r="L1752" s="6" t="s">
        <v>183</v>
      </c>
      <c r="M1752" s="6" t="s">
        <v>366</v>
      </c>
      <c r="N1752" s="6" t="s">
        <v>26</v>
      </c>
      <c r="O1752" s="6" t="s">
        <v>113</v>
      </c>
      <c r="P1752" s="19">
        <v>15</v>
      </c>
    </row>
    <row r="1753" spans="12:16" ht="15.75" customHeight="1" x14ac:dyDescent="0.3">
      <c r="L1753" s="6" t="s">
        <v>183</v>
      </c>
      <c r="M1753" s="6" t="s">
        <v>366</v>
      </c>
      <c r="N1753" s="6" t="s">
        <v>27</v>
      </c>
      <c r="O1753" s="6" t="s">
        <v>117</v>
      </c>
      <c r="P1753" s="17">
        <v>70.323999999999998</v>
      </c>
    </row>
    <row r="1754" spans="12:16" ht="15.75" customHeight="1" x14ac:dyDescent="0.3">
      <c r="L1754" s="6" t="s">
        <v>183</v>
      </c>
      <c r="M1754" s="6" t="s">
        <v>366</v>
      </c>
      <c r="N1754" s="6" t="s">
        <v>29</v>
      </c>
      <c r="O1754" s="6" t="s">
        <v>125</v>
      </c>
      <c r="P1754" s="19">
        <v>16</v>
      </c>
    </row>
    <row r="1755" spans="12:16" ht="15.75" customHeight="1" x14ac:dyDescent="0.3">
      <c r="L1755" s="6" t="s">
        <v>183</v>
      </c>
      <c r="M1755" s="6" t="s">
        <v>366</v>
      </c>
      <c r="N1755" s="6" t="s">
        <v>135</v>
      </c>
      <c r="O1755" s="6" t="s">
        <v>136</v>
      </c>
      <c r="P1755" s="19">
        <v>1</v>
      </c>
    </row>
    <row r="1756" spans="12:16" ht="15.75" customHeight="1" x14ac:dyDescent="0.3">
      <c r="L1756" s="6" t="s">
        <v>183</v>
      </c>
      <c r="M1756" s="6" t="s">
        <v>366</v>
      </c>
      <c r="N1756" s="6" t="s">
        <v>138</v>
      </c>
      <c r="O1756" s="6" t="s">
        <v>139</v>
      </c>
      <c r="P1756" s="19">
        <v>0</v>
      </c>
    </row>
    <row r="1757" spans="12:16" ht="15.75" customHeight="1" x14ac:dyDescent="0.3">
      <c r="L1757" s="6" t="s">
        <v>183</v>
      </c>
      <c r="M1757" s="6" t="s">
        <v>366</v>
      </c>
      <c r="N1757" s="6" t="s">
        <v>30</v>
      </c>
      <c r="O1757" s="6" t="s">
        <v>148</v>
      </c>
      <c r="P1757" s="17">
        <v>60.720700000000001</v>
      </c>
    </row>
    <row r="1758" spans="12:16" ht="15.75" customHeight="1" x14ac:dyDescent="0.3">
      <c r="L1758" s="6" t="s">
        <v>183</v>
      </c>
      <c r="M1758" s="6" t="s">
        <v>366</v>
      </c>
      <c r="N1758" s="6" t="s">
        <v>156</v>
      </c>
      <c r="O1758" s="6" t="s">
        <v>157</v>
      </c>
      <c r="P1758" s="19">
        <v>1</v>
      </c>
    </row>
    <row r="1759" spans="12:16" ht="15.75" customHeight="1" x14ac:dyDescent="0.3">
      <c r="L1759" s="6" t="s">
        <v>183</v>
      </c>
      <c r="M1759" s="6" t="s">
        <v>366</v>
      </c>
      <c r="N1759" s="6" t="s">
        <v>158</v>
      </c>
      <c r="O1759" s="6" t="s">
        <v>159</v>
      </c>
      <c r="P1759" s="19">
        <v>2</v>
      </c>
    </row>
    <row r="1760" spans="12:16" ht="15.75" customHeight="1" x14ac:dyDescent="0.3">
      <c r="L1760" s="6" t="s">
        <v>183</v>
      </c>
      <c r="M1760" s="6" t="s">
        <v>366</v>
      </c>
      <c r="N1760" s="6" t="s">
        <v>160</v>
      </c>
      <c r="O1760" s="6" t="s">
        <v>161</v>
      </c>
      <c r="P1760" s="19">
        <v>6</v>
      </c>
    </row>
    <row r="1761" spans="12:16" ht="15.75" customHeight="1" x14ac:dyDescent="0.3">
      <c r="L1761" s="6" t="s">
        <v>183</v>
      </c>
      <c r="M1761" s="6" t="s">
        <v>366</v>
      </c>
      <c r="N1761" s="6" t="s">
        <v>162</v>
      </c>
      <c r="O1761" s="6" t="s">
        <v>163</v>
      </c>
      <c r="P1761" s="19">
        <v>0</v>
      </c>
    </row>
    <row r="1762" spans="12:16" ht="15.75" customHeight="1" x14ac:dyDescent="0.3">
      <c r="L1762" s="6" t="s">
        <v>183</v>
      </c>
      <c r="M1762" s="6" t="s">
        <v>366</v>
      </c>
      <c r="N1762" s="6" t="s">
        <v>165</v>
      </c>
      <c r="O1762" s="6" t="s">
        <v>166</v>
      </c>
      <c r="P1762" s="19">
        <v>2</v>
      </c>
    </row>
    <row r="1763" spans="12:16" ht="15.75" customHeight="1" x14ac:dyDescent="0.3">
      <c r="L1763" s="6" t="s">
        <v>183</v>
      </c>
      <c r="M1763" s="6" t="s">
        <v>413</v>
      </c>
      <c r="N1763" s="6" t="s">
        <v>72</v>
      </c>
      <c r="O1763" s="6" t="s">
        <v>75</v>
      </c>
      <c r="P1763" s="19">
        <v>0</v>
      </c>
    </row>
    <row r="1764" spans="12:16" ht="15.75" customHeight="1" x14ac:dyDescent="0.3">
      <c r="L1764" s="6" t="s">
        <v>183</v>
      </c>
      <c r="M1764" s="6" t="s">
        <v>413</v>
      </c>
      <c r="N1764" s="6" t="s">
        <v>83</v>
      </c>
      <c r="O1764" s="6" t="s">
        <v>84</v>
      </c>
      <c r="P1764" s="19">
        <v>0</v>
      </c>
    </row>
    <row r="1765" spans="12:16" ht="15.75" customHeight="1" x14ac:dyDescent="0.3">
      <c r="L1765" s="6" t="s">
        <v>183</v>
      </c>
      <c r="M1765" s="6" t="s">
        <v>413</v>
      </c>
      <c r="N1765" s="6" t="s">
        <v>88</v>
      </c>
      <c r="O1765" s="6" t="s">
        <v>90</v>
      </c>
      <c r="P1765" s="19">
        <v>1</v>
      </c>
    </row>
    <row r="1766" spans="12:16" ht="15.75" customHeight="1" x14ac:dyDescent="0.3">
      <c r="L1766" s="6" t="s">
        <v>183</v>
      </c>
      <c r="M1766" s="6" t="s">
        <v>413</v>
      </c>
      <c r="N1766" s="6" t="s">
        <v>96</v>
      </c>
      <c r="O1766" s="6" t="s">
        <v>97</v>
      </c>
      <c r="P1766" s="19">
        <v>1</v>
      </c>
    </row>
    <row r="1767" spans="12:16" ht="15.75" customHeight="1" x14ac:dyDescent="0.3">
      <c r="L1767" s="6" t="s">
        <v>183</v>
      </c>
      <c r="M1767" s="6" t="s">
        <v>413</v>
      </c>
      <c r="N1767" s="6" t="s">
        <v>100</v>
      </c>
      <c r="O1767" s="6" t="s">
        <v>101</v>
      </c>
      <c r="P1767" s="19">
        <v>0</v>
      </c>
    </row>
    <row r="1768" spans="12:16" ht="15.75" customHeight="1" x14ac:dyDescent="0.3">
      <c r="L1768" s="6" t="s">
        <v>183</v>
      </c>
      <c r="M1768" s="6" t="s">
        <v>413</v>
      </c>
      <c r="N1768" s="6" t="s">
        <v>22</v>
      </c>
      <c r="O1768" s="6" t="s">
        <v>104</v>
      </c>
      <c r="P1768" s="19">
        <v>2</v>
      </c>
    </row>
    <row r="1769" spans="12:16" ht="15.75" customHeight="1" x14ac:dyDescent="0.3">
      <c r="L1769" s="6" t="s">
        <v>183</v>
      </c>
      <c r="M1769" s="6" t="s">
        <v>413</v>
      </c>
      <c r="N1769" s="6" t="s">
        <v>23</v>
      </c>
      <c r="O1769" s="6" t="s">
        <v>107</v>
      </c>
      <c r="P1769" s="17">
        <v>23.2193</v>
      </c>
    </row>
    <row r="1770" spans="12:16" ht="15.75" customHeight="1" x14ac:dyDescent="0.3">
      <c r="L1770" s="6" t="s">
        <v>183</v>
      </c>
      <c r="M1770" s="6" t="s">
        <v>413</v>
      </c>
      <c r="N1770" s="6" t="s">
        <v>24</v>
      </c>
      <c r="O1770" s="6" t="s">
        <v>109</v>
      </c>
      <c r="P1770" s="17">
        <v>2.7000000000000001E-3</v>
      </c>
    </row>
    <row r="1771" spans="12:16" ht="15.75" customHeight="1" x14ac:dyDescent="0.3">
      <c r="L1771" s="6" t="s">
        <v>183</v>
      </c>
      <c r="M1771" s="6" t="s">
        <v>413</v>
      </c>
      <c r="N1771" s="6" t="s">
        <v>25</v>
      </c>
      <c r="O1771" s="6" t="s">
        <v>111</v>
      </c>
      <c r="P1771" s="19">
        <v>5</v>
      </c>
    </row>
    <row r="1772" spans="12:16" ht="15.75" customHeight="1" x14ac:dyDescent="0.3">
      <c r="L1772" s="6" t="s">
        <v>183</v>
      </c>
      <c r="M1772" s="6" t="s">
        <v>413</v>
      </c>
      <c r="N1772" s="6" t="s">
        <v>26</v>
      </c>
      <c r="O1772" s="6" t="s">
        <v>113</v>
      </c>
      <c r="P1772" s="19">
        <v>5</v>
      </c>
    </row>
    <row r="1773" spans="12:16" ht="15.75" customHeight="1" x14ac:dyDescent="0.3">
      <c r="L1773" s="6" t="s">
        <v>183</v>
      </c>
      <c r="M1773" s="6" t="s">
        <v>413</v>
      </c>
      <c r="N1773" s="6" t="s">
        <v>27</v>
      </c>
      <c r="O1773" s="6" t="s">
        <v>117</v>
      </c>
      <c r="P1773" s="17">
        <v>11.6096</v>
      </c>
    </row>
    <row r="1774" spans="12:16" ht="15.75" customHeight="1" x14ac:dyDescent="0.3">
      <c r="L1774" s="6" t="s">
        <v>183</v>
      </c>
      <c r="M1774" s="6" t="s">
        <v>413</v>
      </c>
      <c r="N1774" s="6" t="s">
        <v>29</v>
      </c>
      <c r="O1774" s="6" t="s">
        <v>125</v>
      </c>
      <c r="P1774" s="19">
        <v>6</v>
      </c>
    </row>
    <row r="1775" spans="12:16" ht="15.75" customHeight="1" x14ac:dyDescent="0.3">
      <c r="L1775" s="6" t="s">
        <v>183</v>
      </c>
      <c r="M1775" s="6" t="s">
        <v>413</v>
      </c>
      <c r="N1775" s="6" t="s">
        <v>135</v>
      </c>
      <c r="O1775" s="6" t="s">
        <v>136</v>
      </c>
      <c r="P1775" s="19">
        <v>1</v>
      </c>
    </row>
    <row r="1776" spans="12:16" ht="15.75" customHeight="1" x14ac:dyDescent="0.3">
      <c r="L1776" s="6" t="s">
        <v>183</v>
      </c>
      <c r="M1776" s="6" t="s">
        <v>413</v>
      </c>
      <c r="N1776" s="6" t="s">
        <v>138</v>
      </c>
      <c r="O1776" s="6" t="s">
        <v>139</v>
      </c>
      <c r="P1776" s="19">
        <v>0</v>
      </c>
    </row>
    <row r="1777" spans="12:16" ht="15.75" customHeight="1" x14ac:dyDescent="0.3">
      <c r="L1777" s="6" t="s">
        <v>183</v>
      </c>
      <c r="M1777" s="6" t="s">
        <v>413</v>
      </c>
      <c r="N1777" s="6" t="s">
        <v>30</v>
      </c>
      <c r="O1777" s="6" t="s">
        <v>148</v>
      </c>
      <c r="P1777" s="17">
        <v>75.733599999999996</v>
      </c>
    </row>
    <row r="1778" spans="12:16" ht="15.75" customHeight="1" x14ac:dyDescent="0.3">
      <c r="L1778" s="6" t="s">
        <v>183</v>
      </c>
      <c r="M1778" s="6" t="s">
        <v>413</v>
      </c>
      <c r="N1778" s="6" t="s">
        <v>156</v>
      </c>
      <c r="O1778" s="6" t="s">
        <v>157</v>
      </c>
      <c r="P1778" s="19">
        <v>0</v>
      </c>
    </row>
    <row r="1779" spans="12:16" ht="15.75" customHeight="1" x14ac:dyDescent="0.3">
      <c r="L1779" s="6" t="s">
        <v>183</v>
      </c>
      <c r="M1779" s="6" t="s">
        <v>413</v>
      </c>
      <c r="N1779" s="6" t="s">
        <v>158</v>
      </c>
      <c r="O1779" s="6" t="s">
        <v>159</v>
      </c>
      <c r="P1779" s="19">
        <v>1</v>
      </c>
    </row>
    <row r="1780" spans="12:16" ht="15.75" customHeight="1" x14ac:dyDescent="0.3">
      <c r="L1780" s="6" t="s">
        <v>183</v>
      </c>
      <c r="M1780" s="6" t="s">
        <v>413</v>
      </c>
      <c r="N1780" s="6" t="s">
        <v>160</v>
      </c>
      <c r="O1780" s="6" t="s">
        <v>161</v>
      </c>
      <c r="P1780" s="19">
        <v>1</v>
      </c>
    </row>
    <row r="1781" spans="12:16" ht="15.75" customHeight="1" x14ac:dyDescent="0.3">
      <c r="L1781" s="6" t="s">
        <v>183</v>
      </c>
      <c r="M1781" s="6" t="s">
        <v>413</v>
      </c>
      <c r="N1781" s="6" t="s">
        <v>162</v>
      </c>
      <c r="O1781" s="6" t="s">
        <v>163</v>
      </c>
      <c r="P1781" s="19">
        <v>0</v>
      </c>
    </row>
    <row r="1782" spans="12:16" ht="15.75" customHeight="1" x14ac:dyDescent="0.3">
      <c r="L1782" s="6" t="s">
        <v>183</v>
      </c>
      <c r="M1782" s="6" t="s">
        <v>413</v>
      </c>
      <c r="N1782" s="6" t="s">
        <v>165</v>
      </c>
      <c r="O1782" s="6" t="s">
        <v>166</v>
      </c>
      <c r="P1782" s="19">
        <v>0</v>
      </c>
    </row>
    <row r="1783" spans="12:16" ht="15.75" customHeight="1" x14ac:dyDescent="0.3">
      <c r="L1783" s="6" t="s">
        <v>183</v>
      </c>
      <c r="M1783" s="6" t="s">
        <v>370</v>
      </c>
      <c r="N1783" s="6" t="s">
        <v>72</v>
      </c>
      <c r="O1783" s="6" t="s">
        <v>75</v>
      </c>
      <c r="P1783" s="19">
        <v>2</v>
      </c>
    </row>
    <row r="1784" spans="12:16" ht="15.75" customHeight="1" x14ac:dyDescent="0.3">
      <c r="L1784" s="6" t="s">
        <v>183</v>
      </c>
      <c r="M1784" s="6" t="s">
        <v>370</v>
      </c>
      <c r="N1784" s="6" t="s">
        <v>83</v>
      </c>
      <c r="O1784" s="6" t="s">
        <v>84</v>
      </c>
      <c r="P1784" s="19">
        <v>1</v>
      </c>
    </row>
    <row r="1785" spans="12:16" ht="15.75" customHeight="1" x14ac:dyDescent="0.3">
      <c r="L1785" s="6" t="s">
        <v>183</v>
      </c>
      <c r="M1785" s="6" t="s">
        <v>370</v>
      </c>
      <c r="N1785" s="6" t="s">
        <v>88</v>
      </c>
      <c r="O1785" s="6" t="s">
        <v>90</v>
      </c>
      <c r="P1785" s="17">
        <v>0.75</v>
      </c>
    </row>
    <row r="1786" spans="12:16" ht="15.75" customHeight="1" x14ac:dyDescent="0.3">
      <c r="L1786" s="6" t="s">
        <v>183</v>
      </c>
      <c r="M1786" s="6" t="s">
        <v>370</v>
      </c>
      <c r="N1786" s="6" t="s">
        <v>96</v>
      </c>
      <c r="O1786" s="6" t="s">
        <v>97</v>
      </c>
      <c r="P1786" s="19">
        <v>4</v>
      </c>
    </row>
    <row r="1787" spans="12:16" ht="15.75" customHeight="1" x14ac:dyDescent="0.3">
      <c r="L1787" s="6" t="s">
        <v>183</v>
      </c>
      <c r="M1787" s="6" t="s">
        <v>370</v>
      </c>
      <c r="N1787" s="6" t="s">
        <v>100</v>
      </c>
      <c r="O1787" s="6" t="s">
        <v>101</v>
      </c>
      <c r="P1787" s="19">
        <v>1</v>
      </c>
    </row>
    <row r="1788" spans="12:16" ht="15.75" customHeight="1" x14ac:dyDescent="0.3">
      <c r="L1788" s="6" t="s">
        <v>183</v>
      </c>
      <c r="M1788" s="6" t="s">
        <v>370</v>
      </c>
      <c r="N1788" s="6" t="s">
        <v>22</v>
      </c>
      <c r="O1788" s="6" t="s">
        <v>104</v>
      </c>
      <c r="P1788" s="17">
        <v>5.7857000000000003</v>
      </c>
    </row>
    <row r="1789" spans="12:16" ht="15.75" customHeight="1" x14ac:dyDescent="0.3">
      <c r="L1789" s="6" t="s">
        <v>183</v>
      </c>
      <c r="M1789" s="6" t="s">
        <v>370</v>
      </c>
      <c r="N1789" s="6" t="s">
        <v>23</v>
      </c>
      <c r="O1789" s="6" t="s">
        <v>107</v>
      </c>
      <c r="P1789" s="17">
        <v>416.57139999999998</v>
      </c>
    </row>
    <row r="1790" spans="12:16" ht="15.75" customHeight="1" x14ac:dyDescent="0.3">
      <c r="L1790" s="6" t="s">
        <v>183</v>
      </c>
      <c r="M1790" s="6" t="s">
        <v>370</v>
      </c>
      <c r="N1790" s="6" t="s">
        <v>24</v>
      </c>
      <c r="O1790" s="6" t="s">
        <v>109</v>
      </c>
      <c r="P1790" s="17">
        <v>1.8599999999999998E-2</v>
      </c>
    </row>
    <row r="1791" spans="12:16" ht="15.75" customHeight="1" x14ac:dyDescent="0.3">
      <c r="L1791" s="6" t="s">
        <v>183</v>
      </c>
      <c r="M1791" s="6" t="s">
        <v>370</v>
      </c>
      <c r="N1791" s="6" t="s">
        <v>25</v>
      </c>
      <c r="O1791" s="6" t="s">
        <v>111</v>
      </c>
      <c r="P1791" s="19">
        <v>18</v>
      </c>
    </row>
    <row r="1792" spans="12:16" ht="15.75" customHeight="1" x14ac:dyDescent="0.3">
      <c r="L1792" s="6" t="s">
        <v>183</v>
      </c>
      <c r="M1792" s="6" t="s">
        <v>370</v>
      </c>
      <c r="N1792" s="6" t="s">
        <v>26</v>
      </c>
      <c r="O1792" s="6" t="s">
        <v>113</v>
      </c>
      <c r="P1792" s="19">
        <v>16</v>
      </c>
    </row>
    <row r="1793" spans="12:16" ht="15.75" customHeight="1" x14ac:dyDescent="0.3">
      <c r="L1793" s="6" t="s">
        <v>183</v>
      </c>
      <c r="M1793" s="6" t="s">
        <v>370</v>
      </c>
      <c r="N1793" s="6" t="s">
        <v>27</v>
      </c>
      <c r="O1793" s="6" t="s">
        <v>117</v>
      </c>
      <c r="P1793" s="19">
        <v>72</v>
      </c>
    </row>
    <row r="1794" spans="12:16" ht="15.75" customHeight="1" x14ac:dyDescent="0.3">
      <c r="L1794" s="6" t="s">
        <v>183</v>
      </c>
      <c r="M1794" s="6" t="s">
        <v>370</v>
      </c>
      <c r="N1794" s="6" t="s">
        <v>29</v>
      </c>
      <c r="O1794" s="6" t="s">
        <v>125</v>
      </c>
      <c r="P1794" s="19">
        <v>13</v>
      </c>
    </row>
    <row r="1795" spans="12:16" ht="15.75" customHeight="1" x14ac:dyDescent="0.3">
      <c r="L1795" s="6" t="s">
        <v>183</v>
      </c>
      <c r="M1795" s="6" t="s">
        <v>370</v>
      </c>
      <c r="N1795" s="6" t="s">
        <v>135</v>
      </c>
      <c r="O1795" s="6" t="s">
        <v>136</v>
      </c>
      <c r="P1795" s="17">
        <v>0.66669999999999996</v>
      </c>
    </row>
    <row r="1796" spans="12:16" ht="15.75" customHeight="1" x14ac:dyDescent="0.3">
      <c r="L1796" s="6" t="s">
        <v>183</v>
      </c>
      <c r="M1796" s="6" t="s">
        <v>370</v>
      </c>
      <c r="N1796" s="6" t="s">
        <v>138</v>
      </c>
      <c r="O1796" s="6" t="s">
        <v>139</v>
      </c>
      <c r="P1796" s="19">
        <v>0</v>
      </c>
    </row>
    <row r="1797" spans="12:16" ht="15.75" customHeight="1" x14ac:dyDescent="0.3">
      <c r="L1797" s="6" t="s">
        <v>183</v>
      </c>
      <c r="M1797" s="6" t="s">
        <v>370</v>
      </c>
      <c r="N1797" s="6" t="s">
        <v>30</v>
      </c>
      <c r="O1797" s="6" t="s">
        <v>148</v>
      </c>
      <c r="P1797" s="17">
        <v>62.602200000000003</v>
      </c>
    </row>
    <row r="1798" spans="12:16" ht="15.75" customHeight="1" x14ac:dyDescent="0.3">
      <c r="L1798" s="6" t="s">
        <v>183</v>
      </c>
      <c r="M1798" s="6" t="s">
        <v>370</v>
      </c>
      <c r="N1798" s="6" t="s">
        <v>156</v>
      </c>
      <c r="O1798" s="6" t="s">
        <v>157</v>
      </c>
      <c r="P1798" s="19">
        <v>1</v>
      </c>
    </row>
    <row r="1799" spans="12:16" ht="15.75" customHeight="1" x14ac:dyDescent="0.3">
      <c r="L1799" s="6" t="s">
        <v>183</v>
      </c>
      <c r="M1799" s="6" t="s">
        <v>370</v>
      </c>
      <c r="N1799" s="6" t="s">
        <v>158</v>
      </c>
      <c r="O1799" s="6" t="s">
        <v>159</v>
      </c>
      <c r="P1799" s="19">
        <v>2</v>
      </c>
    </row>
    <row r="1800" spans="12:16" ht="15.75" customHeight="1" x14ac:dyDescent="0.3">
      <c r="L1800" s="6" t="s">
        <v>183</v>
      </c>
      <c r="M1800" s="6" t="s">
        <v>370</v>
      </c>
      <c r="N1800" s="6" t="s">
        <v>160</v>
      </c>
      <c r="O1800" s="6" t="s">
        <v>161</v>
      </c>
      <c r="P1800" s="19">
        <v>4</v>
      </c>
    </row>
    <row r="1801" spans="12:16" ht="15.75" customHeight="1" x14ac:dyDescent="0.3">
      <c r="L1801" s="6" t="s">
        <v>183</v>
      </c>
      <c r="M1801" s="6" t="s">
        <v>370</v>
      </c>
      <c r="N1801" s="6" t="s">
        <v>162</v>
      </c>
      <c r="O1801" s="6" t="s">
        <v>163</v>
      </c>
      <c r="P1801" s="19">
        <v>0</v>
      </c>
    </row>
    <row r="1802" spans="12:16" ht="15.75" customHeight="1" x14ac:dyDescent="0.3">
      <c r="L1802" s="6" t="s">
        <v>183</v>
      </c>
      <c r="M1802" s="6" t="s">
        <v>370</v>
      </c>
      <c r="N1802" s="6" t="s">
        <v>165</v>
      </c>
      <c r="O1802" s="6" t="s">
        <v>166</v>
      </c>
      <c r="P1802" s="19">
        <v>1</v>
      </c>
    </row>
    <row r="1803" spans="12:16" ht="15.75" customHeight="1" x14ac:dyDescent="0.3">
      <c r="L1803" s="6" t="s">
        <v>184</v>
      </c>
      <c r="M1803" s="6" t="s">
        <v>241</v>
      </c>
      <c r="N1803" s="6" t="s">
        <v>72</v>
      </c>
      <c r="O1803" s="6" t="s">
        <v>75</v>
      </c>
      <c r="P1803" s="19">
        <v>0</v>
      </c>
    </row>
    <row r="1804" spans="12:16" ht="15.75" customHeight="1" x14ac:dyDescent="0.3">
      <c r="L1804" s="6" t="s">
        <v>184</v>
      </c>
      <c r="M1804" s="6" t="s">
        <v>241</v>
      </c>
      <c r="N1804" s="6" t="s">
        <v>83</v>
      </c>
      <c r="O1804" s="6" t="s">
        <v>84</v>
      </c>
      <c r="P1804" s="19">
        <v>0</v>
      </c>
    </row>
    <row r="1805" spans="12:16" ht="15.75" customHeight="1" x14ac:dyDescent="0.3">
      <c r="L1805" s="6" t="s">
        <v>184</v>
      </c>
      <c r="M1805" s="6" t="s">
        <v>241</v>
      </c>
      <c r="N1805" s="6" t="s">
        <v>88</v>
      </c>
      <c r="O1805" s="6" t="s">
        <v>90</v>
      </c>
      <c r="P1805" s="19">
        <v>0</v>
      </c>
    </row>
    <row r="1806" spans="12:16" ht="15.75" customHeight="1" x14ac:dyDescent="0.3">
      <c r="L1806" s="6" t="s">
        <v>184</v>
      </c>
      <c r="M1806" s="6" t="s">
        <v>241</v>
      </c>
      <c r="N1806" s="6" t="s">
        <v>96</v>
      </c>
      <c r="O1806" s="6" t="s">
        <v>97</v>
      </c>
      <c r="P1806" s="19">
        <v>0</v>
      </c>
    </row>
    <row r="1807" spans="12:16" ht="15.75" customHeight="1" x14ac:dyDescent="0.3">
      <c r="L1807" s="6" t="s">
        <v>184</v>
      </c>
      <c r="M1807" s="6" t="s">
        <v>241</v>
      </c>
      <c r="N1807" s="6" t="s">
        <v>100</v>
      </c>
      <c r="O1807" s="6" t="s">
        <v>101</v>
      </c>
      <c r="P1807" s="19">
        <v>0</v>
      </c>
    </row>
    <row r="1808" spans="12:16" ht="15.75" customHeight="1" x14ac:dyDescent="0.3">
      <c r="L1808" s="6" t="s">
        <v>184</v>
      </c>
      <c r="M1808" s="6" t="s">
        <v>241</v>
      </c>
      <c r="N1808" s="6" t="s">
        <v>22</v>
      </c>
      <c r="O1808" s="6" t="s">
        <v>104</v>
      </c>
      <c r="P1808" s="19">
        <v>0</v>
      </c>
    </row>
    <row r="1809" spans="12:16" ht="15.75" customHeight="1" x14ac:dyDescent="0.3">
      <c r="L1809" s="6" t="s">
        <v>184</v>
      </c>
      <c r="M1809" s="6" t="s">
        <v>241</v>
      </c>
      <c r="N1809" s="6" t="s">
        <v>23</v>
      </c>
      <c r="O1809" s="6" t="s">
        <v>107</v>
      </c>
      <c r="P1809" s="19">
        <v>0</v>
      </c>
    </row>
    <row r="1810" spans="12:16" ht="15.75" customHeight="1" x14ac:dyDescent="0.3">
      <c r="L1810" s="6" t="s">
        <v>184</v>
      </c>
      <c r="M1810" s="6" t="s">
        <v>241</v>
      </c>
      <c r="N1810" s="6" t="s">
        <v>24</v>
      </c>
      <c r="O1810" s="6" t="s">
        <v>109</v>
      </c>
      <c r="P1810" s="19">
        <v>0</v>
      </c>
    </row>
    <row r="1811" spans="12:16" ht="15.75" customHeight="1" x14ac:dyDescent="0.3">
      <c r="L1811" s="6" t="s">
        <v>184</v>
      </c>
      <c r="M1811" s="6" t="s">
        <v>241</v>
      </c>
      <c r="N1811" s="6" t="s">
        <v>25</v>
      </c>
      <c r="O1811" s="6" t="s">
        <v>111</v>
      </c>
      <c r="P1811" s="19">
        <v>1</v>
      </c>
    </row>
    <row r="1812" spans="12:16" ht="15.75" customHeight="1" x14ac:dyDescent="0.3">
      <c r="L1812" s="6" t="s">
        <v>184</v>
      </c>
      <c r="M1812" s="6" t="s">
        <v>241</v>
      </c>
      <c r="N1812" s="6" t="s">
        <v>26</v>
      </c>
      <c r="O1812" s="6" t="s">
        <v>113</v>
      </c>
      <c r="P1812" s="19">
        <v>1</v>
      </c>
    </row>
    <row r="1813" spans="12:16" ht="15.75" customHeight="1" x14ac:dyDescent="0.3">
      <c r="L1813" s="6" t="s">
        <v>184</v>
      </c>
      <c r="M1813" s="6" t="s">
        <v>241</v>
      </c>
      <c r="N1813" s="6" t="s">
        <v>27</v>
      </c>
      <c r="O1813" s="6" t="s">
        <v>117</v>
      </c>
      <c r="P1813" s="19">
        <v>0</v>
      </c>
    </row>
    <row r="1814" spans="12:16" ht="15.75" customHeight="1" x14ac:dyDescent="0.3">
      <c r="L1814" s="6" t="s">
        <v>184</v>
      </c>
      <c r="M1814" s="6" t="s">
        <v>241</v>
      </c>
      <c r="N1814" s="6" t="s">
        <v>29</v>
      </c>
      <c r="O1814" s="6" t="s">
        <v>125</v>
      </c>
      <c r="P1814" s="19">
        <v>0</v>
      </c>
    </row>
    <row r="1815" spans="12:16" ht="15.75" customHeight="1" x14ac:dyDescent="0.3">
      <c r="L1815" s="6" t="s">
        <v>184</v>
      </c>
      <c r="M1815" s="6" t="s">
        <v>241</v>
      </c>
      <c r="N1815" s="6" t="s">
        <v>135</v>
      </c>
      <c r="O1815" s="6" t="s">
        <v>136</v>
      </c>
      <c r="P1815" s="19">
        <v>0</v>
      </c>
    </row>
    <row r="1816" spans="12:16" ht="15.75" customHeight="1" x14ac:dyDescent="0.3">
      <c r="L1816" s="6" t="s">
        <v>184</v>
      </c>
      <c r="M1816" s="6" t="s">
        <v>241</v>
      </c>
      <c r="N1816" s="6" t="s">
        <v>138</v>
      </c>
      <c r="O1816" s="6" t="s">
        <v>139</v>
      </c>
      <c r="P1816" s="19">
        <v>0</v>
      </c>
    </row>
    <row r="1817" spans="12:16" ht="15.75" customHeight="1" x14ac:dyDescent="0.3">
      <c r="L1817" s="6" t="s">
        <v>184</v>
      </c>
      <c r="M1817" s="6" t="s">
        <v>241</v>
      </c>
      <c r="N1817" s="6" t="s">
        <v>30</v>
      </c>
      <c r="O1817" s="6" t="s">
        <v>148</v>
      </c>
      <c r="P1817" s="19">
        <v>0</v>
      </c>
    </row>
    <row r="1818" spans="12:16" ht="15.75" customHeight="1" x14ac:dyDescent="0.3">
      <c r="L1818" s="6" t="s">
        <v>184</v>
      </c>
      <c r="M1818" s="6" t="s">
        <v>241</v>
      </c>
      <c r="N1818" s="6" t="s">
        <v>156</v>
      </c>
      <c r="O1818" s="6" t="s">
        <v>157</v>
      </c>
      <c r="P1818" s="25" t="s">
        <v>169</v>
      </c>
    </row>
    <row r="1819" spans="12:16" ht="15.75" customHeight="1" x14ac:dyDescent="0.3">
      <c r="L1819" s="6" t="s">
        <v>184</v>
      </c>
      <c r="M1819" s="6" t="s">
        <v>241</v>
      </c>
      <c r="N1819" s="6" t="s">
        <v>158</v>
      </c>
      <c r="O1819" s="6" t="s">
        <v>159</v>
      </c>
      <c r="P1819" s="19">
        <v>1</v>
      </c>
    </row>
    <row r="1820" spans="12:16" ht="15.75" customHeight="1" x14ac:dyDescent="0.3">
      <c r="L1820" s="6" t="s">
        <v>184</v>
      </c>
      <c r="M1820" s="6" t="s">
        <v>241</v>
      </c>
      <c r="N1820" s="6" t="s">
        <v>160</v>
      </c>
      <c r="O1820" s="6" t="s">
        <v>161</v>
      </c>
      <c r="P1820" s="25" t="s">
        <v>169</v>
      </c>
    </row>
    <row r="1821" spans="12:16" ht="15.75" customHeight="1" x14ac:dyDescent="0.3">
      <c r="L1821" s="6" t="s">
        <v>184</v>
      </c>
      <c r="M1821" s="6" t="s">
        <v>241</v>
      </c>
      <c r="N1821" s="6" t="s">
        <v>162</v>
      </c>
      <c r="O1821" s="6" t="s">
        <v>163</v>
      </c>
      <c r="P1821" s="19">
        <v>0</v>
      </c>
    </row>
    <row r="1822" spans="12:16" ht="15.75" customHeight="1" x14ac:dyDescent="0.3">
      <c r="L1822" s="6" t="s">
        <v>184</v>
      </c>
      <c r="M1822" s="6" t="s">
        <v>241</v>
      </c>
      <c r="N1822" s="6" t="s">
        <v>165</v>
      </c>
      <c r="O1822" s="6" t="s">
        <v>166</v>
      </c>
      <c r="P1822" s="19">
        <v>1</v>
      </c>
    </row>
    <row r="1823" spans="12:16" ht="15.75" customHeight="1" x14ac:dyDescent="0.3">
      <c r="L1823" s="6" t="s">
        <v>184</v>
      </c>
      <c r="M1823" s="6" t="s">
        <v>251</v>
      </c>
      <c r="N1823" s="6" t="s">
        <v>72</v>
      </c>
      <c r="O1823" s="6" t="s">
        <v>75</v>
      </c>
      <c r="P1823" s="19">
        <v>0</v>
      </c>
    </row>
    <row r="1824" spans="12:16" ht="15.75" customHeight="1" x14ac:dyDescent="0.3">
      <c r="L1824" s="6" t="s">
        <v>184</v>
      </c>
      <c r="M1824" s="6" t="s">
        <v>251</v>
      </c>
      <c r="N1824" s="6" t="s">
        <v>83</v>
      </c>
      <c r="O1824" s="6" t="s">
        <v>84</v>
      </c>
      <c r="P1824" s="19">
        <v>0</v>
      </c>
    </row>
    <row r="1825" spans="12:16" ht="15.75" customHeight="1" x14ac:dyDescent="0.3">
      <c r="L1825" s="6" t="s">
        <v>184</v>
      </c>
      <c r="M1825" s="6" t="s">
        <v>251</v>
      </c>
      <c r="N1825" s="6" t="s">
        <v>88</v>
      </c>
      <c r="O1825" s="6" t="s">
        <v>90</v>
      </c>
      <c r="P1825" s="19">
        <v>0</v>
      </c>
    </row>
    <row r="1826" spans="12:16" ht="15.75" customHeight="1" x14ac:dyDescent="0.3">
      <c r="L1826" s="6" t="s">
        <v>184</v>
      </c>
      <c r="M1826" s="6" t="s">
        <v>251</v>
      </c>
      <c r="N1826" s="6" t="s">
        <v>96</v>
      </c>
      <c r="O1826" s="6" t="s">
        <v>97</v>
      </c>
      <c r="P1826" s="19">
        <v>0</v>
      </c>
    </row>
    <row r="1827" spans="12:16" ht="15.75" customHeight="1" x14ac:dyDescent="0.3">
      <c r="L1827" s="6" t="s">
        <v>184</v>
      </c>
      <c r="M1827" s="6" t="s">
        <v>251</v>
      </c>
      <c r="N1827" s="6" t="s">
        <v>100</v>
      </c>
      <c r="O1827" s="6" t="s">
        <v>101</v>
      </c>
      <c r="P1827" s="19">
        <v>0</v>
      </c>
    </row>
    <row r="1828" spans="12:16" ht="15.75" customHeight="1" x14ac:dyDescent="0.3">
      <c r="L1828" s="6" t="s">
        <v>184</v>
      </c>
      <c r="M1828" s="6" t="s">
        <v>251</v>
      </c>
      <c r="N1828" s="6" t="s">
        <v>22</v>
      </c>
      <c r="O1828" s="6" t="s">
        <v>104</v>
      </c>
      <c r="P1828" s="19">
        <v>0</v>
      </c>
    </row>
    <row r="1829" spans="12:16" ht="15.75" customHeight="1" x14ac:dyDescent="0.3">
      <c r="L1829" s="6" t="s">
        <v>184</v>
      </c>
      <c r="M1829" s="6" t="s">
        <v>251</v>
      </c>
      <c r="N1829" s="6" t="s">
        <v>23</v>
      </c>
      <c r="O1829" s="6" t="s">
        <v>107</v>
      </c>
      <c r="P1829" s="25" t="s">
        <v>222</v>
      </c>
    </row>
    <row r="1830" spans="12:16" ht="15.75" customHeight="1" x14ac:dyDescent="0.3">
      <c r="L1830" s="6" t="s">
        <v>184</v>
      </c>
      <c r="M1830" s="6" t="s">
        <v>251</v>
      </c>
      <c r="N1830" s="6" t="s">
        <v>24</v>
      </c>
      <c r="O1830" s="6" t="s">
        <v>109</v>
      </c>
      <c r="P1830" s="25" t="s">
        <v>222</v>
      </c>
    </row>
    <row r="1831" spans="12:16" ht="15.75" customHeight="1" x14ac:dyDescent="0.3">
      <c r="L1831" s="6" t="s">
        <v>184</v>
      </c>
      <c r="M1831" s="6" t="s">
        <v>251</v>
      </c>
      <c r="N1831" s="6" t="s">
        <v>25</v>
      </c>
      <c r="O1831" s="6" t="s">
        <v>111</v>
      </c>
      <c r="P1831" s="19">
        <v>0</v>
      </c>
    </row>
    <row r="1832" spans="12:16" ht="15.75" customHeight="1" x14ac:dyDescent="0.3">
      <c r="L1832" s="6" t="s">
        <v>184</v>
      </c>
      <c r="M1832" s="6" t="s">
        <v>251</v>
      </c>
      <c r="N1832" s="6" t="s">
        <v>26</v>
      </c>
      <c r="O1832" s="6" t="s">
        <v>113</v>
      </c>
      <c r="P1832" s="19">
        <v>0</v>
      </c>
    </row>
    <row r="1833" spans="12:16" ht="15.75" customHeight="1" x14ac:dyDescent="0.3">
      <c r="L1833" s="6" t="s">
        <v>184</v>
      </c>
      <c r="M1833" s="6" t="s">
        <v>251</v>
      </c>
      <c r="N1833" s="6" t="s">
        <v>27</v>
      </c>
      <c r="O1833" s="6" t="s">
        <v>117</v>
      </c>
      <c r="P1833" s="25" t="s">
        <v>222</v>
      </c>
    </row>
    <row r="1834" spans="12:16" ht="15.75" customHeight="1" x14ac:dyDescent="0.3">
      <c r="L1834" s="6" t="s">
        <v>184</v>
      </c>
      <c r="M1834" s="6" t="s">
        <v>251</v>
      </c>
      <c r="N1834" s="6" t="s">
        <v>29</v>
      </c>
      <c r="O1834" s="6" t="s">
        <v>125</v>
      </c>
      <c r="P1834" s="19">
        <v>0</v>
      </c>
    </row>
    <row r="1835" spans="12:16" ht="15.75" customHeight="1" x14ac:dyDescent="0.3">
      <c r="L1835" s="6" t="s">
        <v>184</v>
      </c>
      <c r="M1835" s="6" t="s">
        <v>251</v>
      </c>
      <c r="N1835" s="6" t="s">
        <v>135</v>
      </c>
      <c r="O1835" s="6" t="s">
        <v>136</v>
      </c>
      <c r="P1835" s="19">
        <v>0</v>
      </c>
    </row>
    <row r="1836" spans="12:16" ht="15.75" customHeight="1" x14ac:dyDescent="0.3">
      <c r="L1836" s="6" t="s">
        <v>184</v>
      </c>
      <c r="M1836" s="6" t="s">
        <v>251</v>
      </c>
      <c r="N1836" s="6" t="s">
        <v>138</v>
      </c>
      <c r="O1836" s="6" t="s">
        <v>139</v>
      </c>
      <c r="P1836" s="19">
        <v>0</v>
      </c>
    </row>
    <row r="1837" spans="12:16" ht="15.75" customHeight="1" x14ac:dyDescent="0.3">
      <c r="L1837" s="6" t="s">
        <v>184</v>
      </c>
      <c r="M1837" s="6" t="s">
        <v>251</v>
      </c>
      <c r="N1837" s="6" t="s">
        <v>30</v>
      </c>
      <c r="O1837" s="6" t="s">
        <v>148</v>
      </c>
      <c r="P1837" s="19">
        <v>0</v>
      </c>
    </row>
    <row r="1838" spans="12:16" ht="15.75" customHeight="1" x14ac:dyDescent="0.3">
      <c r="L1838" s="6" t="s">
        <v>184</v>
      </c>
      <c r="M1838" s="6" t="s">
        <v>251</v>
      </c>
      <c r="N1838" s="6" t="s">
        <v>156</v>
      </c>
      <c r="O1838" s="6" t="s">
        <v>157</v>
      </c>
      <c r="P1838" s="25" t="s">
        <v>169</v>
      </c>
    </row>
    <row r="1839" spans="12:16" ht="15.75" customHeight="1" x14ac:dyDescent="0.3">
      <c r="L1839" s="6" t="s">
        <v>184</v>
      </c>
      <c r="M1839" s="6" t="s">
        <v>251</v>
      </c>
      <c r="N1839" s="6" t="s">
        <v>158</v>
      </c>
      <c r="O1839" s="6" t="s">
        <v>159</v>
      </c>
      <c r="P1839" s="19">
        <v>1</v>
      </c>
    </row>
    <row r="1840" spans="12:16" ht="15.75" customHeight="1" x14ac:dyDescent="0.3">
      <c r="L1840" s="6" t="s">
        <v>184</v>
      </c>
      <c r="M1840" s="6" t="s">
        <v>251</v>
      </c>
      <c r="N1840" s="6" t="s">
        <v>160</v>
      </c>
      <c r="O1840" s="6" t="s">
        <v>161</v>
      </c>
      <c r="P1840" s="25" t="s">
        <v>169</v>
      </c>
    </row>
    <row r="1841" spans="12:16" ht="15.75" customHeight="1" x14ac:dyDescent="0.3">
      <c r="L1841" s="6" t="s">
        <v>184</v>
      </c>
      <c r="M1841" s="6" t="s">
        <v>251</v>
      </c>
      <c r="N1841" s="6" t="s">
        <v>162</v>
      </c>
      <c r="O1841" s="6" t="s">
        <v>163</v>
      </c>
      <c r="P1841" s="19">
        <v>0</v>
      </c>
    </row>
    <row r="1842" spans="12:16" ht="15.75" customHeight="1" x14ac:dyDescent="0.3">
      <c r="L1842" s="6" t="s">
        <v>184</v>
      </c>
      <c r="M1842" s="6" t="s">
        <v>251</v>
      </c>
      <c r="N1842" s="6" t="s">
        <v>165</v>
      </c>
      <c r="O1842" s="6" t="s">
        <v>166</v>
      </c>
      <c r="P1842" s="19">
        <v>0</v>
      </c>
    </row>
    <row r="1843" spans="12:16" ht="15.75" customHeight="1" x14ac:dyDescent="0.3">
      <c r="L1843" s="6" t="s">
        <v>184</v>
      </c>
      <c r="M1843" s="6" t="s">
        <v>253</v>
      </c>
      <c r="N1843" s="6" t="s">
        <v>72</v>
      </c>
      <c r="O1843" s="6" t="s">
        <v>75</v>
      </c>
      <c r="P1843" s="19">
        <v>0</v>
      </c>
    </row>
    <row r="1844" spans="12:16" ht="15.75" customHeight="1" x14ac:dyDescent="0.3">
      <c r="L1844" s="6" t="s">
        <v>184</v>
      </c>
      <c r="M1844" s="6" t="s">
        <v>253</v>
      </c>
      <c r="N1844" s="6" t="s">
        <v>83</v>
      </c>
      <c r="O1844" s="6" t="s">
        <v>84</v>
      </c>
      <c r="P1844" s="19">
        <v>0</v>
      </c>
    </row>
    <row r="1845" spans="12:16" ht="15.75" customHeight="1" x14ac:dyDescent="0.3">
      <c r="L1845" s="6" t="s">
        <v>184</v>
      </c>
      <c r="M1845" s="6" t="s">
        <v>253</v>
      </c>
      <c r="N1845" s="6" t="s">
        <v>88</v>
      </c>
      <c r="O1845" s="6" t="s">
        <v>90</v>
      </c>
      <c r="P1845" s="19">
        <v>0</v>
      </c>
    </row>
    <row r="1846" spans="12:16" ht="15.75" customHeight="1" x14ac:dyDescent="0.3">
      <c r="L1846" s="6" t="s">
        <v>184</v>
      </c>
      <c r="M1846" s="6" t="s">
        <v>253</v>
      </c>
      <c r="N1846" s="6" t="s">
        <v>96</v>
      </c>
      <c r="O1846" s="6" t="s">
        <v>97</v>
      </c>
      <c r="P1846" s="19">
        <v>0</v>
      </c>
    </row>
    <row r="1847" spans="12:16" ht="15.75" customHeight="1" x14ac:dyDescent="0.3">
      <c r="L1847" s="6" t="s">
        <v>184</v>
      </c>
      <c r="M1847" s="6" t="s">
        <v>253</v>
      </c>
      <c r="N1847" s="6" t="s">
        <v>100</v>
      </c>
      <c r="O1847" s="6" t="s">
        <v>101</v>
      </c>
      <c r="P1847" s="19">
        <v>0</v>
      </c>
    </row>
    <row r="1848" spans="12:16" ht="15.75" customHeight="1" x14ac:dyDescent="0.3">
      <c r="L1848" s="6" t="s">
        <v>184</v>
      </c>
      <c r="M1848" s="6" t="s">
        <v>253</v>
      </c>
      <c r="N1848" s="6" t="s">
        <v>22</v>
      </c>
      <c r="O1848" s="6" t="s">
        <v>104</v>
      </c>
      <c r="P1848" s="19">
        <v>0</v>
      </c>
    </row>
    <row r="1849" spans="12:16" ht="15.75" customHeight="1" x14ac:dyDescent="0.3">
      <c r="L1849" s="6" t="s">
        <v>184</v>
      </c>
      <c r="M1849" s="6" t="s">
        <v>253</v>
      </c>
      <c r="N1849" s="6" t="s">
        <v>23</v>
      </c>
      <c r="O1849" s="6" t="s">
        <v>107</v>
      </c>
      <c r="P1849" s="25" t="s">
        <v>222</v>
      </c>
    </row>
    <row r="1850" spans="12:16" ht="15.75" customHeight="1" x14ac:dyDescent="0.3">
      <c r="L1850" s="6" t="s">
        <v>184</v>
      </c>
      <c r="M1850" s="6" t="s">
        <v>253</v>
      </c>
      <c r="N1850" s="6" t="s">
        <v>24</v>
      </c>
      <c r="O1850" s="6" t="s">
        <v>109</v>
      </c>
      <c r="P1850" s="25" t="s">
        <v>222</v>
      </c>
    </row>
    <row r="1851" spans="12:16" ht="15.75" customHeight="1" x14ac:dyDescent="0.3">
      <c r="L1851" s="6" t="s">
        <v>184</v>
      </c>
      <c r="M1851" s="6" t="s">
        <v>253</v>
      </c>
      <c r="N1851" s="6" t="s">
        <v>25</v>
      </c>
      <c r="O1851" s="6" t="s">
        <v>111</v>
      </c>
      <c r="P1851" s="19">
        <v>0</v>
      </c>
    </row>
    <row r="1852" spans="12:16" ht="15.75" customHeight="1" x14ac:dyDescent="0.3">
      <c r="L1852" s="6" t="s">
        <v>184</v>
      </c>
      <c r="M1852" s="6" t="s">
        <v>253</v>
      </c>
      <c r="N1852" s="6" t="s">
        <v>26</v>
      </c>
      <c r="O1852" s="6" t="s">
        <v>113</v>
      </c>
      <c r="P1852" s="19">
        <v>0</v>
      </c>
    </row>
    <row r="1853" spans="12:16" ht="15.75" customHeight="1" x14ac:dyDescent="0.3">
      <c r="L1853" s="6" t="s">
        <v>184</v>
      </c>
      <c r="M1853" s="6" t="s">
        <v>253</v>
      </c>
      <c r="N1853" s="6" t="s">
        <v>27</v>
      </c>
      <c r="O1853" s="6" t="s">
        <v>117</v>
      </c>
      <c r="P1853" s="25" t="s">
        <v>222</v>
      </c>
    </row>
    <row r="1854" spans="12:16" ht="15.75" customHeight="1" x14ac:dyDescent="0.3">
      <c r="L1854" s="6" t="s">
        <v>184</v>
      </c>
      <c r="M1854" s="6" t="s">
        <v>253</v>
      </c>
      <c r="N1854" s="6" t="s">
        <v>29</v>
      </c>
      <c r="O1854" s="6" t="s">
        <v>125</v>
      </c>
      <c r="P1854" s="19">
        <v>0</v>
      </c>
    </row>
    <row r="1855" spans="12:16" ht="15.75" customHeight="1" x14ac:dyDescent="0.3">
      <c r="L1855" s="6" t="s">
        <v>184</v>
      </c>
      <c r="M1855" s="6" t="s">
        <v>253</v>
      </c>
      <c r="N1855" s="6" t="s">
        <v>135</v>
      </c>
      <c r="O1855" s="6" t="s">
        <v>136</v>
      </c>
      <c r="P1855" s="19">
        <v>0</v>
      </c>
    </row>
    <row r="1856" spans="12:16" ht="15.75" customHeight="1" x14ac:dyDescent="0.3">
      <c r="L1856" s="6" t="s">
        <v>184</v>
      </c>
      <c r="M1856" s="6" t="s">
        <v>253</v>
      </c>
      <c r="N1856" s="6" t="s">
        <v>138</v>
      </c>
      <c r="O1856" s="6" t="s">
        <v>139</v>
      </c>
      <c r="P1856" s="19">
        <v>0</v>
      </c>
    </row>
    <row r="1857" spans="12:16" ht="15.75" customHeight="1" x14ac:dyDescent="0.3">
      <c r="L1857" s="6" t="s">
        <v>184</v>
      </c>
      <c r="M1857" s="6" t="s">
        <v>253</v>
      </c>
      <c r="N1857" s="6" t="s">
        <v>30</v>
      </c>
      <c r="O1857" s="6" t="s">
        <v>148</v>
      </c>
      <c r="P1857" s="19">
        <v>0</v>
      </c>
    </row>
    <row r="1858" spans="12:16" ht="15.75" customHeight="1" x14ac:dyDescent="0.3">
      <c r="L1858" s="6" t="s">
        <v>184</v>
      </c>
      <c r="M1858" s="6" t="s">
        <v>253</v>
      </c>
      <c r="N1858" s="6" t="s">
        <v>156</v>
      </c>
      <c r="O1858" s="6" t="s">
        <v>157</v>
      </c>
      <c r="P1858" s="25" t="s">
        <v>169</v>
      </c>
    </row>
    <row r="1859" spans="12:16" ht="15.75" customHeight="1" x14ac:dyDescent="0.3">
      <c r="L1859" s="6" t="s">
        <v>184</v>
      </c>
      <c r="M1859" s="6" t="s">
        <v>253</v>
      </c>
      <c r="N1859" s="6" t="s">
        <v>158</v>
      </c>
      <c r="O1859" s="6" t="s">
        <v>159</v>
      </c>
      <c r="P1859" s="19">
        <v>1</v>
      </c>
    </row>
    <row r="1860" spans="12:16" ht="15.75" customHeight="1" x14ac:dyDescent="0.3">
      <c r="L1860" s="6" t="s">
        <v>184</v>
      </c>
      <c r="M1860" s="6" t="s">
        <v>253</v>
      </c>
      <c r="N1860" s="6" t="s">
        <v>160</v>
      </c>
      <c r="O1860" s="6" t="s">
        <v>161</v>
      </c>
      <c r="P1860" s="25" t="s">
        <v>169</v>
      </c>
    </row>
    <row r="1861" spans="12:16" ht="15.75" customHeight="1" x14ac:dyDescent="0.3">
      <c r="L1861" s="6" t="s">
        <v>184</v>
      </c>
      <c r="M1861" s="6" t="s">
        <v>253</v>
      </c>
      <c r="N1861" s="6" t="s">
        <v>162</v>
      </c>
      <c r="O1861" s="6" t="s">
        <v>163</v>
      </c>
      <c r="P1861" s="19">
        <v>0</v>
      </c>
    </row>
    <row r="1862" spans="12:16" ht="15.75" customHeight="1" x14ac:dyDescent="0.3">
      <c r="L1862" s="6" t="s">
        <v>184</v>
      </c>
      <c r="M1862" s="6" t="s">
        <v>253</v>
      </c>
      <c r="N1862" s="6" t="s">
        <v>165</v>
      </c>
      <c r="O1862" s="6" t="s">
        <v>166</v>
      </c>
      <c r="P1862" s="19">
        <v>0</v>
      </c>
    </row>
    <row r="1863" spans="12:16" ht="15.75" customHeight="1" x14ac:dyDescent="0.3">
      <c r="L1863" s="6" t="s">
        <v>184</v>
      </c>
      <c r="M1863" s="6" t="s">
        <v>256</v>
      </c>
      <c r="N1863" s="6" t="s">
        <v>72</v>
      </c>
      <c r="O1863" s="6" t="s">
        <v>75</v>
      </c>
      <c r="P1863" s="19">
        <v>0</v>
      </c>
    </row>
    <row r="1864" spans="12:16" ht="15.75" customHeight="1" x14ac:dyDescent="0.3">
      <c r="L1864" s="6" t="s">
        <v>184</v>
      </c>
      <c r="M1864" s="6" t="s">
        <v>256</v>
      </c>
      <c r="N1864" s="6" t="s">
        <v>83</v>
      </c>
      <c r="O1864" s="6" t="s">
        <v>84</v>
      </c>
      <c r="P1864" s="19">
        <v>0</v>
      </c>
    </row>
    <row r="1865" spans="12:16" ht="15.75" customHeight="1" x14ac:dyDescent="0.3">
      <c r="L1865" s="6" t="s">
        <v>184</v>
      </c>
      <c r="M1865" s="6" t="s">
        <v>256</v>
      </c>
      <c r="N1865" s="6" t="s">
        <v>88</v>
      </c>
      <c r="O1865" s="6" t="s">
        <v>90</v>
      </c>
      <c r="P1865" s="19">
        <v>0</v>
      </c>
    </row>
    <row r="1866" spans="12:16" ht="15.75" customHeight="1" x14ac:dyDescent="0.3">
      <c r="L1866" s="6" t="s">
        <v>184</v>
      </c>
      <c r="M1866" s="6" t="s">
        <v>256</v>
      </c>
      <c r="N1866" s="6" t="s">
        <v>96</v>
      </c>
      <c r="O1866" s="6" t="s">
        <v>97</v>
      </c>
      <c r="P1866" s="19">
        <v>0</v>
      </c>
    </row>
    <row r="1867" spans="12:16" ht="15.75" customHeight="1" x14ac:dyDescent="0.3">
      <c r="L1867" s="6" t="s">
        <v>184</v>
      </c>
      <c r="M1867" s="6" t="s">
        <v>256</v>
      </c>
      <c r="N1867" s="6" t="s">
        <v>100</v>
      </c>
      <c r="O1867" s="6" t="s">
        <v>101</v>
      </c>
      <c r="P1867" s="19">
        <v>0</v>
      </c>
    </row>
    <row r="1868" spans="12:16" ht="15.75" customHeight="1" x14ac:dyDescent="0.3">
      <c r="L1868" s="6" t="s">
        <v>184</v>
      </c>
      <c r="M1868" s="6" t="s">
        <v>256</v>
      </c>
      <c r="N1868" s="6" t="s">
        <v>22</v>
      </c>
      <c r="O1868" s="6" t="s">
        <v>104</v>
      </c>
      <c r="P1868" s="19">
        <v>0</v>
      </c>
    </row>
    <row r="1869" spans="12:16" ht="15.75" customHeight="1" x14ac:dyDescent="0.3">
      <c r="L1869" s="6" t="s">
        <v>184</v>
      </c>
      <c r="M1869" s="6" t="s">
        <v>256</v>
      </c>
      <c r="N1869" s="6" t="s">
        <v>23</v>
      </c>
      <c r="O1869" s="6" t="s">
        <v>107</v>
      </c>
      <c r="P1869" s="25" t="s">
        <v>222</v>
      </c>
    </row>
    <row r="1870" spans="12:16" ht="15.75" customHeight="1" x14ac:dyDescent="0.3">
      <c r="L1870" s="6" t="s">
        <v>184</v>
      </c>
      <c r="M1870" s="6" t="s">
        <v>256</v>
      </c>
      <c r="N1870" s="6" t="s">
        <v>24</v>
      </c>
      <c r="O1870" s="6" t="s">
        <v>109</v>
      </c>
      <c r="P1870" s="25" t="s">
        <v>222</v>
      </c>
    </row>
    <row r="1871" spans="12:16" ht="15.75" customHeight="1" x14ac:dyDescent="0.3">
      <c r="L1871" s="6" t="s">
        <v>184</v>
      </c>
      <c r="M1871" s="6" t="s">
        <v>256</v>
      </c>
      <c r="N1871" s="6" t="s">
        <v>25</v>
      </c>
      <c r="O1871" s="6" t="s">
        <v>111</v>
      </c>
      <c r="P1871" s="19">
        <v>0</v>
      </c>
    </row>
    <row r="1872" spans="12:16" ht="15.75" customHeight="1" x14ac:dyDescent="0.3">
      <c r="L1872" s="6" t="s">
        <v>184</v>
      </c>
      <c r="M1872" s="6" t="s">
        <v>256</v>
      </c>
      <c r="N1872" s="6" t="s">
        <v>26</v>
      </c>
      <c r="O1872" s="6" t="s">
        <v>113</v>
      </c>
      <c r="P1872" s="19">
        <v>0</v>
      </c>
    </row>
    <row r="1873" spans="12:16" ht="15.75" customHeight="1" x14ac:dyDescent="0.3">
      <c r="L1873" s="6" t="s">
        <v>184</v>
      </c>
      <c r="M1873" s="6" t="s">
        <v>256</v>
      </c>
      <c r="N1873" s="6" t="s">
        <v>27</v>
      </c>
      <c r="O1873" s="6" t="s">
        <v>117</v>
      </c>
      <c r="P1873" s="25" t="s">
        <v>222</v>
      </c>
    </row>
    <row r="1874" spans="12:16" ht="15.75" customHeight="1" x14ac:dyDescent="0.3">
      <c r="L1874" s="6" t="s">
        <v>184</v>
      </c>
      <c r="M1874" s="6" t="s">
        <v>256</v>
      </c>
      <c r="N1874" s="6" t="s">
        <v>29</v>
      </c>
      <c r="O1874" s="6" t="s">
        <v>125</v>
      </c>
      <c r="P1874" s="19">
        <v>0</v>
      </c>
    </row>
    <row r="1875" spans="12:16" ht="15.75" customHeight="1" x14ac:dyDescent="0.3">
      <c r="L1875" s="6" t="s">
        <v>184</v>
      </c>
      <c r="M1875" s="6" t="s">
        <v>256</v>
      </c>
      <c r="N1875" s="6" t="s">
        <v>135</v>
      </c>
      <c r="O1875" s="6" t="s">
        <v>136</v>
      </c>
      <c r="P1875" s="19">
        <v>0</v>
      </c>
    </row>
    <row r="1876" spans="12:16" ht="15.75" customHeight="1" x14ac:dyDescent="0.3">
      <c r="L1876" s="6" t="s">
        <v>184</v>
      </c>
      <c r="M1876" s="6" t="s">
        <v>256</v>
      </c>
      <c r="N1876" s="6" t="s">
        <v>138</v>
      </c>
      <c r="O1876" s="6" t="s">
        <v>139</v>
      </c>
      <c r="P1876" s="19">
        <v>0</v>
      </c>
    </row>
    <row r="1877" spans="12:16" ht="15.75" customHeight="1" x14ac:dyDescent="0.3">
      <c r="L1877" s="6" t="s">
        <v>184</v>
      </c>
      <c r="M1877" s="6" t="s">
        <v>256</v>
      </c>
      <c r="N1877" s="6" t="s">
        <v>30</v>
      </c>
      <c r="O1877" s="6" t="s">
        <v>148</v>
      </c>
      <c r="P1877" s="19">
        <v>0</v>
      </c>
    </row>
    <row r="1878" spans="12:16" ht="15.75" customHeight="1" x14ac:dyDescent="0.3">
      <c r="L1878" s="6" t="s">
        <v>184</v>
      </c>
      <c r="M1878" s="6" t="s">
        <v>256</v>
      </c>
      <c r="N1878" s="6" t="s">
        <v>156</v>
      </c>
      <c r="O1878" s="6" t="s">
        <v>157</v>
      </c>
      <c r="P1878" s="25" t="s">
        <v>169</v>
      </c>
    </row>
    <row r="1879" spans="12:16" ht="15.75" customHeight="1" x14ac:dyDescent="0.3">
      <c r="L1879" s="6" t="s">
        <v>184</v>
      </c>
      <c r="M1879" s="6" t="s">
        <v>256</v>
      </c>
      <c r="N1879" s="6" t="s">
        <v>158</v>
      </c>
      <c r="O1879" s="6" t="s">
        <v>159</v>
      </c>
      <c r="P1879" s="19">
        <v>1</v>
      </c>
    </row>
    <row r="1880" spans="12:16" ht="15.75" customHeight="1" x14ac:dyDescent="0.3">
      <c r="L1880" s="6" t="s">
        <v>184</v>
      </c>
      <c r="M1880" s="6" t="s">
        <v>256</v>
      </c>
      <c r="N1880" s="6" t="s">
        <v>160</v>
      </c>
      <c r="O1880" s="6" t="s">
        <v>161</v>
      </c>
      <c r="P1880" s="25" t="s">
        <v>169</v>
      </c>
    </row>
    <row r="1881" spans="12:16" ht="15.75" customHeight="1" x14ac:dyDescent="0.3">
      <c r="L1881" s="6" t="s">
        <v>184</v>
      </c>
      <c r="M1881" s="6" t="s">
        <v>256</v>
      </c>
      <c r="N1881" s="6" t="s">
        <v>162</v>
      </c>
      <c r="O1881" s="6" t="s">
        <v>163</v>
      </c>
      <c r="P1881" s="19">
        <v>0</v>
      </c>
    </row>
    <row r="1882" spans="12:16" ht="15.75" customHeight="1" x14ac:dyDescent="0.3">
      <c r="L1882" s="6" t="s">
        <v>184</v>
      </c>
      <c r="M1882" s="6" t="s">
        <v>256</v>
      </c>
      <c r="N1882" s="6" t="s">
        <v>165</v>
      </c>
      <c r="O1882" s="6" t="s">
        <v>166</v>
      </c>
      <c r="P1882" s="19">
        <v>1</v>
      </c>
    </row>
    <row r="1883" spans="12:16" ht="15.75" customHeight="1" x14ac:dyDescent="0.3">
      <c r="L1883" s="6" t="s">
        <v>184</v>
      </c>
      <c r="M1883" s="6" t="s">
        <v>260</v>
      </c>
      <c r="N1883" s="6" t="s">
        <v>72</v>
      </c>
      <c r="O1883" s="6" t="s">
        <v>75</v>
      </c>
      <c r="P1883" s="19">
        <v>0</v>
      </c>
    </row>
    <row r="1884" spans="12:16" ht="15.75" customHeight="1" x14ac:dyDescent="0.3">
      <c r="L1884" s="6" t="s">
        <v>184</v>
      </c>
      <c r="M1884" s="6" t="s">
        <v>260</v>
      </c>
      <c r="N1884" s="6" t="s">
        <v>83</v>
      </c>
      <c r="O1884" s="6" t="s">
        <v>84</v>
      </c>
      <c r="P1884" s="19">
        <v>0</v>
      </c>
    </row>
    <row r="1885" spans="12:16" ht="15.75" customHeight="1" x14ac:dyDescent="0.3">
      <c r="L1885" s="6" t="s">
        <v>184</v>
      </c>
      <c r="M1885" s="6" t="s">
        <v>260</v>
      </c>
      <c r="N1885" s="6" t="s">
        <v>88</v>
      </c>
      <c r="O1885" s="6" t="s">
        <v>90</v>
      </c>
      <c r="P1885" s="19">
        <v>0</v>
      </c>
    </row>
    <row r="1886" spans="12:16" ht="15.75" customHeight="1" x14ac:dyDescent="0.3">
      <c r="L1886" s="6" t="s">
        <v>184</v>
      </c>
      <c r="M1886" s="6" t="s">
        <v>260</v>
      </c>
      <c r="N1886" s="6" t="s">
        <v>96</v>
      </c>
      <c r="O1886" s="6" t="s">
        <v>97</v>
      </c>
      <c r="P1886" s="19">
        <v>0</v>
      </c>
    </row>
    <row r="1887" spans="12:16" ht="15.75" customHeight="1" x14ac:dyDescent="0.3">
      <c r="L1887" s="6" t="s">
        <v>184</v>
      </c>
      <c r="M1887" s="6" t="s">
        <v>260</v>
      </c>
      <c r="N1887" s="6" t="s">
        <v>100</v>
      </c>
      <c r="O1887" s="6" t="s">
        <v>101</v>
      </c>
      <c r="P1887" s="19">
        <v>0</v>
      </c>
    </row>
    <row r="1888" spans="12:16" ht="15.75" customHeight="1" x14ac:dyDescent="0.3">
      <c r="L1888" s="6" t="s">
        <v>184</v>
      </c>
      <c r="M1888" s="6" t="s">
        <v>260</v>
      </c>
      <c r="N1888" s="6" t="s">
        <v>22</v>
      </c>
      <c r="O1888" s="6" t="s">
        <v>104</v>
      </c>
      <c r="P1888" s="19">
        <v>0</v>
      </c>
    </row>
    <row r="1889" spans="12:16" ht="15.75" customHeight="1" x14ac:dyDescent="0.3">
      <c r="L1889" s="6" t="s">
        <v>184</v>
      </c>
      <c r="M1889" s="6" t="s">
        <v>260</v>
      </c>
      <c r="N1889" s="6" t="s">
        <v>23</v>
      </c>
      <c r="O1889" s="6" t="s">
        <v>107</v>
      </c>
      <c r="P1889" s="25" t="s">
        <v>222</v>
      </c>
    </row>
    <row r="1890" spans="12:16" ht="15.75" customHeight="1" x14ac:dyDescent="0.3">
      <c r="L1890" s="6" t="s">
        <v>184</v>
      </c>
      <c r="M1890" s="6" t="s">
        <v>260</v>
      </c>
      <c r="N1890" s="6" t="s">
        <v>24</v>
      </c>
      <c r="O1890" s="6" t="s">
        <v>109</v>
      </c>
      <c r="P1890" s="25" t="s">
        <v>222</v>
      </c>
    </row>
    <row r="1891" spans="12:16" ht="15.75" customHeight="1" x14ac:dyDescent="0.3">
      <c r="L1891" s="6" t="s">
        <v>184</v>
      </c>
      <c r="M1891" s="6" t="s">
        <v>260</v>
      </c>
      <c r="N1891" s="6" t="s">
        <v>25</v>
      </c>
      <c r="O1891" s="6" t="s">
        <v>111</v>
      </c>
      <c r="P1891" s="19">
        <v>0</v>
      </c>
    </row>
    <row r="1892" spans="12:16" ht="15.75" customHeight="1" x14ac:dyDescent="0.3">
      <c r="L1892" s="6" t="s">
        <v>184</v>
      </c>
      <c r="M1892" s="6" t="s">
        <v>260</v>
      </c>
      <c r="N1892" s="6" t="s">
        <v>26</v>
      </c>
      <c r="O1892" s="6" t="s">
        <v>113</v>
      </c>
      <c r="P1892" s="19">
        <v>0</v>
      </c>
    </row>
    <row r="1893" spans="12:16" ht="15.75" customHeight="1" x14ac:dyDescent="0.3">
      <c r="L1893" s="6" t="s">
        <v>184</v>
      </c>
      <c r="M1893" s="6" t="s">
        <v>260</v>
      </c>
      <c r="N1893" s="6" t="s">
        <v>27</v>
      </c>
      <c r="O1893" s="6" t="s">
        <v>117</v>
      </c>
      <c r="P1893" s="25" t="s">
        <v>222</v>
      </c>
    </row>
    <row r="1894" spans="12:16" ht="15.75" customHeight="1" x14ac:dyDescent="0.3">
      <c r="L1894" s="6" t="s">
        <v>184</v>
      </c>
      <c r="M1894" s="6" t="s">
        <v>260</v>
      </c>
      <c r="N1894" s="6" t="s">
        <v>29</v>
      </c>
      <c r="O1894" s="6" t="s">
        <v>125</v>
      </c>
      <c r="P1894" s="19">
        <v>0</v>
      </c>
    </row>
    <row r="1895" spans="12:16" ht="15.75" customHeight="1" x14ac:dyDescent="0.3">
      <c r="L1895" s="6" t="s">
        <v>184</v>
      </c>
      <c r="M1895" s="6" t="s">
        <v>260</v>
      </c>
      <c r="N1895" s="6" t="s">
        <v>135</v>
      </c>
      <c r="O1895" s="6" t="s">
        <v>136</v>
      </c>
      <c r="P1895" s="19">
        <v>0</v>
      </c>
    </row>
    <row r="1896" spans="12:16" ht="15.75" customHeight="1" x14ac:dyDescent="0.3">
      <c r="L1896" s="6" t="s">
        <v>184</v>
      </c>
      <c r="M1896" s="6" t="s">
        <v>260</v>
      </c>
      <c r="N1896" s="6" t="s">
        <v>138</v>
      </c>
      <c r="O1896" s="6" t="s">
        <v>139</v>
      </c>
      <c r="P1896" s="19">
        <v>0</v>
      </c>
    </row>
    <row r="1897" spans="12:16" ht="15.75" customHeight="1" x14ac:dyDescent="0.3">
      <c r="L1897" s="6" t="s">
        <v>184</v>
      </c>
      <c r="M1897" s="6" t="s">
        <v>260</v>
      </c>
      <c r="N1897" s="6" t="s">
        <v>30</v>
      </c>
      <c r="O1897" s="6" t="s">
        <v>148</v>
      </c>
      <c r="P1897" s="19">
        <v>0</v>
      </c>
    </row>
    <row r="1898" spans="12:16" ht="15.75" customHeight="1" x14ac:dyDescent="0.3">
      <c r="L1898" s="6" t="s">
        <v>184</v>
      </c>
      <c r="M1898" s="6" t="s">
        <v>260</v>
      </c>
      <c r="N1898" s="6" t="s">
        <v>156</v>
      </c>
      <c r="O1898" s="6" t="s">
        <v>157</v>
      </c>
      <c r="P1898" s="25" t="s">
        <v>169</v>
      </c>
    </row>
    <row r="1899" spans="12:16" ht="15.75" customHeight="1" x14ac:dyDescent="0.3">
      <c r="L1899" s="6" t="s">
        <v>184</v>
      </c>
      <c r="M1899" s="6" t="s">
        <v>260</v>
      </c>
      <c r="N1899" s="6" t="s">
        <v>158</v>
      </c>
      <c r="O1899" s="6" t="s">
        <v>159</v>
      </c>
      <c r="P1899" s="19">
        <v>1</v>
      </c>
    </row>
    <row r="1900" spans="12:16" ht="15.75" customHeight="1" x14ac:dyDescent="0.3">
      <c r="L1900" s="6" t="s">
        <v>184</v>
      </c>
      <c r="M1900" s="6" t="s">
        <v>260</v>
      </c>
      <c r="N1900" s="6" t="s">
        <v>160</v>
      </c>
      <c r="O1900" s="6" t="s">
        <v>161</v>
      </c>
      <c r="P1900" s="25" t="s">
        <v>169</v>
      </c>
    </row>
    <row r="1901" spans="12:16" ht="15.75" customHeight="1" x14ac:dyDescent="0.3">
      <c r="L1901" s="6" t="s">
        <v>184</v>
      </c>
      <c r="M1901" s="6" t="s">
        <v>260</v>
      </c>
      <c r="N1901" s="6" t="s">
        <v>162</v>
      </c>
      <c r="O1901" s="6" t="s">
        <v>163</v>
      </c>
      <c r="P1901" s="19">
        <v>0</v>
      </c>
    </row>
    <row r="1902" spans="12:16" ht="15.75" customHeight="1" x14ac:dyDescent="0.3">
      <c r="L1902" s="6" t="s">
        <v>184</v>
      </c>
      <c r="M1902" s="6" t="s">
        <v>260</v>
      </c>
      <c r="N1902" s="6" t="s">
        <v>165</v>
      </c>
      <c r="O1902" s="6" t="s">
        <v>166</v>
      </c>
      <c r="P1902" s="19">
        <v>0</v>
      </c>
    </row>
    <row r="1903" spans="12:16" ht="15.75" customHeight="1" x14ac:dyDescent="0.3">
      <c r="L1903" s="6" t="s">
        <v>184</v>
      </c>
      <c r="M1903" s="6" t="s">
        <v>276</v>
      </c>
      <c r="N1903" s="6" t="s">
        <v>72</v>
      </c>
      <c r="O1903" s="6" t="s">
        <v>75</v>
      </c>
      <c r="P1903" s="19">
        <v>0</v>
      </c>
    </row>
    <row r="1904" spans="12:16" ht="15.75" customHeight="1" x14ac:dyDescent="0.3">
      <c r="L1904" s="6" t="s">
        <v>184</v>
      </c>
      <c r="M1904" s="6" t="s">
        <v>276</v>
      </c>
      <c r="N1904" s="6" t="s">
        <v>83</v>
      </c>
      <c r="O1904" s="6" t="s">
        <v>84</v>
      </c>
      <c r="P1904" s="19">
        <v>0</v>
      </c>
    </row>
    <row r="1905" spans="12:16" ht="15.75" customHeight="1" x14ac:dyDescent="0.3">
      <c r="L1905" s="6" t="s">
        <v>184</v>
      </c>
      <c r="M1905" s="6" t="s">
        <v>276</v>
      </c>
      <c r="N1905" s="6" t="s">
        <v>88</v>
      </c>
      <c r="O1905" s="6" t="s">
        <v>90</v>
      </c>
      <c r="P1905" s="19">
        <v>0</v>
      </c>
    </row>
    <row r="1906" spans="12:16" ht="15.75" customHeight="1" x14ac:dyDescent="0.3">
      <c r="L1906" s="6" t="s">
        <v>184</v>
      </c>
      <c r="M1906" s="6" t="s">
        <v>276</v>
      </c>
      <c r="N1906" s="6" t="s">
        <v>96</v>
      </c>
      <c r="O1906" s="6" t="s">
        <v>97</v>
      </c>
      <c r="P1906" s="19">
        <v>0</v>
      </c>
    </row>
    <row r="1907" spans="12:16" ht="15.75" customHeight="1" x14ac:dyDescent="0.3">
      <c r="L1907" s="6" t="s">
        <v>184</v>
      </c>
      <c r="M1907" s="6" t="s">
        <v>276</v>
      </c>
      <c r="N1907" s="6" t="s">
        <v>100</v>
      </c>
      <c r="O1907" s="6" t="s">
        <v>101</v>
      </c>
      <c r="P1907" s="19">
        <v>0</v>
      </c>
    </row>
    <row r="1908" spans="12:16" ht="15.75" customHeight="1" x14ac:dyDescent="0.3">
      <c r="L1908" s="6" t="s">
        <v>184</v>
      </c>
      <c r="M1908" s="6" t="s">
        <v>276</v>
      </c>
      <c r="N1908" s="6" t="s">
        <v>22</v>
      </c>
      <c r="O1908" s="6" t="s">
        <v>104</v>
      </c>
      <c r="P1908" s="19">
        <v>0</v>
      </c>
    </row>
    <row r="1909" spans="12:16" ht="15.75" customHeight="1" x14ac:dyDescent="0.3">
      <c r="L1909" s="6" t="s">
        <v>184</v>
      </c>
      <c r="M1909" s="6" t="s">
        <v>276</v>
      </c>
      <c r="N1909" s="6" t="s">
        <v>23</v>
      </c>
      <c r="O1909" s="6" t="s">
        <v>107</v>
      </c>
      <c r="P1909" s="19">
        <v>0</v>
      </c>
    </row>
    <row r="1910" spans="12:16" ht="15.75" customHeight="1" x14ac:dyDescent="0.3">
      <c r="L1910" s="6" t="s">
        <v>184</v>
      </c>
      <c r="M1910" s="6" t="s">
        <v>276</v>
      </c>
      <c r="N1910" s="6" t="s">
        <v>24</v>
      </c>
      <c r="O1910" s="6" t="s">
        <v>109</v>
      </c>
      <c r="P1910" s="19">
        <v>0</v>
      </c>
    </row>
    <row r="1911" spans="12:16" ht="15.75" customHeight="1" x14ac:dyDescent="0.3">
      <c r="L1911" s="6" t="s">
        <v>184</v>
      </c>
      <c r="M1911" s="6" t="s">
        <v>276</v>
      </c>
      <c r="N1911" s="6" t="s">
        <v>25</v>
      </c>
      <c r="O1911" s="6" t="s">
        <v>111</v>
      </c>
      <c r="P1911" s="19">
        <v>1</v>
      </c>
    </row>
    <row r="1912" spans="12:16" ht="15.75" customHeight="1" x14ac:dyDescent="0.3">
      <c r="L1912" s="6" t="s">
        <v>184</v>
      </c>
      <c r="M1912" s="6" t="s">
        <v>276</v>
      </c>
      <c r="N1912" s="6" t="s">
        <v>26</v>
      </c>
      <c r="O1912" s="6" t="s">
        <v>113</v>
      </c>
      <c r="P1912" s="19">
        <v>1</v>
      </c>
    </row>
    <row r="1913" spans="12:16" ht="15.75" customHeight="1" x14ac:dyDescent="0.3">
      <c r="L1913" s="6" t="s">
        <v>184</v>
      </c>
      <c r="M1913" s="6" t="s">
        <v>276</v>
      </c>
      <c r="N1913" s="6" t="s">
        <v>27</v>
      </c>
      <c r="O1913" s="6" t="s">
        <v>117</v>
      </c>
      <c r="P1913" s="19">
        <v>0</v>
      </c>
    </row>
    <row r="1914" spans="12:16" ht="15.75" customHeight="1" x14ac:dyDescent="0.3">
      <c r="L1914" s="6" t="s">
        <v>184</v>
      </c>
      <c r="M1914" s="6" t="s">
        <v>276</v>
      </c>
      <c r="N1914" s="6" t="s">
        <v>29</v>
      </c>
      <c r="O1914" s="6" t="s">
        <v>125</v>
      </c>
      <c r="P1914" s="19">
        <v>0</v>
      </c>
    </row>
    <row r="1915" spans="12:16" ht="15.75" customHeight="1" x14ac:dyDescent="0.3">
      <c r="L1915" s="6" t="s">
        <v>184</v>
      </c>
      <c r="M1915" s="6" t="s">
        <v>276</v>
      </c>
      <c r="N1915" s="6" t="s">
        <v>135</v>
      </c>
      <c r="O1915" s="6" t="s">
        <v>136</v>
      </c>
      <c r="P1915" s="19">
        <v>0</v>
      </c>
    </row>
    <row r="1916" spans="12:16" ht="15.75" customHeight="1" x14ac:dyDescent="0.3">
      <c r="L1916" s="6" t="s">
        <v>184</v>
      </c>
      <c r="M1916" s="6" t="s">
        <v>276</v>
      </c>
      <c r="N1916" s="6" t="s">
        <v>138</v>
      </c>
      <c r="O1916" s="6" t="s">
        <v>139</v>
      </c>
      <c r="P1916" s="19">
        <v>0</v>
      </c>
    </row>
    <row r="1917" spans="12:16" ht="15.75" customHeight="1" x14ac:dyDescent="0.3">
      <c r="L1917" s="6" t="s">
        <v>184</v>
      </c>
      <c r="M1917" s="6" t="s">
        <v>276</v>
      </c>
      <c r="N1917" s="6" t="s">
        <v>30</v>
      </c>
      <c r="O1917" s="6" t="s">
        <v>148</v>
      </c>
      <c r="P1917" s="19">
        <v>0</v>
      </c>
    </row>
    <row r="1918" spans="12:16" ht="15.75" customHeight="1" x14ac:dyDescent="0.3">
      <c r="L1918" s="6" t="s">
        <v>184</v>
      </c>
      <c r="M1918" s="6" t="s">
        <v>276</v>
      </c>
      <c r="N1918" s="6" t="s">
        <v>156</v>
      </c>
      <c r="O1918" s="6" t="s">
        <v>157</v>
      </c>
      <c r="P1918" s="25" t="s">
        <v>169</v>
      </c>
    </row>
    <row r="1919" spans="12:16" ht="15.75" customHeight="1" x14ac:dyDescent="0.3">
      <c r="L1919" s="6" t="s">
        <v>184</v>
      </c>
      <c r="M1919" s="6" t="s">
        <v>276</v>
      </c>
      <c r="N1919" s="6" t="s">
        <v>158</v>
      </c>
      <c r="O1919" s="6" t="s">
        <v>159</v>
      </c>
      <c r="P1919" s="19">
        <v>1</v>
      </c>
    </row>
    <row r="1920" spans="12:16" ht="15.75" customHeight="1" x14ac:dyDescent="0.3">
      <c r="L1920" s="6" t="s">
        <v>184</v>
      </c>
      <c r="M1920" s="6" t="s">
        <v>276</v>
      </c>
      <c r="N1920" s="6" t="s">
        <v>160</v>
      </c>
      <c r="O1920" s="6" t="s">
        <v>161</v>
      </c>
      <c r="P1920" s="25" t="s">
        <v>169</v>
      </c>
    </row>
    <row r="1921" spans="12:16" ht="15.75" customHeight="1" x14ac:dyDescent="0.3">
      <c r="L1921" s="6" t="s">
        <v>184</v>
      </c>
      <c r="M1921" s="6" t="s">
        <v>276</v>
      </c>
      <c r="N1921" s="6" t="s">
        <v>162</v>
      </c>
      <c r="O1921" s="6" t="s">
        <v>163</v>
      </c>
      <c r="P1921" s="19">
        <v>0</v>
      </c>
    </row>
    <row r="1922" spans="12:16" ht="15.75" customHeight="1" x14ac:dyDescent="0.3">
      <c r="L1922" s="6" t="s">
        <v>184</v>
      </c>
      <c r="M1922" s="6" t="s">
        <v>276</v>
      </c>
      <c r="N1922" s="6" t="s">
        <v>165</v>
      </c>
      <c r="O1922" s="6" t="s">
        <v>166</v>
      </c>
      <c r="P1922" s="19">
        <v>0</v>
      </c>
    </row>
    <row r="1923" spans="12:16" ht="15.75" customHeight="1" x14ac:dyDescent="0.3">
      <c r="L1923" s="6" t="s">
        <v>184</v>
      </c>
      <c r="M1923" s="6" t="s">
        <v>281</v>
      </c>
      <c r="N1923" s="6" t="s">
        <v>72</v>
      </c>
      <c r="O1923" s="6" t="s">
        <v>75</v>
      </c>
      <c r="P1923" s="19">
        <v>0</v>
      </c>
    </row>
    <row r="1924" spans="12:16" ht="15.75" customHeight="1" x14ac:dyDescent="0.3">
      <c r="L1924" s="6" t="s">
        <v>184</v>
      </c>
      <c r="M1924" s="6" t="s">
        <v>281</v>
      </c>
      <c r="N1924" s="6" t="s">
        <v>83</v>
      </c>
      <c r="O1924" s="6" t="s">
        <v>84</v>
      </c>
      <c r="P1924" s="19">
        <v>0</v>
      </c>
    </row>
    <row r="1925" spans="12:16" ht="15.75" customHeight="1" x14ac:dyDescent="0.3">
      <c r="L1925" s="6" t="s">
        <v>184</v>
      </c>
      <c r="M1925" s="6" t="s">
        <v>281</v>
      </c>
      <c r="N1925" s="6" t="s">
        <v>88</v>
      </c>
      <c r="O1925" s="6" t="s">
        <v>90</v>
      </c>
      <c r="P1925" s="19">
        <v>0</v>
      </c>
    </row>
    <row r="1926" spans="12:16" ht="15.75" customHeight="1" x14ac:dyDescent="0.3">
      <c r="L1926" s="6" t="s">
        <v>184</v>
      </c>
      <c r="M1926" s="6" t="s">
        <v>281</v>
      </c>
      <c r="N1926" s="6" t="s">
        <v>96</v>
      </c>
      <c r="O1926" s="6" t="s">
        <v>97</v>
      </c>
      <c r="P1926" s="19">
        <v>0</v>
      </c>
    </row>
    <row r="1927" spans="12:16" ht="15.75" customHeight="1" x14ac:dyDescent="0.3">
      <c r="L1927" s="6" t="s">
        <v>184</v>
      </c>
      <c r="M1927" s="6" t="s">
        <v>281</v>
      </c>
      <c r="N1927" s="6" t="s">
        <v>100</v>
      </c>
      <c r="O1927" s="6" t="s">
        <v>101</v>
      </c>
      <c r="P1927" s="19">
        <v>0</v>
      </c>
    </row>
    <row r="1928" spans="12:16" ht="15.75" customHeight="1" x14ac:dyDescent="0.3">
      <c r="L1928" s="6" t="s">
        <v>184</v>
      </c>
      <c r="M1928" s="6" t="s">
        <v>281</v>
      </c>
      <c r="N1928" s="6" t="s">
        <v>22</v>
      </c>
      <c r="O1928" s="6" t="s">
        <v>104</v>
      </c>
      <c r="P1928" s="19">
        <v>0</v>
      </c>
    </row>
    <row r="1929" spans="12:16" ht="15.75" customHeight="1" x14ac:dyDescent="0.3">
      <c r="L1929" s="6" t="s">
        <v>184</v>
      </c>
      <c r="M1929" s="6" t="s">
        <v>281</v>
      </c>
      <c r="N1929" s="6" t="s">
        <v>23</v>
      </c>
      <c r="O1929" s="6" t="s">
        <v>107</v>
      </c>
      <c r="P1929" s="25" t="s">
        <v>222</v>
      </c>
    </row>
    <row r="1930" spans="12:16" ht="15.75" customHeight="1" x14ac:dyDescent="0.3">
      <c r="L1930" s="6" t="s">
        <v>184</v>
      </c>
      <c r="M1930" s="6" t="s">
        <v>281</v>
      </c>
      <c r="N1930" s="6" t="s">
        <v>24</v>
      </c>
      <c r="O1930" s="6" t="s">
        <v>109</v>
      </c>
      <c r="P1930" s="25" t="s">
        <v>222</v>
      </c>
    </row>
    <row r="1931" spans="12:16" ht="15.75" customHeight="1" x14ac:dyDescent="0.3">
      <c r="L1931" s="6" t="s">
        <v>184</v>
      </c>
      <c r="M1931" s="6" t="s">
        <v>281</v>
      </c>
      <c r="N1931" s="6" t="s">
        <v>25</v>
      </c>
      <c r="O1931" s="6" t="s">
        <v>111</v>
      </c>
      <c r="P1931" s="19">
        <v>0</v>
      </c>
    </row>
    <row r="1932" spans="12:16" ht="15.75" customHeight="1" x14ac:dyDescent="0.3">
      <c r="L1932" s="6" t="s">
        <v>184</v>
      </c>
      <c r="M1932" s="6" t="s">
        <v>281</v>
      </c>
      <c r="N1932" s="6" t="s">
        <v>26</v>
      </c>
      <c r="O1932" s="6" t="s">
        <v>113</v>
      </c>
      <c r="P1932" s="19">
        <v>0</v>
      </c>
    </row>
    <row r="1933" spans="12:16" ht="15.75" customHeight="1" x14ac:dyDescent="0.3">
      <c r="L1933" s="6" t="s">
        <v>184</v>
      </c>
      <c r="M1933" s="6" t="s">
        <v>281</v>
      </c>
      <c r="N1933" s="6" t="s">
        <v>27</v>
      </c>
      <c r="O1933" s="6" t="s">
        <v>117</v>
      </c>
      <c r="P1933" s="25" t="s">
        <v>222</v>
      </c>
    </row>
    <row r="1934" spans="12:16" ht="15.75" customHeight="1" x14ac:dyDescent="0.3">
      <c r="L1934" s="6" t="s">
        <v>184</v>
      </c>
      <c r="M1934" s="6" t="s">
        <v>281</v>
      </c>
      <c r="N1934" s="6" t="s">
        <v>29</v>
      </c>
      <c r="O1934" s="6" t="s">
        <v>125</v>
      </c>
      <c r="P1934" s="19">
        <v>0</v>
      </c>
    </row>
    <row r="1935" spans="12:16" ht="15.75" customHeight="1" x14ac:dyDescent="0.3">
      <c r="L1935" s="6" t="s">
        <v>184</v>
      </c>
      <c r="M1935" s="6" t="s">
        <v>281</v>
      </c>
      <c r="N1935" s="6" t="s">
        <v>135</v>
      </c>
      <c r="O1935" s="6" t="s">
        <v>136</v>
      </c>
      <c r="P1935" s="19">
        <v>0</v>
      </c>
    </row>
    <row r="1936" spans="12:16" ht="15.75" customHeight="1" x14ac:dyDescent="0.3">
      <c r="L1936" s="6" t="s">
        <v>184</v>
      </c>
      <c r="M1936" s="6" t="s">
        <v>281</v>
      </c>
      <c r="N1936" s="6" t="s">
        <v>138</v>
      </c>
      <c r="O1936" s="6" t="s">
        <v>139</v>
      </c>
      <c r="P1936" s="19">
        <v>0</v>
      </c>
    </row>
    <row r="1937" spans="12:16" ht="15.75" customHeight="1" x14ac:dyDescent="0.3">
      <c r="L1937" s="6" t="s">
        <v>184</v>
      </c>
      <c r="M1937" s="6" t="s">
        <v>281</v>
      </c>
      <c r="N1937" s="6" t="s">
        <v>30</v>
      </c>
      <c r="O1937" s="6" t="s">
        <v>148</v>
      </c>
      <c r="P1937" s="19">
        <v>0</v>
      </c>
    </row>
    <row r="1938" spans="12:16" ht="15.75" customHeight="1" x14ac:dyDescent="0.3">
      <c r="L1938" s="6" t="s">
        <v>184</v>
      </c>
      <c r="M1938" s="6" t="s">
        <v>281</v>
      </c>
      <c r="N1938" s="6" t="s">
        <v>156</v>
      </c>
      <c r="O1938" s="6" t="s">
        <v>157</v>
      </c>
      <c r="P1938" s="25" t="s">
        <v>169</v>
      </c>
    </row>
    <row r="1939" spans="12:16" ht="15.75" customHeight="1" x14ac:dyDescent="0.3">
      <c r="L1939" s="6" t="s">
        <v>184</v>
      </c>
      <c r="M1939" s="6" t="s">
        <v>281</v>
      </c>
      <c r="N1939" s="6" t="s">
        <v>158</v>
      </c>
      <c r="O1939" s="6" t="s">
        <v>159</v>
      </c>
      <c r="P1939" s="19">
        <v>1</v>
      </c>
    </row>
    <row r="1940" spans="12:16" ht="15.75" customHeight="1" x14ac:dyDescent="0.3">
      <c r="L1940" s="6" t="s">
        <v>184</v>
      </c>
      <c r="M1940" s="6" t="s">
        <v>281</v>
      </c>
      <c r="N1940" s="6" t="s">
        <v>160</v>
      </c>
      <c r="O1940" s="6" t="s">
        <v>161</v>
      </c>
      <c r="P1940" s="25" t="s">
        <v>169</v>
      </c>
    </row>
    <row r="1941" spans="12:16" ht="15.75" customHeight="1" x14ac:dyDescent="0.3">
      <c r="L1941" s="6" t="s">
        <v>184</v>
      </c>
      <c r="M1941" s="6" t="s">
        <v>281</v>
      </c>
      <c r="N1941" s="6" t="s">
        <v>162</v>
      </c>
      <c r="O1941" s="6" t="s">
        <v>163</v>
      </c>
      <c r="P1941" s="19">
        <v>0</v>
      </c>
    </row>
    <row r="1942" spans="12:16" ht="15.75" customHeight="1" x14ac:dyDescent="0.3">
      <c r="L1942" s="6" t="s">
        <v>184</v>
      </c>
      <c r="M1942" s="6" t="s">
        <v>281</v>
      </c>
      <c r="N1942" s="6" t="s">
        <v>165</v>
      </c>
      <c r="O1942" s="6" t="s">
        <v>166</v>
      </c>
      <c r="P1942" s="19">
        <v>1</v>
      </c>
    </row>
    <row r="1943" spans="12:16" ht="15.75" customHeight="1" x14ac:dyDescent="0.3">
      <c r="L1943" s="6" t="s">
        <v>185</v>
      </c>
      <c r="M1943" s="6" t="s">
        <v>310</v>
      </c>
      <c r="N1943" s="6" t="s">
        <v>72</v>
      </c>
      <c r="O1943" s="6" t="s">
        <v>75</v>
      </c>
      <c r="P1943" s="19">
        <v>0</v>
      </c>
    </row>
    <row r="1944" spans="12:16" ht="15.75" customHeight="1" x14ac:dyDescent="0.3">
      <c r="L1944" s="6" t="s">
        <v>185</v>
      </c>
      <c r="M1944" s="6" t="s">
        <v>310</v>
      </c>
      <c r="N1944" s="6" t="s">
        <v>83</v>
      </c>
      <c r="O1944" s="6" t="s">
        <v>84</v>
      </c>
      <c r="P1944" s="19">
        <v>0</v>
      </c>
    </row>
    <row r="1945" spans="12:16" ht="15.75" customHeight="1" x14ac:dyDescent="0.3">
      <c r="L1945" s="6" t="s">
        <v>185</v>
      </c>
      <c r="M1945" s="6" t="s">
        <v>310</v>
      </c>
      <c r="N1945" s="6" t="s">
        <v>88</v>
      </c>
      <c r="O1945" s="6" t="s">
        <v>90</v>
      </c>
      <c r="P1945" s="19">
        <v>0</v>
      </c>
    </row>
    <row r="1946" spans="12:16" ht="15.75" customHeight="1" x14ac:dyDescent="0.3">
      <c r="L1946" s="6" t="s">
        <v>185</v>
      </c>
      <c r="M1946" s="6" t="s">
        <v>310</v>
      </c>
      <c r="N1946" s="6" t="s">
        <v>96</v>
      </c>
      <c r="O1946" s="6" t="s">
        <v>97</v>
      </c>
      <c r="P1946" s="19">
        <v>0</v>
      </c>
    </row>
    <row r="1947" spans="12:16" ht="15.75" customHeight="1" x14ac:dyDescent="0.3">
      <c r="L1947" s="6" t="s">
        <v>185</v>
      </c>
      <c r="M1947" s="6" t="s">
        <v>310</v>
      </c>
      <c r="N1947" s="6" t="s">
        <v>100</v>
      </c>
      <c r="O1947" s="6" t="s">
        <v>101</v>
      </c>
      <c r="P1947" s="19">
        <v>0</v>
      </c>
    </row>
    <row r="1948" spans="12:16" ht="15.75" customHeight="1" x14ac:dyDescent="0.3">
      <c r="L1948" s="6" t="s">
        <v>185</v>
      </c>
      <c r="M1948" s="6" t="s">
        <v>310</v>
      </c>
      <c r="N1948" s="6" t="s">
        <v>22</v>
      </c>
      <c r="O1948" s="6" t="s">
        <v>104</v>
      </c>
      <c r="P1948" s="19">
        <v>0</v>
      </c>
    </row>
    <row r="1949" spans="12:16" ht="15.75" customHeight="1" x14ac:dyDescent="0.3">
      <c r="L1949" s="6" t="s">
        <v>185</v>
      </c>
      <c r="M1949" s="6" t="s">
        <v>310</v>
      </c>
      <c r="N1949" s="6" t="s">
        <v>23</v>
      </c>
      <c r="O1949" s="6" t="s">
        <v>107</v>
      </c>
      <c r="P1949" s="19">
        <v>0</v>
      </c>
    </row>
    <row r="1950" spans="12:16" ht="15.75" customHeight="1" x14ac:dyDescent="0.3">
      <c r="L1950" s="6" t="s">
        <v>185</v>
      </c>
      <c r="M1950" s="6" t="s">
        <v>310</v>
      </c>
      <c r="N1950" s="6" t="s">
        <v>24</v>
      </c>
      <c r="O1950" s="6" t="s">
        <v>109</v>
      </c>
      <c r="P1950" s="19">
        <v>0</v>
      </c>
    </row>
    <row r="1951" spans="12:16" ht="15.75" customHeight="1" x14ac:dyDescent="0.3">
      <c r="L1951" s="6" t="s">
        <v>185</v>
      </c>
      <c r="M1951" s="6" t="s">
        <v>310</v>
      </c>
      <c r="N1951" s="6" t="s">
        <v>25</v>
      </c>
      <c r="O1951" s="6" t="s">
        <v>111</v>
      </c>
      <c r="P1951" s="19">
        <v>1</v>
      </c>
    </row>
    <row r="1952" spans="12:16" ht="15.75" customHeight="1" x14ac:dyDescent="0.3">
      <c r="L1952" s="6" t="s">
        <v>185</v>
      </c>
      <c r="M1952" s="6" t="s">
        <v>310</v>
      </c>
      <c r="N1952" s="6" t="s">
        <v>26</v>
      </c>
      <c r="O1952" s="6" t="s">
        <v>113</v>
      </c>
      <c r="P1952" s="19">
        <v>1</v>
      </c>
    </row>
    <row r="1953" spans="12:16" ht="15.75" customHeight="1" x14ac:dyDescent="0.3">
      <c r="L1953" s="6" t="s">
        <v>185</v>
      </c>
      <c r="M1953" s="6" t="s">
        <v>310</v>
      </c>
      <c r="N1953" s="6" t="s">
        <v>27</v>
      </c>
      <c r="O1953" s="6" t="s">
        <v>117</v>
      </c>
      <c r="P1953" s="19">
        <v>0</v>
      </c>
    </row>
    <row r="1954" spans="12:16" ht="15.75" customHeight="1" x14ac:dyDescent="0.3">
      <c r="L1954" s="6" t="s">
        <v>185</v>
      </c>
      <c r="M1954" s="6" t="s">
        <v>310</v>
      </c>
      <c r="N1954" s="6" t="s">
        <v>29</v>
      </c>
      <c r="O1954" s="6" t="s">
        <v>125</v>
      </c>
      <c r="P1954" s="19">
        <v>0</v>
      </c>
    </row>
    <row r="1955" spans="12:16" ht="15.75" customHeight="1" x14ac:dyDescent="0.3">
      <c r="L1955" s="6" t="s">
        <v>185</v>
      </c>
      <c r="M1955" s="6" t="s">
        <v>310</v>
      </c>
      <c r="N1955" s="6" t="s">
        <v>135</v>
      </c>
      <c r="O1955" s="6" t="s">
        <v>136</v>
      </c>
      <c r="P1955" s="19">
        <v>0</v>
      </c>
    </row>
    <row r="1956" spans="12:16" ht="15.75" customHeight="1" x14ac:dyDescent="0.3">
      <c r="L1956" s="6" t="s">
        <v>185</v>
      </c>
      <c r="M1956" s="6" t="s">
        <v>310</v>
      </c>
      <c r="N1956" s="6" t="s">
        <v>138</v>
      </c>
      <c r="O1956" s="6" t="s">
        <v>139</v>
      </c>
      <c r="P1956" s="19">
        <v>1</v>
      </c>
    </row>
    <row r="1957" spans="12:16" ht="15.75" customHeight="1" x14ac:dyDescent="0.3">
      <c r="L1957" s="6" t="s">
        <v>185</v>
      </c>
      <c r="M1957" s="6" t="s">
        <v>310</v>
      </c>
      <c r="N1957" s="6" t="s">
        <v>30</v>
      </c>
      <c r="O1957" s="6" t="s">
        <v>148</v>
      </c>
      <c r="P1957" s="19">
        <v>0</v>
      </c>
    </row>
    <row r="1958" spans="12:16" ht="15.75" customHeight="1" x14ac:dyDescent="0.3">
      <c r="L1958" s="6" t="s">
        <v>185</v>
      </c>
      <c r="M1958" s="6" t="s">
        <v>310</v>
      </c>
      <c r="N1958" s="6" t="s">
        <v>156</v>
      </c>
      <c r="O1958" s="6" t="s">
        <v>157</v>
      </c>
      <c r="P1958" s="25" t="s">
        <v>169</v>
      </c>
    </row>
    <row r="1959" spans="12:16" ht="15.75" customHeight="1" x14ac:dyDescent="0.3">
      <c r="L1959" s="6" t="s">
        <v>185</v>
      </c>
      <c r="M1959" s="6" t="s">
        <v>310</v>
      </c>
      <c r="N1959" s="6" t="s">
        <v>158</v>
      </c>
      <c r="O1959" s="6" t="s">
        <v>159</v>
      </c>
      <c r="P1959" s="19">
        <v>1</v>
      </c>
    </row>
    <row r="1960" spans="12:16" ht="15.75" customHeight="1" x14ac:dyDescent="0.3">
      <c r="L1960" s="6" t="s">
        <v>185</v>
      </c>
      <c r="M1960" s="6" t="s">
        <v>310</v>
      </c>
      <c r="N1960" s="6" t="s">
        <v>160</v>
      </c>
      <c r="O1960" s="6" t="s">
        <v>161</v>
      </c>
      <c r="P1960" s="25" t="s">
        <v>169</v>
      </c>
    </row>
    <row r="1961" spans="12:16" ht="15.75" customHeight="1" x14ac:dyDescent="0.3">
      <c r="L1961" s="6" t="s">
        <v>185</v>
      </c>
      <c r="M1961" s="6" t="s">
        <v>310</v>
      </c>
      <c r="N1961" s="6" t="s">
        <v>162</v>
      </c>
      <c r="O1961" s="6" t="s">
        <v>163</v>
      </c>
      <c r="P1961" s="19">
        <v>1</v>
      </c>
    </row>
    <row r="1962" spans="12:16" ht="15.75" customHeight="1" x14ac:dyDescent="0.3">
      <c r="L1962" s="6" t="s">
        <v>185</v>
      </c>
      <c r="M1962" s="6" t="s">
        <v>310</v>
      </c>
      <c r="N1962" s="6" t="s">
        <v>165</v>
      </c>
      <c r="O1962" s="6" t="s">
        <v>166</v>
      </c>
      <c r="P1962" s="19">
        <v>1</v>
      </c>
    </row>
    <row r="1963" spans="12:16" ht="15.75" customHeight="1" x14ac:dyDescent="0.3">
      <c r="L1963" s="6" t="s">
        <v>185</v>
      </c>
      <c r="M1963" s="6" t="s">
        <v>279</v>
      </c>
      <c r="N1963" s="6" t="s">
        <v>72</v>
      </c>
      <c r="O1963" s="6" t="s">
        <v>75</v>
      </c>
      <c r="P1963" s="19">
        <v>0</v>
      </c>
    </row>
    <row r="1964" spans="12:16" ht="15.75" customHeight="1" x14ac:dyDescent="0.3">
      <c r="L1964" s="6" t="s">
        <v>185</v>
      </c>
      <c r="M1964" s="6" t="s">
        <v>279</v>
      </c>
      <c r="N1964" s="6" t="s">
        <v>83</v>
      </c>
      <c r="O1964" s="6" t="s">
        <v>84</v>
      </c>
      <c r="P1964" s="19">
        <v>0</v>
      </c>
    </row>
    <row r="1965" spans="12:16" ht="15.75" customHeight="1" x14ac:dyDescent="0.3">
      <c r="L1965" s="6" t="s">
        <v>185</v>
      </c>
      <c r="M1965" s="6" t="s">
        <v>279</v>
      </c>
      <c r="N1965" s="6" t="s">
        <v>88</v>
      </c>
      <c r="O1965" s="6" t="s">
        <v>90</v>
      </c>
      <c r="P1965" s="19">
        <v>0</v>
      </c>
    </row>
    <row r="1966" spans="12:16" ht="15.75" customHeight="1" x14ac:dyDescent="0.3">
      <c r="L1966" s="6" t="s">
        <v>185</v>
      </c>
      <c r="M1966" s="6" t="s">
        <v>279</v>
      </c>
      <c r="N1966" s="6" t="s">
        <v>96</v>
      </c>
      <c r="O1966" s="6" t="s">
        <v>97</v>
      </c>
      <c r="P1966" s="19">
        <v>0</v>
      </c>
    </row>
    <row r="1967" spans="12:16" ht="15.75" customHeight="1" x14ac:dyDescent="0.3">
      <c r="L1967" s="6" t="s">
        <v>185</v>
      </c>
      <c r="M1967" s="6" t="s">
        <v>279</v>
      </c>
      <c r="N1967" s="6" t="s">
        <v>100</v>
      </c>
      <c r="O1967" s="6" t="s">
        <v>101</v>
      </c>
      <c r="P1967" s="19">
        <v>0</v>
      </c>
    </row>
    <row r="1968" spans="12:16" ht="15.75" customHeight="1" x14ac:dyDescent="0.3">
      <c r="L1968" s="6" t="s">
        <v>185</v>
      </c>
      <c r="M1968" s="6" t="s">
        <v>279</v>
      </c>
      <c r="N1968" s="6" t="s">
        <v>22</v>
      </c>
      <c r="O1968" s="6" t="s">
        <v>104</v>
      </c>
      <c r="P1968" s="19">
        <v>0</v>
      </c>
    </row>
    <row r="1969" spans="12:16" ht="15.75" customHeight="1" x14ac:dyDescent="0.3">
      <c r="L1969" s="6" t="s">
        <v>185</v>
      </c>
      <c r="M1969" s="6" t="s">
        <v>279</v>
      </c>
      <c r="N1969" s="6" t="s">
        <v>23</v>
      </c>
      <c r="O1969" s="6" t="s">
        <v>107</v>
      </c>
      <c r="P1969" s="19">
        <v>0</v>
      </c>
    </row>
    <row r="1970" spans="12:16" ht="15.75" customHeight="1" x14ac:dyDescent="0.3">
      <c r="L1970" s="6" t="s">
        <v>185</v>
      </c>
      <c r="M1970" s="6" t="s">
        <v>279</v>
      </c>
      <c r="N1970" s="6" t="s">
        <v>24</v>
      </c>
      <c r="O1970" s="6" t="s">
        <v>109</v>
      </c>
      <c r="P1970" s="19">
        <v>0</v>
      </c>
    </row>
    <row r="1971" spans="12:16" ht="15.75" customHeight="1" x14ac:dyDescent="0.3">
      <c r="L1971" s="6" t="s">
        <v>185</v>
      </c>
      <c r="M1971" s="6" t="s">
        <v>279</v>
      </c>
      <c r="N1971" s="6" t="s">
        <v>25</v>
      </c>
      <c r="O1971" s="6" t="s">
        <v>111</v>
      </c>
      <c r="P1971" s="19">
        <v>1</v>
      </c>
    </row>
    <row r="1972" spans="12:16" ht="15.75" customHeight="1" x14ac:dyDescent="0.3">
      <c r="L1972" s="6" t="s">
        <v>185</v>
      </c>
      <c r="M1972" s="6" t="s">
        <v>279</v>
      </c>
      <c r="N1972" s="6" t="s">
        <v>26</v>
      </c>
      <c r="O1972" s="6" t="s">
        <v>113</v>
      </c>
      <c r="P1972" s="19">
        <v>1</v>
      </c>
    </row>
    <row r="1973" spans="12:16" ht="15.75" customHeight="1" x14ac:dyDescent="0.3">
      <c r="L1973" s="6" t="s">
        <v>185</v>
      </c>
      <c r="M1973" s="6" t="s">
        <v>279</v>
      </c>
      <c r="N1973" s="6" t="s">
        <v>27</v>
      </c>
      <c r="O1973" s="6" t="s">
        <v>117</v>
      </c>
      <c r="P1973" s="19">
        <v>0</v>
      </c>
    </row>
    <row r="1974" spans="12:16" ht="15.75" customHeight="1" x14ac:dyDescent="0.3">
      <c r="L1974" s="6" t="s">
        <v>185</v>
      </c>
      <c r="M1974" s="6" t="s">
        <v>279</v>
      </c>
      <c r="N1974" s="6" t="s">
        <v>29</v>
      </c>
      <c r="O1974" s="6" t="s">
        <v>125</v>
      </c>
      <c r="P1974" s="19">
        <v>0</v>
      </c>
    </row>
    <row r="1975" spans="12:16" ht="15.75" customHeight="1" x14ac:dyDescent="0.3">
      <c r="L1975" s="6" t="s">
        <v>185</v>
      </c>
      <c r="M1975" s="6" t="s">
        <v>279</v>
      </c>
      <c r="N1975" s="6" t="s">
        <v>135</v>
      </c>
      <c r="O1975" s="6" t="s">
        <v>136</v>
      </c>
      <c r="P1975" s="19">
        <v>0</v>
      </c>
    </row>
    <row r="1976" spans="12:16" ht="15.75" customHeight="1" x14ac:dyDescent="0.3">
      <c r="L1976" s="6" t="s">
        <v>185</v>
      </c>
      <c r="M1976" s="6" t="s">
        <v>279</v>
      </c>
      <c r="N1976" s="6" t="s">
        <v>138</v>
      </c>
      <c r="O1976" s="6" t="s">
        <v>139</v>
      </c>
      <c r="P1976" s="19">
        <v>1</v>
      </c>
    </row>
    <row r="1977" spans="12:16" ht="15.75" customHeight="1" x14ac:dyDescent="0.3">
      <c r="L1977" s="6" t="s">
        <v>185</v>
      </c>
      <c r="M1977" s="6" t="s">
        <v>279</v>
      </c>
      <c r="N1977" s="6" t="s">
        <v>30</v>
      </c>
      <c r="O1977" s="6" t="s">
        <v>148</v>
      </c>
      <c r="P1977" s="19">
        <v>0</v>
      </c>
    </row>
    <row r="1978" spans="12:16" ht="15.75" customHeight="1" x14ac:dyDescent="0.3">
      <c r="L1978" s="6" t="s">
        <v>185</v>
      </c>
      <c r="M1978" s="6" t="s">
        <v>279</v>
      </c>
      <c r="N1978" s="6" t="s">
        <v>156</v>
      </c>
      <c r="O1978" s="6" t="s">
        <v>157</v>
      </c>
      <c r="P1978" s="25" t="s">
        <v>169</v>
      </c>
    </row>
    <row r="1979" spans="12:16" ht="15.75" customHeight="1" x14ac:dyDescent="0.3">
      <c r="L1979" s="6" t="s">
        <v>185</v>
      </c>
      <c r="M1979" s="6" t="s">
        <v>279</v>
      </c>
      <c r="N1979" s="6" t="s">
        <v>158</v>
      </c>
      <c r="O1979" s="6" t="s">
        <v>159</v>
      </c>
      <c r="P1979" s="19">
        <v>1</v>
      </c>
    </row>
    <row r="1980" spans="12:16" ht="15.75" customHeight="1" x14ac:dyDescent="0.3">
      <c r="L1980" s="6" t="s">
        <v>185</v>
      </c>
      <c r="M1980" s="6" t="s">
        <v>279</v>
      </c>
      <c r="N1980" s="6" t="s">
        <v>160</v>
      </c>
      <c r="O1980" s="6" t="s">
        <v>161</v>
      </c>
      <c r="P1980" s="25" t="s">
        <v>169</v>
      </c>
    </row>
    <row r="1981" spans="12:16" ht="15.75" customHeight="1" x14ac:dyDescent="0.3">
      <c r="L1981" s="6" t="s">
        <v>185</v>
      </c>
      <c r="M1981" s="6" t="s">
        <v>279</v>
      </c>
      <c r="N1981" s="6" t="s">
        <v>162</v>
      </c>
      <c r="O1981" s="6" t="s">
        <v>163</v>
      </c>
      <c r="P1981" s="19">
        <v>1</v>
      </c>
    </row>
    <row r="1982" spans="12:16" ht="15.75" customHeight="1" x14ac:dyDescent="0.3">
      <c r="L1982" s="6" t="s">
        <v>185</v>
      </c>
      <c r="M1982" s="6" t="s">
        <v>279</v>
      </c>
      <c r="N1982" s="6" t="s">
        <v>165</v>
      </c>
      <c r="O1982" s="6" t="s">
        <v>166</v>
      </c>
      <c r="P1982" s="19">
        <v>2</v>
      </c>
    </row>
    <row r="1983" spans="12:16" ht="15.75" customHeight="1" x14ac:dyDescent="0.3">
      <c r="L1983" s="6" t="s">
        <v>185</v>
      </c>
      <c r="M1983" s="6" t="s">
        <v>315</v>
      </c>
      <c r="N1983" s="6" t="s">
        <v>72</v>
      </c>
      <c r="O1983" s="6" t="s">
        <v>75</v>
      </c>
      <c r="P1983" s="19">
        <v>0</v>
      </c>
    </row>
    <row r="1984" spans="12:16" ht="15.75" customHeight="1" x14ac:dyDescent="0.3">
      <c r="L1984" s="6" t="s">
        <v>185</v>
      </c>
      <c r="M1984" s="6" t="s">
        <v>315</v>
      </c>
      <c r="N1984" s="6" t="s">
        <v>83</v>
      </c>
      <c r="O1984" s="6" t="s">
        <v>84</v>
      </c>
      <c r="P1984" s="19">
        <v>0</v>
      </c>
    </row>
    <row r="1985" spans="12:16" ht="15.75" customHeight="1" x14ac:dyDescent="0.3">
      <c r="L1985" s="6" t="s">
        <v>185</v>
      </c>
      <c r="M1985" s="6" t="s">
        <v>315</v>
      </c>
      <c r="N1985" s="6" t="s">
        <v>88</v>
      </c>
      <c r="O1985" s="6" t="s">
        <v>90</v>
      </c>
      <c r="P1985" s="19">
        <v>0</v>
      </c>
    </row>
    <row r="1986" spans="12:16" ht="15.75" customHeight="1" x14ac:dyDescent="0.3">
      <c r="L1986" s="6" t="s">
        <v>185</v>
      </c>
      <c r="M1986" s="6" t="s">
        <v>315</v>
      </c>
      <c r="N1986" s="6" t="s">
        <v>96</v>
      </c>
      <c r="O1986" s="6" t="s">
        <v>97</v>
      </c>
      <c r="P1986" s="19">
        <v>0</v>
      </c>
    </row>
    <row r="1987" spans="12:16" ht="15.75" customHeight="1" x14ac:dyDescent="0.3">
      <c r="L1987" s="6" t="s">
        <v>185</v>
      </c>
      <c r="M1987" s="6" t="s">
        <v>315</v>
      </c>
      <c r="N1987" s="6" t="s">
        <v>100</v>
      </c>
      <c r="O1987" s="6" t="s">
        <v>101</v>
      </c>
      <c r="P1987" s="19">
        <v>0</v>
      </c>
    </row>
    <row r="1988" spans="12:16" ht="15.75" customHeight="1" x14ac:dyDescent="0.3">
      <c r="L1988" s="6" t="s">
        <v>185</v>
      </c>
      <c r="M1988" s="6" t="s">
        <v>315</v>
      </c>
      <c r="N1988" s="6" t="s">
        <v>22</v>
      </c>
      <c r="O1988" s="6" t="s">
        <v>104</v>
      </c>
      <c r="P1988" s="19">
        <v>0</v>
      </c>
    </row>
    <row r="1989" spans="12:16" ht="15.75" customHeight="1" x14ac:dyDescent="0.3">
      <c r="L1989" s="6" t="s">
        <v>185</v>
      </c>
      <c r="M1989" s="6" t="s">
        <v>315</v>
      </c>
      <c r="N1989" s="6" t="s">
        <v>23</v>
      </c>
      <c r="O1989" s="6" t="s">
        <v>107</v>
      </c>
      <c r="P1989" s="25" t="s">
        <v>222</v>
      </c>
    </row>
    <row r="1990" spans="12:16" ht="15.75" customHeight="1" x14ac:dyDescent="0.3">
      <c r="L1990" s="6" t="s">
        <v>185</v>
      </c>
      <c r="M1990" s="6" t="s">
        <v>315</v>
      </c>
      <c r="N1990" s="6" t="s">
        <v>24</v>
      </c>
      <c r="O1990" s="6" t="s">
        <v>109</v>
      </c>
      <c r="P1990" s="25" t="s">
        <v>222</v>
      </c>
    </row>
    <row r="1991" spans="12:16" ht="15.75" customHeight="1" x14ac:dyDescent="0.3">
      <c r="L1991" s="6" t="s">
        <v>185</v>
      </c>
      <c r="M1991" s="6" t="s">
        <v>315</v>
      </c>
      <c r="N1991" s="6" t="s">
        <v>25</v>
      </c>
      <c r="O1991" s="6" t="s">
        <v>111</v>
      </c>
      <c r="P1991" s="19">
        <v>0</v>
      </c>
    </row>
    <row r="1992" spans="12:16" ht="15.75" customHeight="1" x14ac:dyDescent="0.3">
      <c r="L1992" s="6" t="s">
        <v>185</v>
      </c>
      <c r="M1992" s="6" t="s">
        <v>315</v>
      </c>
      <c r="N1992" s="6" t="s">
        <v>26</v>
      </c>
      <c r="O1992" s="6" t="s">
        <v>113</v>
      </c>
      <c r="P1992" s="19">
        <v>0</v>
      </c>
    </row>
    <row r="1993" spans="12:16" ht="15.75" customHeight="1" x14ac:dyDescent="0.3">
      <c r="L1993" s="6" t="s">
        <v>185</v>
      </c>
      <c r="M1993" s="6" t="s">
        <v>315</v>
      </c>
      <c r="N1993" s="6" t="s">
        <v>27</v>
      </c>
      <c r="O1993" s="6" t="s">
        <v>117</v>
      </c>
      <c r="P1993" s="25" t="s">
        <v>222</v>
      </c>
    </row>
    <row r="1994" spans="12:16" ht="15.75" customHeight="1" x14ac:dyDescent="0.3">
      <c r="L1994" s="6" t="s">
        <v>185</v>
      </c>
      <c r="M1994" s="6" t="s">
        <v>315</v>
      </c>
      <c r="N1994" s="6" t="s">
        <v>29</v>
      </c>
      <c r="O1994" s="6" t="s">
        <v>125</v>
      </c>
      <c r="P1994" s="19">
        <v>0</v>
      </c>
    </row>
    <row r="1995" spans="12:16" ht="15.75" customHeight="1" x14ac:dyDescent="0.3">
      <c r="L1995" s="6" t="s">
        <v>185</v>
      </c>
      <c r="M1995" s="6" t="s">
        <v>315</v>
      </c>
      <c r="N1995" s="6" t="s">
        <v>135</v>
      </c>
      <c r="O1995" s="6" t="s">
        <v>136</v>
      </c>
      <c r="P1995" s="19">
        <v>0</v>
      </c>
    </row>
    <row r="1996" spans="12:16" ht="15.75" customHeight="1" x14ac:dyDescent="0.3">
      <c r="L1996" s="6" t="s">
        <v>185</v>
      </c>
      <c r="M1996" s="6" t="s">
        <v>315</v>
      </c>
      <c r="N1996" s="6" t="s">
        <v>138</v>
      </c>
      <c r="O1996" s="6" t="s">
        <v>139</v>
      </c>
      <c r="P1996" s="19">
        <v>1</v>
      </c>
    </row>
    <row r="1997" spans="12:16" ht="15.75" customHeight="1" x14ac:dyDescent="0.3">
      <c r="L1997" s="6" t="s">
        <v>185</v>
      </c>
      <c r="M1997" s="6" t="s">
        <v>315</v>
      </c>
      <c r="N1997" s="6" t="s">
        <v>30</v>
      </c>
      <c r="O1997" s="6" t="s">
        <v>148</v>
      </c>
      <c r="P1997" s="19">
        <v>0</v>
      </c>
    </row>
    <row r="1998" spans="12:16" ht="15.75" customHeight="1" x14ac:dyDescent="0.3">
      <c r="L1998" s="6" t="s">
        <v>185</v>
      </c>
      <c r="M1998" s="6" t="s">
        <v>315</v>
      </c>
      <c r="N1998" s="6" t="s">
        <v>156</v>
      </c>
      <c r="O1998" s="6" t="s">
        <v>157</v>
      </c>
      <c r="P1998" s="25" t="s">
        <v>169</v>
      </c>
    </row>
    <row r="1999" spans="12:16" ht="15.75" customHeight="1" x14ac:dyDescent="0.3">
      <c r="L1999" s="6" t="s">
        <v>185</v>
      </c>
      <c r="M1999" s="6" t="s">
        <v>315</v>
      </c>
      <c r="N1999" s="6" t="s">
        <v>158</v>
      </c>
      <c r="O1999" s="6" t="s">
        <v>159</v>
      </c>
      <c r="P1999" s="19">
        <v>1</v>
      </c>
    </row>
    <row r="2000" spans="12:16" ht="15.75" customHeight="1" x14ac:dyDescent="0.3">
      <c r="L2000" s="6" t="s">
        <v>185</v>
      </c>
      <c r="M2000" s="6" t="s">
        <v>315</v>
      </c>
      <c r="N2000" s="6" t="s">
        <v>160</v>
      </c>
      <c r="O2000" s="6" t="s">
        <v>161</v>
      </c>
      <c r="P2000" s="25" t="s">
        <v>169</v>
      </c>
    </row>
    <row r="2001" spans="12:16" ht="15.75" customHeight="1" x14ac:dyDescent="0.3">
      <c r="L2001" s="6" t="s">
        <v>185</v>
      </c>
      <c r="M2001" s="6" t="s">
        <v>315</v>
      </c>
      <c r="N2001" s="6" t="s">
        <v>162</v>
      </c>
      <c r="O2001" s="6" t="s">
        <v>163</v>
      </c>
      <c r="P2001" s="19">
        <v>1</v>
      </c>
    </row>
    <row r="2002" spans="12:16" ht="15.75" customHeight="1" x14ac:dyDescent="0.3">
      <c r="L2002" s="6" t="s">
        <v>185</v>
      </c>
      <c r="M2002" s="6" t="s">
        <v>315</v>
      </c>
      <c r="N2002" s="6" t="s">
        <v>165</v>
      </c>
      <c r="O2002" s="6" t="s">
        <v>166</v>
      </c>
      <c r="P2002" s="19">
        <v>0</v>
      </c>
    </row>
    <row r="2003" spans="12:16" ht="15.75" customHeight="1" x14ac:dyDescent="0.3">
      <c r="L2003" s="6" t="s">
        <v>185</v>
      </c>
      <c r="M2003" s="6" t="s">
        <v>319</v>
      </c>
      <c r="N2003" s="6" t="s">
        <v>72</v>
      </c>
      <c r="O2003" s="6" t="s">
        <v>75</v>
      </c>
      <c r="P2003" s="19">
        <v>0</v>
      </c>
    </row>
    <row r="2004" spans="12:16" ht="15.75" customHeight="1" x14ac:dyDescent="0.3">
      <c r="L2004" s="6" t="s">
        <v>185</v>
      </c>
      <c r="M2004" s="6" t="s">
        <v>319</v>
      </c>
      <c r="N2004" s="6" t="s">
        <v>83</v>
      </c>
      <c r="O2004" s="6" t="s">
        <v>84</v>
      </c>
      <c r="P2004" s="19">
        <v>0</v>
      </c>
    </row>
    <row r="2005" spans="12:16" ht="15.75" customHeight="1" x14ac:dyDescent="0.3">
      <c r="L2005" s="6" t="s">
        <v>185</v>
      </c>
      <c r="M2005" s="6" t="s">
        <v>319</v>
      </c>
      <c r="N2005" s="6" t="s">
        <v>88</v>
      </c>
      <c r="O2005" s="6" t="s">
        <v>90</v>
      </c>
      <c r="P2005" s="19">
        <v>0</v>
      </c>
    </row>
    <row r="2006" spans="12:16" ht="15.75" customHeight="1" x14ac:dyDescent="0.3">
      <c r="L2006" s="6" t="s">
        <v>185</v>
      </c>
      <c r="M2006" s="6" t="s">
        <v>319</v>
      </c>
      <c r="N2006" s="6" t="s">
        <v>96</v>
      </c>
      <c r="O2006" s="6" t="s">
        <v>97</v>
      </c>
      <c r="P2006" s="19">
        <v>0</v>
      </c>
    </row>
    <row r="2007" spans="12:16" ht="15.75" customHeight="1" x14ac:dyDescent="0.3">
      <c r="L2007" s="6" t="s">
        <v>185</v>
      </c>
      <c r="M2007" s="6" t="s">
        <v>319</v>
      </c>
      <c r="N2007" s="6" t="s">
        <v>100</v>
      </c>
      <c r="O2007" s="6" t="s">
        <v>101</v>
      </c>
      <c r="P2007" s="19">
        <v>0</v>
      </c>
    </row>
    <row r="2008" spans="12:16" ht="15.75" customHeight="1" x14ac:dyDescent="0.3">
      <c r="L2008" s="6" t="s">
        <v>185</v>
      </c>
      <c r="M2008" s="6" t="s">
        <v>319</v>
      </c>
      <c r="N2008" s="6" t="s">
        <v>22</v>
      </c>
      <c r="O2008" s="6" t="s">
        <v>104</v>
      </c>
      <c r="P2008" s="19">
        <v>0</v>
      </c>
    </row>
    <row r="2009" spans="12:16" ht="15.75" customHeight="1" x14ac:dyDescent="0.3">
      <c r="L2009" s="6" t="s">
        <v>185</v>
      </c>
      <c r="M2009" s="6" t="s">
        <v>319</v>
      </c>
      <c r="N2009" s="6" t="s">
        <v>23</v>
      </c>
      <c r="O2009" s="6" t="s">
        <v>107</v>
      </c>
      <c r="P2009" s="25" t="s">
        <v>222</v>
      </c>
    </row>
    <row r="2010" spans="12:16" ht="15.75" customHeight="1" x14ac:dyDescent="0.3">
      <c r="L2010" s="6" t="s">
        <v>185</v>
      </c>
      <c r="M2010" s="6" t="s">
        <v>319</v>
      </c>
      <c r="N2010" s="6" t="s">
        <v>24</v>
      </c>
      <c r="O2010" s="6" t="s">
        <v>109</v>
      </c>
      <c r="P2010" s="25" t="s">
        <v>222</v>
      </c>
    </row>
    <row r="2011" spans="12:16" ht="15.75" customHeight="1" x14ac:dyDescent="0.3">
      <c r="L2011" s="6" t="s">
        <v>185</v>
      </c>
      <c r="M2011" s="6" t="s">
        <v>319</v>
      </c>
      <c r="N2011" s="6" t="s">
        <v>25</v>
      </c>
      <c r="O2011" s="6" t="s">
        <v>111</v>
      </c>
      <c r="P2011" s="19">
        <v>0</v>
      </c>
    </row>
    <row r="2012" spans="12:16" ht="15.75" customHeight="1" x14ac:dyDescent="0.3">
      <c r="L2012" s="6" t="s">
        <v>185</v>
      </c>
      <c r="M2012" s="6" t="s">
        <v>319</v>
      </c>
      <c r="N2012" s="6" t="s">
        <v>26</v>
      </c>
      <c r="O2012" s="6" t="s">
        <v>113</v>
      </c>
      <c r="P2012" s="19">
        <v>0</v>
      </c>
    </row>
    <row r="2013" spans="12:16" ht="15.75" customHeight="1" x14ac:dyDescent="0.3">
      <c r="L2013" s="6" t="s">
        <v>185</v>
      </c>
      <c r="M2013" s="6" t="s">
        <v>319</v>
      </c>
      <c r="N2013" s="6" t="s">
        <v>27</v>
      </c>
      <c r="O2013" s="6" t="s">
        <v>117</v>
      </c>
      <c r="P2013" s="25" t="s">
        <v>222</v>
      </c>
    </row>
    <row r="2014" spans="12:16" ht="15.75" customHeight="1" x14ac:dyDescent="0.3">
      <c r="L2014" s="6" t="s">
        <v>185</v>
      </c>
      <c r="M2014" s="6" t="s">
        <v>319</v>
      </c>
      <c r="N2014" s="6" t="s">
        <v>29</v>
      </c>
      <c r="O2014" s="6" t="s">
        <v>125</v>
      </c>
      <c r="P2014" s="19">
        <v>0</v>
      </c>
    </row>
    <row r="2015" spans="12:16" ht="15.75" customHeight="1" x14ac:dyDescent="0.3">
      <c r="L2015" s="6" t="s">
        <v>185</v>
      </c>
      <c r="M2015" s="6" t="s">
        <v>319</v>
      </c>
      <c r="N2015" s="6" t="s">
        <v>135</v>
      </c>
      <c r="O2015" s="6" t="s">
        <v>136</v>
      </c>
      <c r="P2015" s="19">
        <v>0</v>
      </c>
    </row>
    <row r="2016" spans="12:16" ht="15.75" customHeight="1" x14ac:dyDescent="0.3">
      <c r="L2016" s="6" t="s">
        <v>185</v>
      </c>
      <c r="M2016" s="6" t="s">
        <v>319</v>
      </c>
      <c r="N2016" s="6" t="s">
        <v>138</v>
      </c>
      <c r="O2016" s="6" t="s">
        <v>139</v>
      </c>
      <c r="P2016" s="19">
        <v>1</v>
      </c>
    </row>
    <row r="2017" spans="12:16" ht="15.75" customHeight="1" x14ac:dyDescent="0.3">
      <c r="L2017" s="6" t="s">
        <v>185</v>
      </c>
      <c r="M2017" s="6" t="s">
        <v>319</v>
      </c>
      <c r="N2017" s="6" t="s">
        <v>30</v>
      </c>
      <c r="O2017" s="6" t="s">
        <v>148</v>
      </c>
      <c r="P2017" s="19">
        <v>0</v>
      </c>
    </row>
    <row r="2018" spans="12:16" ht="15.75" customHeight="1" x14ac:dyDescent="0.3">
      <c r="L2018" s="6" t="s">
        <v>185</v>
      </c>
      <c r="M2018" s="6" t="s">
        <v>319</v>
      </c>
      <c r="N2018" s="6" t="s">
        <v>156</v>
      </c>
      <c r="O2018" s="6" t="s">
        <v>157</v>
      </c>
      <c r="P2018" s="25" t="s">
        <v>169</v>
      </c>
    </row>
    <row r="2019" spans="12:16" ht="15.75" customHeight="1" x14ac:dyDescent="0.3">
      <c r="L2019" s="6" t="s">
        <v>185</v>
      </c>
      <c r="M2019" s="6" t="s">
        <v>319</v>
      </c>
      <c r="N2019" s="6" t="s">
        <v>158</v>
      </c>
      <c r="O2019" s="6" t="s">
        <v>159</v>
      </c>
      <c r="P2019" s="19">
        <v>1</v>
      </c>
    </row>
    <row r="2020" spans="12:16" ht="15.75" customHeight="1" x14ac:dyDescent="0.3">
      <c r="L2020" s="6" t="s">
        <v>185</v>
      </c>
      <c r="M2020" s="6" t="s">
        <v>319</v>
      </c>
      <c r="N2020" s="6" t="s">
        <v>160</v>
      </c>
      <c r="O2020" s="6" t="s">
        <v>161</v>
      </c>
      <c r="P2020" s="25" t="s">
        <v>169</v>
      </c>
    </row>
    <row r="2021" spans="12:16" ht="15.75" customHeight="1" x14ac:dyDescent="0.3">
      <c r="L2021" s="6" t="s">
        <v>185</v>
      </c>
      <c r="M2021" s="6" t="s">
        <v>319</v>
      </c>
      <c r="N2021" s="6" t="s">
        <v>162</v>
      </c>
      <c r="O2021" s="6" t="s">
        <v>163</v>
      </c>
      <c r="P2021" s="19">
        <v>1</v>
      </c>
    </row>
    <row r="2022" spans="12:16" ht="15.75" customHeight="1" x14ac:dyDescent="0.3">
      <c r="L2022" s="6" t="s">
        <v>185</v>
      </c>
      <c r="M2022" s="6" t="s">
        <v>319</v>
      </c>
      <c r="N2022" s="6" t="s">
        <v>165</v>
      </c>
      <c r="O2022" s="6" t="s">
        <v>166</v>
      </c>
      <c r="P2022" s="19">
        <v>0</v>
      </c>
    </row>
    <row r="2023" spans="12:16" ht="15.75" customHeight="1" x14ac:dyDescent="0.3">
      <c r="L2023" s="6" t="s">
        <v>185</v>
      </c>
      <c r="M2023" s="6" t="s">
        <v>322</v>
      </c>
      <c r="N2023" s="6" t="s">
        <v>72</v>
      </c>
      <c r="O2023" s="6" t="s">
        <v>75</v>
      </c>
      <c r="P2023" s="19">
        <v>0</v>
      </c>
    </row>
    <row r="2024" spans="12:16" ht="15.75" customHeight="1" x14ac:dyDescent="0.3">
      <c r="L2024" s="6" t="s">
        <v>185</v>
      </c>
      <c r="M2024" s="6" t="s">
        <v>322</v>
      </c>
      <c r="N2024" s="6" t="s">
        <v>83</v>
      </c>
      <c r="O2024" s="6" t="s">
        <v>84</v>
      </c>
      <c r="P2024" s="19">
        <v>0</v>
      </c>
    </row>
    <row r="2025" spans="12:16" ht="15.75" customHeight="1" x14ac:dyDescent="0.3">
      <c r="L2025" s="6" t="s">
        <v>185</v>
      </c>
      <c r="M2025" s="6" t="s">
        <v>322</v>
      </c>
      <c r="N2025" s="6" t="s">
        <v>88</v>
      </c>
      <c r="O2025" s="6" t="s">
        <v>90</v>
      </c>
      <c r="P2025" s="19">
        <v>0</v>
      </c>
    </row>
    <row r="2026" spans="12:16" ht="15.75" customHeight="1" x14ac:dyDescent="0.3">
      <c r="L2026" s="6" t="s">
        <v>185</v>
      </c>
      <c r="M2026" s="6" t="s">
        <v>322</v>
      </c>
      <c r="N2026" s="6" t="s">
        <v>96</v>
      </c>
      <c r="O2026" s="6" t="s">
        <v>97</v>
      </c>
      <c r="P2026" s="19">
        <v>0</v>
      </c>
    </row>
    <row r="2027" spans="12:16" ht="15.75" customHeight="1" x14ac:dyDescent="0.3">
      <c r="L2027" s="6" t="s">
        <v>185</v>
      </c>
      <c r="M2027" s="6" t="s">
        <v>322</v>
      </c>
      <c r="N2027" s="6" t="s">
        <v>100</v>
      </c>
      <c r="O2027" s="6" t="s">
        <v>101</v>
      </c>
      <c r="P2027" s="19">
        <v>0</v>
      </c>
    </row>
    <row r="2028" spans="12:16" ht="15.75" customHeight="1" x14ac:dyDescent="0.3">
      <c r="L2028" s="6" t="s">
        <v>185</v>
      </c>
      <c r="M2028" s="6" t="s">
        <v>322</v>
      </c>
      <c r="N2028" s="6" t="s">
        <v>22</v>
      </c>
      <c r="O2028" s="6" t="s">
        <v>104</v>
      </c>
      <c r="P2028" s="19">
        <v>0</v>
      </c>
    </row>
    <row r="2029" spans="12:16" ht="15.75" customHeight="1" x14ac:dyDescent="0.3">
      <c r="L2029" s="6" t="s">
        <v>185</v>
      </c>
      <c r="M2029" s="6" t="s">
        <v>322</v>
      </c>
      <c r="N2029" s="6" t="s">
        <v>23</v>
      </c>
      <c r="O2029" s="6" t="s">
        <v>107</v>
      </c>
      <c r="P2029" s="19">
        <v>0</v>
      </c>
    </row>
    <row r="2030" spans="12:16" ht="15.75" customHeight="1" x14ac:dyDescent="0.3">
      <c r="L2030" s="6" t="s">
        <v>185</v>
      </c>
      <c r="M2030" s="6" t="s">
        <v>322</v>
      </c>
      <c r="N2030" s="6" t="s">
        <v>24</v>
      </c>
      <c r="O2030" s="6" t="s">
        <v>109</v>
      </c>
      <c r="P2030" s="19">
        <v>0</v>
      </c>
    </row>
    <row r="2031" spans="12:16" ht="15.75" customHeight="1" x14ac:dyDescent="0.3">
      <c r="L2031" s="6" t="s">
        <v>185</v>
      </c>
      <c r="M2031" s="6" t="s">
        <v>322</v>
      </c>
      <c r="N2031" s="6" t="s">
        <v>25</v>
      </c>
      <c r="O2031" s="6" t="s">
        <v>111</v>
      </c>
      <c r="P2031" s="19">
        <v>1</v>
      </c>
    </row>
    <row r="2032" spans="12:16" ht="15.75" customHeight="1" x14ac:dyDescent="0.3">
      <c r="L2032" s="6" t="s">
        <v>185</v>
      </c>
      <c r="M2032" s="6" t="s">
        <v>322</v>
      </c>
      <c r="N2032" s="6" t="s">
        <v>26</v>
      </c>
      <c r="O2032" s="6" t="s">
        <v>113</v>
      </c>
      <c r="P2032" s="19">
        <v>1</v>
      </c>
    </row>
    <row r="2033" spans="12:16" ht="15.75" customHeight="1" x14ac:dyDescent="0.3">
      <c r="L2033" s="6" t="s">
        <v>185</v>
      </c>
      <c r="M2033" s="6" t="s">
        <v>322</v>
      </c>
      <c r="N2033" s="6" t="s">
        <v>27</v>
      </c>
      <c r="O2033" s="6" t="s">
        <v>117</v>
      </c>
      <c r="P2033" s="19">
        <v>0</v>
      </c>
    </row>
    <row r="2034" spans="12:16" ht="15.75" customHeight="1" x14ac:dyDescent="0.3">
      <c r="L2034" s="6" t="s">
        <v>185</v>
      </c>
      <c r="M2034" s="6" t="s">
        <v>322</v>
      </c>
      <c r="N2034" s="6" t="s">
        <v>29</v>
      </c>
      <c r="O2034" s="6" t="s">
        <v>125</v>
      </c>
      <c r="P2034" s="19">
        <v>0</v>
      </c>
    </row>
    <row r="2035" spans="12:16" ht="15.75" customHeight="1" x14ac:dyDescent="0.3">
      <c r="L2035" s="6" t="s">
        <v>185</v>
      </c>
      <c r="M2035" s="6" t="s">
        <v>322</v>
      </c>
      <c r="N2035" s="6" t="s">
        <v>135</v>
      </c>
      <c r="O2035" s="6" t="s">
        <v>136</v>
      </c>
      <c r="P2035" s="19">
        <v>0</v>
      </c>
    </row>
    <row r="2036" spans="12:16" ht="15.75" customHeight="1" x14ac:dyDescent="0.3">
      <c r="L2036" s="6" t="s">
        <v>185</v>
      </c>
      <c r="M2036" s="6" t="s">
        <v>322</v>
      </c>
      <c r="N2036" s="6" t="s">
        <v>138</v>
      </c>
      <c r="O2036" s="6" t="s">
        <v>139</v>
      </c>
      <c r="P2036" s="19">
        <v>1</v>
      </c>
    </row>
    <row r="2037" spans="12:16" ht="15.75" customHeight="1" x14ac:dyDescent="0.3">
      <c r="L2037" s="6" t="s">
        <v>185</v>
      </c>
      <c r="M2037" s="6" t="s">
        <v>322</v>
      </c>
      <c r="N2037" s="6" t="s">
        <v>30</v>
      </c>
      <c r="O2037" s="6" t="s">
        <v>148</v>
      </c>
      <c r="P2037" s="19">
        <v>0</v>
      </c>
    </row>
    <row r="2038" spans="12:16" ht="15.75" customHeight="1" x14ac:dyDescent="0.3">
      <c r="L2038" s="6" t="s">
        <v>185</v>
      </c>
      <c r="M2038" s="6" t="s">
        <v>322</v>
      </c>
      <c r="N2038" s="6" t="s">
        <v>156</v>
      </c>
      <c r="O2038" s="6" t="s">
        <v>157</v>
      </c>
      <c r="P2038" s="25" t="s">
        <v>169</v>
      </c>
    </row>
    <row r="2039" spans="12:16" ht="15.75" customHeight="1" x14ac:dyDescent="0.3">
      <c r="L2039" s="6" t="s">
        <v>185</v>
      </c>
      <c r="M2039" s="6" t="s">
        <v>322</v>
      </c>
      <c r="N2039" s="6" t="s">
        <v>158</v>
      </c>
      <c r="O2039" s="6" t="s">
        <v>159</v>
      </c>
      <c r="P2039" s="19">
        <v>1</v>
      </c>
    </row>
    <row r="2040" spans="12:16" ht="15.75" customHeight="1" x14ac:dyDescent="0.3">
      <c r="L2040" s="6" t="s">
        <v>185</v>
      </c>
      <c r="M2040" s="6" t="s">
        <v>322</v>
      </c>
      <c r="N2040" s="6" t="s">
        <v>160</v>
      </c>
      <c r="O2040" s="6" t="s">
        <v>161</v>
      </c>
      <c r="P2040" s="25" t="s">
        <v>169</v>
      </c>
    </row>
    <row r="2041" spans="12:16" ht="15.75" customHeight="1" x14ac:dyDescent="0.3">
      <c r="L2041" s="6" t="s">
        <v>185</v>
      </c>
      <c r="M2041" s="6" t="s">
        <v>322</v>
      </c>
      <c r="N2041" s="6" t="s">
        <v>162</v>
      </c>
      <c r="O2041" s="6" t="s">
        <v>163</v>
      </c>
      <c r="P2041" s="19">
        <v>1</v>
      </c>
    </row>
    <row r="2042" spans="12:16" ht="15.75" customHeight="1" x14ac:dyDescent="0.3">
      <c r="L2042" s="6" t="s">
        <v>185</v>
      </c>
      <c r="M2042" s="6" t="s">
        <v>322</v>
      </c>
      <c r="N2042" s="6" t="s">
        <v>165</v>
      </c>
      <c r="O2042" s="6" t="s">
        <v>166</v>
      </c>
      <c r="P2042" s="19">
        <v>0</v>
      </c>
    </row>
    <row r="2043" spans="12:16" ht="15.75" customHeight="1" x14ac:dyDescent="0.3">
      <c r="L2043" s="6" t="s">
        <v>185</v>
      </c>
      <c r="M2043" s="6" t="s">
        <v>327</v>
      </c>
      <c r="N2043" s="6" t="s">
        <v>72</v>
      </c>
      <c r="O2043" s="6" t="s">
        <v>75</v>
      </c>
      <c r="P2043" s="19">
        <v>0</v>
      </c>
    </row>
    <row r="2044" spans="12:16" ht="15.75" customHeight="1" x14ac:dyDescent="0.3">
      <c r="L2044" s="6" t="s">
        <v>185</v>
      </c>
      <c r="M2044" s="6" t="s">
        <v>327</v>
      </c>
      <c r="N2044" s="6" t="s">
        <v>83</v>
      </c>
      <c r="O2044" s="6" t="s">
        <v>84</v>
      </c>
      <c r="P2044" s="19">
        <v>0</v>
      </c>
    </row>
    <row r="2045" spans="12:16" ht="15.75" customHeight="1" x14ac:dyDescent="0.3">
      <c r="L2045" s="6" t="s">
        <v>185</v>
      </c>
      <c r="M2045" s="6" t="s">
        <v>327</v>
      </c>
      <c r="N2045" s="6" t="s">
        <v>88</v>
      </c>
      <c r="O2045" s="6" t="s">
        <v>90</v>
      </c>
      <c r="P2045" s="19">
        <v>0</v>
      </c>
    </row>
    <row r="2046" spans="12:16" ht="15.75" customHeight="1" x14ac:dyDescent="0.3">
      <c r="L2046" s="6" t="s">
        <v>185</v>
      </c>
      <c r="M2046" s="6" t="s">
        <v>327</v>
      </c>
      <c r="N2046" s="6" t="s">
        <v>96</v>
      </c>
      <c r="O2046" s="6" t="s">
        <v>97</v>
      </c>
      <c r="P2046" s="19">
        <v>0</v>
      </c>
    </row>
    <row r="2047" spans="12:16" ht="15.75" customHeight="1" x14ac:dyDescent="0.3">
      <c r="L2047" s="6" t="s">
        <v>185</v>
      </c>
      <c r="M2047" s="6" t="s">
        <v>327</v>
      </c>
      <c r="N2047" s="6" t="s">
        <v>100</v>
      </c>
      <c r="O2047" s="6" t="s">
        <v>101</v>
      </c>
      <c r="P2047" s="19">
        <v>0</v>
      </c>
    </row>
    <row r="2048" spans="12:16" ht="15.75" customHeight="1" x14ac:dyDescent="0.3">
      <c r="L2048" s="6" t="s">
        <v>185</v>
      </c>
      <c r="M2048" s="6" t="s">
        <v>327</v>
      </c>
      <c r="N2048" s="6" t="s">
        <v>22</v>
      </c>
      <c r="O2048" s="6" t="s">
        <v>104</v>
      </c>
      <c r="P2048" s="19">
        <v>0</v>
      </c>
    </row>
    <row r="2049" spans="12:16" ht="15.75" customHeight="1" x14ac:dyDescent="0.3">
      <c r="L2049" s="6" t="s">
        <v>185</v>
      </c>
      <c r="M2049" s="6" t="s">
        <v>327</v>
      </c>
      <c r="N2049" s="6" t="s">
        <v>23</v>
      </c>
      <c r="O2049" s="6" t="s">
        <v>107</v>
      </c>
      <c r="P2049" s="19">
        <v>0</v>
      </c>
    </row>
    <row r="2050" spans="12:16" ht="15.75" customHeight="1" x14ac:dyDescent="0.3">
      <c r="L2050" s="6" t="s">
        <v>185</v>
      </c>
      <c r="M2050" s="6" t="s">
        <v>327</v>
      </c>
      <c r="N2050" s="6" t="s">
        <v>24</v>
      </c>
      <c r="O2050" s="6" t="s">
        <v>109</v>
      </c>
      <c r="P2050" s="19">
        <v>0</v>
      </c>
    </row>
    <row r="2051" spans="12:16" ht="15.75" customHeight="1" x14ac:dyDescent="0.3">
      <c r="L2051" s="6" t="s">
        <v>185</v>
      </c>
      <c r="M2051" s="6" t="s">
        <v>327</v>
      </c>
      <c r="N2051" s="6" t="s">
        <v>25</v>
      </c>
      <c r="O2051" s="6" t="s">
        <v>111</v>
      </c>
      <c r="P2051" s="19">
        <v>1</v>
      </c>
    </row>
    <row r="2052" spans="12:16" ht="15.75" customHeight="1" x14ac:dyDescent="0.3">
      <c r="L2052" s="6" t="s">
        <v>185</v>
      </c>
      <c r="M2052" s="6" t="s">
        <v>327</v>
      </c>
      <c r="N2052" s="6" t="s">
        <v>26</v>
      </c>
      <c r="O2052" s="6" t="s">
        <v>113</v>
      </c>
      <c r="P2052" s="19">
        <v>1</v>
      </c>
    </row>
    <row r="2053" spans="12:16" ht="15.75" customHeight="1" x14ac:dyDescent="0.3">
      <c r="L2053" s="6" t="s">
        <v>185</v>
      </c>
      <c r="M2053" s="6" t="s">
        <v>327</v>
      </c>
      <c r="N2053" s="6" t="s">
        <v>27</v>
      </c>
      <c r="O2053" s="6" t="s">
        <v>117</v>
      </c>
      <c r="P2053" s="19">
        <v>0</v>
      </c>
    </row>
    <row r="2054" spans="12:16" ht="15.75" customHeight="1" x14ac:dyDescent="0.3">
      <c r="L2054" s="6" t="s">
        <v>185</v>
      </c>
      <c r="M2054" s="6" t="s">
        <v>327</v>
      </c>
      <c r="N2054" s="6" t="s">
        <v>29</v>
      </c>
      <c r="O2054" s="6" t="s">
        <v>125</v>
      </c>
      <c r="P2054" s="19">
        <v>0</v>
      </c>
    </row>
    <row r="2055" spans="12:16" ht="15.75" customHeight="1" x14ac:dyDescent="0.3">
      <c r="L2055" s="6" t="s">
        <v>185</v>
      </c>
      <c r="M2055" s="6" t="s">
        <v>327</v>
      </c>
      <c r="N2055" s="6" t="s">
        <v>135</v>
      </c>
      <c r="O2055" s="6" t="s">
        <v>136</v>
      </c>
      <c r="P2055" s="19">
        <v>0</v>
      </c>
    </row>
    <row r="2056" spans="12:16" ht="15.75" customHeight="1" x14ac:dyDescent="0.3">
      <c r="L2056" s="6" t="s">
        <v>185</v>
      </c>
      <c r="M2056" s="6" t="s">
        <v>327</v>
      </c>
      <c r="N2056" s="6" t="s">
        <v>138</v>
      </c>
      <c r="O2056" s="6" t="s">
        <v>139</v>
      </c>
      <c r="P2056" s="19">
        <v>1</v>
      </c>
    </row>
    <row r="2057" spans="12:16" ht="15.75" customHeight="1" x14ac:dyDescent="0.3">
      <c r="L2057" s="6" t="s">
        <v>185</v>
      </c>
      <c r="M2057" s="6" t="s">
        <v>327</v>
      </c>
      <c r="N2057" s="6" t="s">
        <v>30</v>
      </c>
      <c r="O2057" s="6" t="s">
        <v>148</v>
      </c>
      <c r="P2057" s="19">
        <v>0</v>
      </c>
    </row>
    <row r="2058" spans="12:16" ht="15.75" customHeight="1" x14ac:dyDescent="0.3">
      <c r="L2058" s="6" t="s">
        <v>185</v>
      </c>
      <c r="M2058" s="6" t="s">
        <v>327</v>
      </c>
      <c r="N2058" s="6" t="s">
        <v>156</v>
      </c>
      <c r="O2058" s="6" t="s">
        <v>157</v>
      </c>
      <c r="P2058" s="25" t="s">
        <v>169</v>
      </c>
    </row>
    <row r="2059" spans="12:16" ht="15.75" customHeight="1" x14ac:dyDescent="0.3">
      <c r="L2059" s="6" t="s">
        <v>185</v>
      </c>
      <c r="M2059" s="6" t="s">
        <v>327</v>
      </c>
      <c r="N2059" s="6" t="s">
        <v>158</v>
      </c>
      <c r="O2059" s="6" t="s">
        <v>159</v>
      </c>
      <c r="P2059" s="19">
        <v>1</v>
      </c>
    </row>
    <row r="2060" spans="12:16" ht="15.75" customHeight="1" x14ac:dyDescent="0.3">
      <c r="L2060" s="6" t="s">
        <v>185</v>
      </c>
      <c r="M2060" s="6" t="s">
        <v>327</v>
      </c>
      <c r="N2060" s="6" t="s">
        <v>160</v>
      </c>
      <c r="O2060" s="6" t="s">
        <v>161</v>
      </c>
      <c r="P2060" s="25" t="s">
        <v>169</v>
      </c>
    </row>
    <row r="2061" spans="12:16" ht="15.75" customHeight="1" x14ac:dyDescent="0.3">
      <c r="L2061" s="6" t="s">
        <v>185</v>
      </c>
      <c r="M2061" s="6" t="s">
        <v>327</v>
      </c>
      <c r="N2061" s="6" t="s">
        <v>162</v>
      </c>
      <c r="O2061" s="6" t="s">
        <v>163</v>
      </c>
      <c r="P2061" s="19">
        <v>1</v>
      </c>
    </row>
    <row r="2062" spans="12:16" ht="15.75" customHeight="1" x14ac:dyDescent="0.3">
      <c r="L2062" s="6" t="s">
        <v>185</v>
      </c>
      <c r="M2062" s="6" t="s">
        <v>327</v>
      </c>
      <c r="N2062" s="6" t="s">
        <v>165</v>
      </c>
      <c r="O2062" s="6" t="s">
        <v>166</v>
      </c>
      <c r="P2062" s="19">
        <v>0</v>
      </c>
    </row>
    <row r="2063" spans="12:16" ht="15.75" customHeight="1" x14ac:dyDescent="0.3">
      <c r="L2063" s="6" t="s">
        <v>185</v>
      </c>
      <c r="M2063" s="6" t="s">
        <v>330</v>
      </c>
      <c r="N2063" s="6" t="s">
        <v>72</v>
      </c>
      <c r="O2063" s="6" t="s">
        <v>75</v>
      </c>
      <c r="P2063" s="19">
        <v>0</v>
      </c>
    </row>
    <row r="2064" spans="12:16" ht="15.75" customHeight="1" x14ac:dyDescent="0.3">
      <c r="L2064" s="6" t="s">
        <v>185</v>
      </c>
      <c r="M2064" s="6" t="s">
        <v>330</v>
      </c>
      <c r="N2064" s="6" t="s">
        <v>83</v>
      </c>
      <c r="O2064" s="6" t="s">
        <v>84</v>
      </c>
      <c r="P2064" s="19">
        <v>0</v>
      </c>
    </row>
    <row r="2065" spans="12:16" ht="15.75" customHeight="1" x14ac:dyDescent="0.3">
      <c r="L2065" s="6" t="s">
        <v>185</v>
      </c>
      <c r="M2065" s="6" t="s">
        <v>330</v>
      </c>
      <c r="N2065" s="6" t="s">
        <v>88</v>
      </c>
      <c r="O2065" s="6" t="s">
        <v>90</v>
      </c>
      <c r="P2065" s="19">
        <v>0</v>
      </c>
    </row>
    <row r="2066" spans="12:16" ht="15.75" customHeight="1" x14ac:dyDescent="0.3">
      <c r="L2066" s="6" t="s">
        <v>185</v>
      </c>
      <c r="M2066" s="6" t="s">
        <v>330</v>
      </c>
      <c r="N2066" s="6" t="s">
        <v>96</v>
      </c>
      <c r="O2066" s="6" t="s">
        <v>97</v>
      </c>
      <c r="P2066" s="19">
        <v>0</v>
      </c>
    </row>
    <row r="2067" spans="12:16" ht="15.75" customHeight="1" x14ac:dyDescent="0.3">
      <c r="L2067" s="6" t="s">
        <v>185</v>
      </c>
      <c r="M2067" s="6" t="s">
        <v>330</v>
      </c>
      <c r="N2067" s="6" t="s">
        <v>100</v>
      </c>
      <c r="O2067" s="6" t="s">
        <v>101</v>
      </c>
      <c r="P2067" s="19">
        <v>0</v>
      </c>
    </row>
    <row r="2068" spans="12:16" ht="15.75" customHeight="1" x14ac:dyDescent="0.3">
      <c r="L2068" s="6" t="s">
        <v>185</v>
      </c>
      <c r="M2068" s="6" t="s">
        <v>330</v>
      </c>
      <c r="N2068" s="6" t="s">
        <v>22</v>
      </c>
      <c r="O2068" s="6" t="s">
        <v>104</v>
      </c>
      <c r="P2068" s="19">
        <v>0</v>
      </c>
    </row>
    <row r="2069" spans="12:16" ht="15.75" customHeight="1" x14ac:dyDescent="0.3">
      <c r="L2069" s="6" t="s">
        <v>185</v>
      </c>
      <c r="M2069" s="6" t="s">
        <v>330</v>
      </c>
      <c r="N2069" s="6" t="s">
        <v>23</v>
      </c>
      <c r="O2069" s="6" t="s">
        <v>107</v>
      </c>
      <c r="P2069" s="25" t="s">
        <v>222</v>
      </c>
    </row>
    <row r="2070" spans="12:16" ht="15.75" customHeight="1" x14ac:dyDescent="0.3">
      <c r="L2070" s="6" t="s">
        <v>185</v>
      </c>
      <c r="M2070" s="6" t="s">
        <v>330</v>
      </c>
      <c r="N2070" s="6" t="s">
        <v>24</v>
      </c>
      <c r="O2070" s="6" t="s">
        <v>109</v>
      </c>
      <c r="P2070" s="25" t="s">
        <v>222</v>
      </c>
    </row>
    <row r="2071" spans="12:16" ht="15.75" customHeight="1" x14ac:dyDescent="0.3">
      <c r="L2071" s="6" t="s">
        <v>185</v>
      </c>
      <c r="M2071" s="6" t="s">
        <v>330</v>
      </c>
      <c r="N2071" s="6" t="s">
        <v>25</v>
      </c>
      <c r="O2071" s="6" t="s">
        <v>111</v>
      </c>
      <c r="P2071" s="19">
        <v>0</v>
      </c>
    </row>
    <row r="2072" spans="12:16" ht="15.75" customHeight="1" x14ac:dyDescent="0.3">
      <c r="L2072" s="6" t="s">
        <v>185</v>
      </c>
      <c r="M2072" s="6" t="s">
        <v>330</v>
      </c>
      <c r="N2072" s="6" t="s">
        <v>26</v>
      </c>
      <c r="O2072" s="6" t="s">
        <v>113</v>
      </c>
      <c r="P2072" s="19">
        <v>0</v>
      </c>
    </row>
    <row r="2073" spans="12:16" ht="15.75" customHeight="1" x14ac:dyDescent="0.3">
      <c r="L2073" s="6" t="s">
        <v>185</v>
      </c>
      <c r="M2073" s="6" t="s">
        <v>330</v>
      </c>
      <c r="N2073" s="6" t="s">
        <v>27</v>
      </c>
      <c r="O2073" s="6" t="s">
        <v>117</v>
      </c>
      <c r="P2073" s="25" t="s">
        <v>222</v>
      </c>
    </row>
    <row r="2074" spans="12:16" ht="15.75" customHeight="1" x14ac:dyDescent="0.3">
      <c r="L2074" s="6" t="s">
        <v>185</v>
      </c>
      <c r="M2074" s="6" t="s">
        <v>330</v>
      </c>
      <c r="N2074" s="6" t="s">
        <v>29</v>
      </c>
      <c r="O2074" s="6" t="s">
        <v>125</v>
      </c>
      <c r="P2074" s="19">
        <v>0</v>
      </c>
    </row>
    <row r="2075" spans="12:16" ht="15.75" customHeight="1" x14ac:dyDescent="0.3">
      <c r="L2075" s="6" t="s">
        <v>185</v>
      </c>
      <c r="M2075" s="6" t="s">
        <v>330</v>
      </c>
      <c r="N2075" s="6" t="s">
        <v>135</v>
      </c>
      <c r="O2075" s="6" t="s">
        <v>136</v>
      </c>
      <c r="P2075" s="19">
        <v>0</v>
      </c>
    </row>
    <row r="2076" spans="12:16" ht="15.75" customHeight="1" x14ac:dyDescent="0.3">
      <c r="L2076" s="6" t="s">
        <v>185</v>
      </c>
      <c r="M2076" s="6" t="s">
        <v>330</v>
      </c>
      <c r="N2076" s="6" t="s">
        <v>138</v>
      </c>
      <c r="O2076" s="6" t="s">
        <v>139</v>
      </c>
      <c r="P2076" s="19">
        <v>1</v>
      </c>
    </row>
    <row r="2077" spans="12:16" ht="15.75" customHeight="1" x14ac:dyDescent="0.3">
      <c r="L2077" s="6" t="s">
        <v>185</v>
      </c>
      <c r="M2077" s="6" t="s">
        <v>330</v>
      </c>
      <c r="N2077" s="6" t="s">
        <v>30</v>
      </c>
      <c r="O2077" s="6" t="s">
        <v>148</v>
      </c>
      <c r="P2077" s="19">
        <v>0</v>
      </c>
    </row>
    <row r="2078" spans="12:16" ht="15.75" customHeight="1" x14ac:dyDescent="0.3">
      <c r="L2078" s="6" t="s">
        <v>185</v>
      </c>
      <c r="M2078" s="6" t="s">
        <v>330</v>
      </c>
      <c r="N2078" s="6" t="s">
        <v>156</v>
      </c>
      <c r="O2078" s="6" t="s">
        <v>157</v>
      </c>
      <c r="P2078" s="25" t="s">
        <v>169</v>
      </c>
    </row>
    <row r="2079" spans="12:16" ht="15.75" customHeight="1" x14ac:dyDescent="0.3">
      <c r="L2079" s="6" t="s">
        <v>185</v>
      </c>
      <c r="M2079" s="6" t="s">
        <v>330</v>
      </c>
      <c r="N2079" s="6" t="s">
        <v>158</v>
      </c>
      <c r="O2079" s="6" t="s">
        <v>159</v>
      </c>
      <c r="P2079" s="19">
        <v>1</v>
      </c>
    </row>
    <row r="2080" spans="12:16" ht="15.75" customHeight="1" x14ac:dyDescent="0.3">
      <c r="L2080" s="6" t="s">
        <v>185</v>
      </c>
      <c r="M2080" s="6" t="s">
        <v>330</v>
      </c>
      <c r="N2080" s="6" t="s">
        <v>160</v>
      </c>
      <c r="O2080" s="6" t="s">
        <v>161</v>
      </c>
      <c r="P2080" s="25" t="s">
        <v>169</v>
      </c>
    </row>
    <row r="2081" spans="12:16" ht="15.75" customHeight="1" x14ac:dyDescent="0.3">
      <c r="L2081" s="6" t="s">
        <v>185</v>
      </c>
      <c r="M2081" s="6" t="s">
        <v>330</v>
      </c>
      <c r="N2081" s="6" t="s">
        <v>162</v>
      </c>
      <c r="O2081" s="6" t="s">
        <v>163</v>
      </c>
      <c r="P2081" s="19">
        <v>1</v>
      </c>
    </row>
    <row r="2082" spans="12:16" ht="15.75" customHeight="1" x14ac:dyDescent="0.3">
      <c r="L2082" s="6" t="s">
        <v>185</v>
      </c>
      <c r="M2082" s="6" t="s">
        <v>330</v>
      </c>
      <c r="N2082" s="6" t="s">
        <v>165</v>
      </c>
      <c r="O2082" s="6" t="s">
        <v>166</v>
      </c>
      <c r="P2082" s="19">
        <v>0</v>
      </c>
    </row>
    <row r="2083" spans="12:16" ht="15.75" customHeight="1" x14ac:dyDescent="0.3">
      <c r="L2083" s="6" t="s">
        <v>185</v>
      </c>
      <c r="M2083" s="6" t="s">
        <v>334</v>
      </c>
      <c r="N2083" s="6" t="s">
        <v>72</v>
      </c>
      <c r="O2083" s="6" t="s">
        <v>75</v>
      </c>
      <c r="P2083" s="19">
        <v>0</v>
      </c>
    </row>
    <row r="2084" spans="12:16" ht="15.75" customHeight="1" x14ac:dyDescent="0.3">
      <c r="L2084" s="6" t="s">
        <v>185</v>
      </c>
      <c r="M2084" s="6" t="s">
        <v>334</v>
      </c>
      <c r="N2084" s="6" t="s">
        <v>83</v>
      </c>
      <c r="O2084" s="6" t="s">
        <v>84</v>
      </c>
      <c r="P2084" s="19">
        <v>0</v>
      </c>
    </row>
    <row r="2085" spans="12:16" ht="15.75" customHeight="1" x14ac:dyDescent="0.3">
      <c r="L2085" s="6" t="s">
        <v>185</v>
      </c>
      <c r="M2085" s="6" t="s">
        <v>334</v>
      </c>
      <c r="N2085" s="6" t="s">
        <v>88</v>
      </c>
      <c r="O2085" s="6" t="s">
        <v>90</v>
      </c>
      <c r="P2085" s="19">
        <v>0</v>
      </c>
    </row>
    <row r="2086" spans="12:16" ht="15.75" customHeight="1" x14ac:dyDescent="0.3">
      <c r="L2086" s="6" t="s">
        <v>185</v>
      </c>
      <c r="M2086" s="6" t="s">
        <v>334</v>
      </c>
      <c r="N2086" s="6" t="s">
        <v>96</v>
      </c>
      <c r="O2086" s="6" t="s">
        <v>97</v>
      </c>
      <c r="P2086" s="19">
        <v>0</v>
      </c>
    </row>
    <row r="2087" spans="12:16" ht="15.75" customHeight="1" x14ac:dyDescent="0.3">
      <c r="L2087" s="6" t="s">
        <v>185</v>
      </c>
      <c r="M2087" s="6" t="s">
        <v>334</v>
      </c>
      <c r="N2087" s="6" t="s">
        <v>100</v>
      </c>
      <c r="O2087" s="6" t="s">
        <v>101</v>
      </c>
      <c r="P2087" s="19">
        <v>0</v>
      </c>
    </row>
    <row r="2088" spans="12:16" ht="15.75" customHeight="1" x14ac:dyDescent="0.3">
      <c r="L2088" s="6" t="s">
        <v>185</v>
      </c>
      <c r="M2088" s="6" t="s">
        <v>334</v>
      </c>
      <c r="N2088" s="6" t="s">
        <v>22</v>
      </c>
      <c r="O2088" s="6" t="s">
        <v>104</v>
      </c>
      <c r="P2088" s="19">
        <v>0</v>
      </c>
    </row>
    <row r="2089" spans="12:16" ht="15.75" customHeight="1" x14ac:dyDescent="0.3">
      <c r="L2089" s="6" t="s">
        <v>185</v>
      </c>
      <c r="M2089" s="6" t="s">
        <v>334</v>
      </c>
      <c r="N2089" s="6" t="s">
        <v>23</v>
      </c>
      <c r="O2089" s="6" t="s">
        <v>107</v>
      </c>
      <c r="P2089" s="25" t="s">
        <v>222</v>
      </c>
    </row>
    <row r="2090" spans="12:16" ht="15.75" customHeight="1" x14ac:dyDescent="0.3">
      <c r="L2090" s="6" t="s">
        <v>185</v>
      </c>
      <c r="M2090" s="6" t="s">
        <v>334</v>
      </c>
      <c r="N2090" s="6" t="s">
        <v>24</v>
      </c>
      <c r="O2090" s="6" t="s">
        <v>109</v>
      </c>
      <c r="P2090" s="25" t="s">
        <v>222</v>
      </c>
    </row>
    <row r="2091" spans="12:16" ht="15.75" customHeight="1" x14ac:dyDescent="0.3">
      <c r="L2091" s="6" t="s">
        <v>185</v>
      </c>
      <c r="M2091" s="6" t="s">
        <v>334</v>
      </c>
      <c r="N2091" s="6" t="s">
        <v>25</v>
      </c>
      <c r="O2091" s="6" t="s">
        <v>111</v>
      </c>
      <c r="P2091" s="19">
        <v>0</v>
      </c>
    </row>
    <row r="2092" spans="12:16" ht="15.75" customHeight="1" x14ac:dyDescent="0.3">
      <c r="L2092" s="6" t="s">
        <v>185</v>
      </c>
      <c r="M2092" s="6" t="s">
        <v>334</v>
      </c>
      <c r="N2092" s="6" t="s">
        <v>26</v>
      </c>
      <c r="O2092" s="6" t="s">
        <v>113</v>
      </c>
      <c r="P2092" s="19">
        <v>0</v>
      </c>
    </row>
    <row r="2093" spans="12:16" ht="15.75" customHeight="1" x14ac:dyDescent="0.3">
      <c r="L2093" s="6" t="s">
        <v>185</v>
      </c>
      <c r="M2093" s="6" t="s">
        <v>334</v>
      </c>
      <c r="N2093" s="6" t="s">
        <v>27</v>
      </c>
      <c r="O2093" s="6" t="s">
        <v>117</v>
      </c>
      <c r="P2093" s="25" t="s">
        <v>222</v>
      </c>
    </row>
    <row r="2094" spans="12:16" ht="15.75" customHeight="1" x14ac:dyDescent="0.3">
      <c r="L2094" s="6" t="s">
        <v>185</v>
      </c>
      <c r="M2094" s="6" t="s">
        <v>334</v>
      </c>
      <c r="N2094" s="6" t="s">
        <v>29</v>
      </c>
      <c r="O2094" s="6" t="s">
        <v>125</v>
      </c>
      <c r="P2094" s="19">
        <v>0</v>
      </c>
    </row>
    <row r="2095" spans="12:16" ht="15.75" customHeight="1" x14ac:dyDescent="0.3">
      <c r="L2095" s="6" t="s">
        <v>185</v>
      </c>
      <c r="M2095" s="6" t="s">
        <v>334</v>
      </c>
      <c r="N2095" s="6" t="s">
        <v>135</v>
      </c>
      <c r="O2095" s="6" t="s">
        <v>136</v>
      </c>
      <c r="P2095" s="19">
        <v>0</v>
      </c>
    </row>
    <row r="2096" spans="12:16" ht="15.75" customHeight="1" x14ac:dyDescent="0.3">
      <c r="L2096" s="6" t="s">
        <v>185</v>
      </c>
      <c r="M2096" s="6" t="s">
        <v>334</v>
      </c>
      <c r="N2096" s="6" t="s">
        <v>138</v>
      </c>
      <c r="O2096" s="6" t="s">
        <v>139</v>
      </c>
      <c r="P2096" s="19">
        <v>1</v>
      </c>
    </row>
    <row r="2097" spans="12:16" ht="15.75" customHeight="1" x14ac:dyDescent="0.3">
      <c r="L2097" s="6" t="s">
        <v>185</v>
      </c>
      <c r="M2097" s="6" t="s">
        <v>334</v>
      </c>
      <c r="N2097" s="6" t="s">
        <v>30</v>
      </c>
      <c r="O2097" s="6" t="s">
        <v>148</v>
      </c>
      <c r="P2097" s="19">
        <v>0</v>
      </c>
    </row>
    <row r="2098" spans="12:16" ht="15.75" customHeight="1" x14ac:dyDescent="0.3">
      <c r="L2098" s="6" t="s">
        <v>185</v>
      </c>
      <c r="M2098" s="6" t="s">
        <v>334</v>
      </c>
      <c r="N2098" s="6" t="s">
        <v>156</v>
      </c>
      <c r="O2098" s="6" t="s">
        <v>157</v>
      </c>
      <c r="P2098" s="25" t="s">
        <v>169</v>
      </c>
    </row>
    <row r="2099" spans="12:16" ht="15.75" customHeight="1" x14ac:dyDescent="0.3">
      <c r="L2099" s="6" t="s">
        <v>185</v>
      </c>
      <c r="M2099" s="6" t="s">
        <v>334</v>
      </c>
      <c r="N2099" s="6" t="s">
        <v>158</v>
      </c>
      <c r="O2099" s="6" t="s">
        <v>159</v>
      </c>
      <c r="P2099" s="19">
        <v>1</v>
      </c>
    </row>
    <row r="2100" spans="12:16" ht="15.75" customHeight="1" x14ac:dyDescent="0.3">
      <c r="L2100" s="6" t="s">
        <v>185</v>
      </c>
      <c r="M2100" s="6" t="s">
        <v>334</v>
      </c>
      <c r="N2100" s="6" t="s">
        <v>160</v>
      </c>
      <c r="O2100" s="6" t="s">
        <v>161</v>
      </c>
      <c r="P2100" s="25" t="s">
        <v>169</v>
      </c>
    </row>
    <row r="2101" spans="12:16" ht="15.75" customHeight="1" x14ac:dyDescent="0.3">
      <c r="L2101" s="6" t="s">
        <v>185</v>
      </c>
      <c r="M2101" s="6" t="s">
        <v>334</v>
      </c>
      <c r="N2101" s="6" t="s">
        <v>162</v>
      </c>
      <c r="O2101" s="6" t="s">
        <v>163</v>
      </c>
      <c r="P2101" s="19">
        <v>1</v>
      </c>
    </row>
    <row r="2102" spans="12:16" ht="15.75" customHeight="1" x14ac:dyDescent="0.3">
      <c r="L2102" s="6" t="s">
        <v>185</v>
      </c>
      <c r="M2102" s="6" t="s">
        <v>334</v>
      </c>
      <c r="N2102" s="6" t="s">
        <v>165</v>
      </c>
      <c r="O2102" s="6" t="s">
        <v>166</v>
      </c>
      <c r="P2102" s="19">
        <v>0</v>
      </c>
    </row>
    <row r="2103" spans="12:16" ht="15.75" customHeight="1" x14ac:dyDescent="0.3">
      <c r="L2103" s="6" t="s">
        <v>185</v>
      </c>
      <c r="M2103" s="6" t="s">
        <v>336</v>
      </c>
      <c r="N2103" s="6" t="s">
        <v>72</v>
      </c>
      <c r="O2103" s="6" t="s">
        <v>75</v>
      </c>
      <c r="P2103" s="19">
        <v>0</v>
      </c>
    </row>
    <row r="2104" spans="12:16" ht="15.75" customHeight="1" x14ac:dyDescent="0.3">
      <c r="L2104" s="6" t="s">
        <v>185</v>
      </c>
      <c r="M2104" s="6" t="s">
        <v>336</v>
      </c>
      <c r="N2104" s="6" t="s">
        <v>83</v>
      </c>
      <c r="O2104" s="6" t="s">
        <v>84</v>
      </c>
      <c r="P2104" s="19">
        <v>0</v>
      </c>
    </row>
    <row r="2105" spans="12:16" ht="15.75" customHeight="1" x14ac:dyDescent="0.3">
      <c r="L2105" s="6" t="s">
        <v>185</v>
      </c>
      <c r="M2105" s="6" t="s">
        <v>336</v>
      </c>
      <c r="N2105" s="6" t="s">
        <v>88</v>
      </c>
      <c r="O2105" s="6" t="s">
        <v>90</v>
      </c>
      <c r="P2105" s="19">
        <v>0</v>
      </c>
    </row>
    <row r="2106" spans="12:16" ht="15.75" customHeight="1" x14ac:dyDescent="0.3">
      <c r="L2106" s="6" t="s">
        <v>185</v>
      </c>
      <c r="M2106" s="6" t="s">
        <v>336</v>
      </c>
      <c r="N2106" s="6" t="s">
        <v>96</v>
      </c>
      <c r="O2106" s="6" t="s">
        <v>97</v>
      </c>
      <c r="P2106" s="19">
        <v>0</v>
      </c>
    </row>
    <row r="2107" spans="12:16" ht="15.75" customHeight="1" x14ac:dyDescent="0.3">
      <c r="L2107" s="6" t="s">
        <v>185</v>
      </c>
      <c r="M2107" s="6" t="s">
        <v>336</v>
      </c>
      <c r="N2107" s="6" t="s">
        <v>100</v>
      </c>
      <c r="O2107" s="6" t="s">
        <v>101</v>
      </c>
      <c r="P2107" s="19">
        <v>0</v>
      </c>
    </row>
    <row r="2108" spans="12:16" ht="15.75" customHeight="1" x14ac:dyDescent="0.3">
      <c r="L2108" s="6" t="s">
        <v>185</v>
      </c>
      <c r="M2108" s="6" t="s">
        <v>336</v>
      </c>
      <c r="N2108" s="6" t="s">
        <v>22</v>
      </c>
      <c r="O2108" s="6" t="s">
        <v>104</v>
      </c>
      <c r="P2108" s="19">
        <v>0</v>
      </c>
    </row>
    <row r="2109" spans="12:16" ht="15.75" customHeight="1" x14ac:dyDescent="0.3">
      <c r="L2109" s="6" t="s">
        <v>185</v>
      </c>
      <c r="M2109" s="6" t="s">
        <v>336</v>
      </c>
      <c r="N2109" s="6" t="s">
        <v>23</v>
      </c>
      <c r="O2109" s="6" t="s">
        <v>107</v>
      </c>
      <c r="P2109" s="19">
        <v>0</v>
      </c>
    </row>
    <row r="2110" spans="12:16" ht="15.75" customHeight="1" x14ac:dyDescent="0.3">
      <c r="L2110" s="6" t="s">
        <v>185</v>
      </c>
      <c r="M2110" s="6" t="s">
        <v>336</v>
      </c>
      <c r="N2110" s="6" t="s">
        <v>24</v>
      </c>
      <c r="O2110" s="6" t="s">
        <v>109</v>
      </c>
      <c r="P2110" s="19">
        <v>0</v>
      </c>
    </row>
    <row r="2111" spans="12:16" ht="15.75" customHeight="1" x14ac:dyDescent="0.3">
      <c r="L2111" s="6" t="s">
        <v>185</v>
      </c>
      <c r="M2111" s="6" t="s">
        <v>336</v>
      </c>
      <c r="N2111" s="6" t="s">
        <v>25</v>
      </c>
      <c r="O2111" s="6" t="s">
        <v>111</v>
      </c>
      <c r="P2111" s="19">
        <v>1</v>
      </c>
    </row>
    <row r="2112" spans="12:16" ht="15.75" customHeight="1" x14ac:dyDescent="0.3">
      <c r="L2112" s="6" t="s">
        <v>185</v>
      </c>
      <c r="M2112" s="6" t="s">
        <v>336</v>
      </c>
      <c r="N2112" s="6" t="s">
        <v>26</v>
      </c>
      <c r="O2112" s="6" t="s">
        <v>113</v>
      </c>
      <c r="P2112" s="19">
        <v>1</v>
      </c>
    </row>
    <row r="2113" spans="12:16" ht="15.75" customHeight="1" x14ac:dyDescent="0.3">
      <c r="L2113" s="6" t="s">
        <v>185</v>
      </c>
      <c r="M2113" s="6" t="s">
        <v>336</v>
      </c>
      <c r="N2113" s="6" t="s">
        <v>27</v>
      </c>
      <c r="O2113" s="6" t="s">
        <v>117</v>
      </c>
      <c r="P2113" s="19">
        <v>0</v>
      </c>
    </row>
    <row r="2114" spans="12:16" ht="15.75" customHeight="1" x14ac:dyDescent="0.3">
      <c r="L2114" s="6" t="s">
        <v>185</v>
      </c>
      <c r="M2114" s="6" t="s">
        <v>336</v>
      </c>
      <c r="N2114" s="6" t="s">
        <v>29</v>
      </c>
      <c r="O2114" s="6" t="s">
        <v>125</v>
      </c>
      <c r="P2114" s="19">
        <v>0</v>
      </c>
    </row>
    <row r="2115" spans="12:16" ht="15.75" customHeight="1" x14ac:dyDescent="0.3">
      <c r="L2115" s="6" t="s">
        <v>185</v>
      </c>
      <c r="M2115" s="6" t="s">
        <v>336</v>
      </c>
      <c r="N2115" s="6" t="s">
        <v>135</v>
      </c>
      <c r="O2115" s="6" t="s">
        <v>136</v>
      </c>
      <c r="P2115" s="19">
        <v>0</v>
      </c>
    </row>
    <row r="2116" spans="12:16" ht="15.75" customHeight="1" x14ac:dyDescent="0.3">
      <c r="L2116" s="6" t="s">
        <v>185</v>
      </c>
      <c r="M2116" s="6" t="s">
        <v>336</v>
      </c>
      <c r="N2116" s="6" t="s">
        <v>138</v>
      </c>
      <c r="O2116" s="6" t="s">
        <v>139</v>
      </c>
      <c r="P2116" s="19">
        <v>1</v>
      </c>
    </row>
    <row r="2117" spans="12:16" ht="15.75" customHeight="1" x14ac:dyDescent="0.3">
      <c r="L2117" s="6" t="s">
        <v>185</v>
      </c>
      <c r="M2117" s="6" t="s">
        <v>336</v>
      </c>
      <c r="N2117" s="6" t="s">
        <v>30</v>
      </c>
      <c r="O2117" s="6" t="s">
        <v>148</v>
      </c>
      <c r="P2117" s="19">
        <v>0</v>
      </c>
    </row>
    <row r="2118" spans="12:16" ht="15.75" customHeight="1" x14ac:dyDescent="0.3">
      <c r="L2118" s="6" t="s">
        <v>185</v>
      </c>
      <c r="M2118" s="6" t="s">
        <v>336</v>
      </c>
      <c r="N2118" s="6" t="s">
        <v>156</v>
      </c>
      <c r="O2118" s="6" t="s">
        <v>157</v>
      </c>
      <c r="P2118" s="25" t="s">
        <v>169</v>
      </c>
    </row>
    <row r="2119" spans="12:16" ht="15.75" customHeight="1" x14ac:dyDescent="0.3">
      <c r="L2119" s="6" t="s">
        <v>185</v>
      </c>
      <c r="M2119" s="6" t="s">
        <v>336</v>
      </c>
      <c r="N2119" s="6" t="s">
        <v>158</v>
      </c>
      <c r="O2119" s="6" t="s">
        <v>159</v>
      </c>
      <c r="P2119" s="19">
        <v>1</v>
      </c>
    </row>
    <row r="2120" spans="12:16" ht="15.75" customHeight="1" x14ac:dyDescent="0.3">
      <c r="L2120" s="6" t="s">
        <v>185</v>
      </c>
      <c r="M2120" s="6" t="s">
        <v>336</v>
      </c>
      <c r="N2120" s="6" t="s">
        <v>160</v>
      </c>
      <c r="O2120" s="6" t="s">
        <v>161</v>
      </c>
      <c r="P2120" s="25" t="s">
        <v>169</v>
      </c>
    </row>
    <row r="2121" spans="12:16" ht="15.75" customHeight="1" x14ac:dyDescent="0.3">
      <c r="L2121" s="6" t="s">
        <v>185</v>
      </c>
      <c r="M2121" s="6" t="s">
        <v>336</v>
      </c>
      <c r="N2121" s="6" t="s">
        <v>162</v>
      </c>
      <c r="O2121" s="6" t="s">
        <v>163</v>
      </c>
      <c r="P2121" s="19">
        <v>1</v>
      </c>
    </row>
    <row r="2122" spans="12:16" ht="15.75" customHeight="1" x14ac:dyDescent="0.3">
      <c r="L2122" s="6" t="s">
        <v>185</v>
      </c>
      <c r="M2122" s="6" t="s">
        <v>336</v>
      </c>
      <c r="N2122" s="6" t="s">
        <v>165</v>
      </c>
      <c r="O2122" s="6" t="s">
        <v>166</v>
      </c>
      <c r="P2122" s="19">
        <v>0</v>
      </c>
    </row>
    <row r="2123" spans="12:16" ht="15.75" customHeight="1" x14ac:dyDescent="0.3">
      <c r="L2123" s="6" t="s">
        <v>185</v>
      </c>
      <c r="M2123" s="6" t="s">
        <v>341</v>
      </c>
      <c r="N2123" s="6" t="s">
        <v>72</v>
      </c>
      <c r="O2123" s="6" t="s">
        <v>75</v>
      </c>
      <c r="P2123" s="19">
        <v>0</v>
      </c>
    </row>
    <row r="2124" spans="12:16" ht="15.75" customHeight="1" x14ac:dyDescent="0.3">
      <c r="L2124" s="6" t="s">
        <v>185</v>
      </c>
      <c r="M2124" s="6" t="s">
        <v>341</v>
      </c>
      <c r="N2124" s="6" t="s">
        <v>83</v>
      </c>
      <c r="O2124" s="6" t="s">
        <v>84</v>
      </c>
      <c r="P2124" s="19">
        <v>0</v>
      </c>
    </row>
    <row r="2125" spans="12:16" ht="15.75" customHeight="1" x14ac:dyDescent="0.3">
      <c r="L2125" s="6" t="s">
        <v>185</v>
      </c>
      <c r="M2125" s="6" t="s">
        <v>341</v>
      </c>
      <c r="N2125" s="6" t="s">
        <v>88</v>
      </c>
      <c r="O2125" s="6" t="s">
        <v>90</v>
      </c>
      <c r="P2125" s="19">
        <v>0</v>
      </c>
    </row>
    <row r="2126" spans="12:16" ht="15.75" customHeight="1" x14ac:dyDescent="0.3">
      <c r="L2126" s="6" t="s">
        <v>185</v>
      </c>
      <c r="M2126" s="6" t="s">
        <v>341</v>
      </c>
      <c r="N2126" s="6" t="s">
        <v>96</v>
      </c>
      <c r="O2126" s="6" t="s">
        <v>97</v>
      </c>
      <c r="P2126" s="19">
        <v>0</v>
      </c>
    </row>
    <row r="2127" spans="12:16" ht="15.75" customHeight="1" x14ac:dyDescent="0.3">
      <c r="L2127" s="6" t="s">
        <v>185</v>
      </c>
      <c r="M2127" s="6" t="s">
        <v>341</v>
      </c>
      <c r="N2127" s="6" t="s">
        <v>100</v>
      </c>
      <c r="O2127" s="6" t="s">
        <v>101</v>
      </c>
      <c r="P2127" s="19">
        <v>0</v>
      </c>
    </row>
    <row r="2128" spans="12:16" ht="15.75" customHeight="1" x14ac:dyDescent="0.3">
      <c r="L2128" s="6" t="s">
        <v>185</v>
      </c>
      <c r="M2128" s="6" t="s">
        <v>341</v>
      </c>
      <c r="N2128" s="6" t="s">
        <v>22</v>
      </c>
      <c r="O2128" s="6" t="s">
        <v>104</v>
      </c>
      <c r="P2128" s="19">
        <v>0</v>
      </c>
    </row>
    <row r="2129" spans="12:16" ht="15.75" customHeight="1" x14ac:dyDescent="0.3">
      <c r="L2129" s="6" t="s">
        <v>185</v>
      </c>
      <c r="M2129" s="6" t="s">
        <v>341</v>
      </c>
      <c r="N2129" s="6" t="s">
        <v>23</v>
      </c>
      <c r="O2129" s="6" t="s">
        <v>107</v>
      </c>
      <c r="P2129" s="19">
        <v>0</v>
      </c>
    </row>
    <row r="2130" spans="12:16" ht="15.75" customHeight="1" x14ac:dyDescent="0.3">
      <c r="L2130" s="6" t="s">
        <v>185</v>
      </c>
      <c r="M2130" s="6" t="s">
        <v>341</v>
      </c>
      <c r="N2130" s="6" t="s">
        <v>24</v>
      </c>
      <c r="O2130" s="6" t="s">
        <v>109</v>
      </c>
      <c r="P2130" s="19">
        <v>0</v>
      </c>
    </row>
    <row r="2131" spans="12:16" ht="15.75" customHeight="1" x14ac:dyDescent="0.3">
      <c r="L2131" s="6" t="s">
        <v>185</v>
      </c>
      <c r="M2131" s="6" t="s">
        <v>341</v>
      </c>
      <c r="N2131" s="6" t="s">
        <v>25</v>
      </c>
      <c r="O2131" s="6" t="s">
        <v>111</v>
      </c>
      <c r="P2131" s="19">
        <v>1</v>
      </c>
    </row>
    <row r="2132" spans="12:16" ht="15.75" customHeight="1" x14ac:dyDescent="0.3">
      <c r="L2132" s="6" t="s">
        <v>185</v>
      </c>
      <c r="M2132" s="6" t="s">
        <v>341</v>
      </c>
      <c r="N2132" s="6" t="s">
        <v>26</v>
      </c>
      <c r="O2132" s="6" t="s">
        <v>113</v>
      </c>
      <c r="P2132" s="19">
        <v>1</v>
      </c>
    </row>
    <row r="2133" spans="12:16" ht="15.75" customHeight="1" x14ac:dyDescent="0.3">
      <c r="L2133" s="6" t="s">
        <v>185</v>
      </c>
      <c r="M2133" s="6" t="s">
        <v>341</v>
      </c>
      <c r="N2133" s="6" t="s">
        <v>27</v>
      </c>
      <c r="O2133" s="6" t="s">
        <v>117</v>
      </c>
      <c r="P2133" s="19">
        <v>0</v>
      </c>
    </row>
    <row r="2134" spans="12:16" ht="15.75" customHeight="1" x14ac:dyDescent="0.3">
      <c r="L2134" s="6" t="s">
        <v>185</v>
      </c>
      <c r="M2134" s="6" t="s">
        <v>341</v>
      </c>
      <c r="N2134" s="6" t="s">
        <v>29</v>
      </c>
      <c r="O2134" s="6" t="s">
        <v>125</v>
      </c>
      <c r="P2134" s="19">
        <v>0</v>
      </c>
    </row>
    <row r="2135" spans="12:16" ht="15.75" customHeight="1" x14ac:dyDescent="0.3">
      <c r="L2135" s="6" t="s">
        <v>185</v>
      </c>
      <c r="M2135" s="6" t="s">
        <v>341</v>
      </c>
      <c r="N2135" s="6" t="s">
        <v>135</v>
      </c>
      <c r="O2135" s="6" t="s">
        <v>136</v>
      </c>
      <c r="P2135" s="19">
        <v>0</v>
      </c>
    </row>
    <row r="2136" spans="12:16" ht="15.75" customHeight="1" x14ac:dyDescent="0.3">
      <c r="L2136" s="6" t="s">
        <v>185</v>
      </c>
      <c r="M2136" s="6" t="s">
        <v>341</v>
      </c>
      <c r="N2136" s="6" t="s">
        <v>138</v>
      </c>
      <c r="O2136" s="6" t="s">
        <v>139</v>
      </c>
      <c r="P2136" s="19">
        <v>1</v>
      </c>
    </row>
    <row r="2137" spans="12:16" ht="15.75" customHeight="1" x14ac:dyDescent="0.3">
      <c r="L2137" s="6" t="s">
        <v>185</v>
      </c>
      <c r="M2137" s="6" t="s">
        <v>341</v>
      </c>
      <c r="N2137" s="6" t="s">
        <v>30</v>
      </c>
      <c r="O2137" s="6" t="s">
        <v>148</v>
      </c>
      <c r="P2137" s="19">
        <v>0</v>
      </c>
    </row>
    <row r="2138" spans="12:16" ht="15.75" customHeight="1" x14ac:dyDescent="0.3">
      <c r="L2138" s="6" t="s">
        <v>185</v>
      </c>
      <c r="M2138" s="6" t="s">
        <v>341</v>
      </c>
      <c r="N2138" s="6" t="s">
        <v>156</v>
      </c>
      <c r="O2138" s="6" t="s">
        <v>157</v>
      </c>
      <c r="P2138" s="25" t="s">
        <v>169</v>
      </c>
    </row>
    <row r="2139" spans="12:16" ht="15.75" customHeight="1" x14ac:dyDescent="0.3">
      <c r="L2139" s="6" t="s">
        <v>185</v>
      </c>
      <c r="M2139" s="6" t="s">
        <v>341</v>
      </c>
      <c r="N2139" s="6" t="s">
        <v>158</v>
      </c>
      <c r="O2139" s="6" t="s">
        <v>159</v>
      </c>
      <c r="P2139" s="19">
        <v>1</v>
      </c>
    </row>
    <row r="2140" spans="12:16" ht="15.75" customHeight="1" x14ac:dyDescent="0.3">
      <c r="L2140" s="6" t="s">
        <v>185</v>
      </c>
      <c r="M2140" s="6" t="s">
        <v>341</v>
      </c>
      <c r="N2140" s="6" t="s">
        <v>160</v>
      </c>
      <c r="O2140" s="6" t="s">
        <v>161</v>
      </c>
      <c r="P2140" s="25" t="s">
        <v>169</v>
      </c>
    </row>
    <row r="2141" spans="12:16" ht="15.75" customHeight="1" x14ac:dyDescent="0.3">
      <c r="L2141" s="6" t="s">
        <v>185</v>
      </c>
      <c r="M2141" s="6" t="s">
        <v>341</v>
      </c>
      <c r="N2141" s="6" t="s">
        <v>162</v>
      </c>
      <c r="O2141" s="6" t="s">
        <v>163</v>
      </c>
      <c r="P2141" s="19">
        <v>1</v>
      </c>
    </row>
    <row r="2142" spans="12:16" ht="15.75" customHeight="1" x14ac:dyDescent="0.3">
      <c r="L2142" s="6" t="s">
        <v>185</v>
      </c>
      <c r="M2142" s="6" t="s">
        <v>341</v>
      </c>
      <c r="N2142" s="6" t="s">
        <v>165</v>
      </c>
      <c r="O2142" s="6" t="s">
        <v>166</v>
      </c>
      <c r="P2142" s="19">
        <v>0</v>
      </c>
    </row>
    <row r="2143" spans="12:16" ht="15.75" customHeight="1" x14ac:dyDescent="0.3">
      <c r="L2143" s="6" t="s">
        <v>185</v>
      </c>
      <c r="M2143" s="6" t="s">
        <v>260</v>
      </c>
      <c r="N2143" s="6" t="s">
        <v>72</v>
      </c>
      <c r="O2143" s="6" t="s">
        <v>75</v>
      </c>
      <c r="P2143" s="19">
        <v>0</v>
      </c>
    </row>
    <row r="2144" spans="12:16" ht="15.75" customHeight="1" x14ac:dyDescent="0.3">
      <c r="L2144" s="6" t="s">
        <v>185</v>
      </c>
      <c r="M2144" s="6" t="s">
        <v>260</v>
      </c>
      <c r="N2144" s="6" t="s">
        <v>83</v>
      </c>
      <c r="O2144" s="6" t="s">
        <v>84</v>
      </c>
      <c r="P2144" s="19">
        <v>0</v>
      </c>
    </row>
    <row r="2145" spans="12:16" ht="15.75" customHeight="1" x14ac:dyDescent="0.3">
      <c r="L2145" s="6" t="s">
        <v>185</v>
      </c>
      <c r="M2145" s="6" t="s">
        <v>260</v>
      </c>
      <c r="N2145" s="6" t="s">
        <v>88</v>
      </c>
      <c r="O2145" s="6" t="s">
        <v>90</v>
      </c>
      <c r="P2145" s="19">
        <v>0</v>
      </c>
    </row>
    <row r="2146" spans="12:16" ht="15.75" customHeight="1" x14ac:dyDescent="0.3">
      <c r="L2146" s="6" t="s">
        <v>185</v>
      </c>
      <c r="M2146" s="6" t="s">
        <v>260</v>
      </c>
      <c r="N2146" s="6" t="s">
        <v>96</v>
      </c>
      <c r="O2146" s="6" t="s">
        <v>97</v>
      </c>
      <c r="P2146" s="19">
        <v>0</v>
      </c>
    </row>
    <row r="2147" spans="12:16" ht="15.75" customHeight="1" x14ac:dyDescent="0.3">
      <c r="L2147" s="6" t="s">
        <v>185</v>
      </c>
      <c r="M2147" s="6" t="s">
        <v>260</v>
      </c>
      <c r="N2147" s="6" t="s">
        <v>100</v>
      </c>
      <c r="O2147" s="6" t="s">
        <v>101</v>
      </c>
      <c r="P2147" s="19">
        <v>0</v>
      </c>
    </row>
    <row r="2148" spans="12:16" ht="15.75" customHeight="1" x14ac:dyDescent="0.3">
      <c r="L2148" s="6" t="s">
        <v>185</v>
      </c>
      <c r="M2148" s="6" t="s">
        <v>260</v>
      </c>
      <c r="N2148" s="6" t="s">
        <v>22</v>
      </c>
      <c r="O2148" s="6" t="s">
        <v>104</v>
      </c>
      <c r="P2148" s="19">
        <v>0</v>
      </c>
    </row>
    <row r="2149" spans="12:16" ht="15.75" customHeight="1" x14ac:dyDescent="0.3">
      <c r="L2149" s="6" t="s">
        <v>185</v>
      </c>
      <c r="M2149" s="6" t="s">
        <v>260</v>
      </c>
      <c r="N2149" s="6" t="s">
        <v>23</v>
      </c>
      <c r="O2149" s="6" t="s">
        <v>107</v>
      </c>
      <c r="P2149" s="19">
        <v>0</v>
      </c>
    </row>
    <row r="2150" spans="12:16" ht="15.75" customHeight="1" x14ac:dyDescent="0.3">
      <c r="L2150" s="6" t="s">
        <v>185</v>
      </c>
      <c r="M2150" s="6" t="s">
        <v>260</v>
      </c>
      <c r="N2150" s="6" t="s">
        <v>24</v>
      </c>
      <c r="O2150" s="6" t="s">
        <v>109</v>
      </c>
      <c r="P2150" s="19">
        <v>0</v>
      </c>
    </row>
    <row r="2151" spans="12:16" ht="15.75" customHeight="1" x14ac:dyDescent="0.3">
      <c r="L2151" s="6" t="s">
        <v>185</v>
      </c>
      <c r="M2151" s="6" t="s">
        <v>260</v>
      </c>
      <c r="N2151" s="6" t="s">
        <v>25</v>
      </c>
      <c r="O2151" s="6" t="s">
        <v>111</v>
      </c>
      <c r="P2151" s="19">
        <v>1</v>
      </c>
    </row>
    <row r="2152" spans="12:16" ht="15.75" customHeight="1" x14ac:dyDescent="0.3">
      <c r="L2152" s="6" t="s">
        <v>185</v>
      </c>
      <c r="M2152" s="6" t="s">
        <v>260</v>
      </c>
      <c r="N2152" s="6" t="s">
        <v>26</v>
      </c>
      <c r="O2152" s="6" t="s">
        <v>113</v>
      </c>
      <c r="P2152" s="19">
        <v>1</v>
      </c>
    </row>
    <row r="2153" spans="12:16" ht="15.75" customHeight="1" x14ac:dyDescent="0.3">
      <c r="L2153" s="6" t="s">
        <v>185</v>
      </c>
      <c r="M2153" s="6" t="s">
        <v>260</v>
      </c>
      <c r="N2153" s="6" t="s">
        <v>27</v>
      </c>
      <c r="O2153" s="6" t="s">
        <v>117</v>
      </c>
      <c r="P2153" s="19">
        <v>0</v>
      </c>
    </row>
    <row r="2154" spans="12:16" ht="15.75" customHeight="1" x14ac:dyDescent="0.3">
      <c r="L2154" s="6" t="s">
        <v>185</v>
      </c>
      <c r="M2154" s="6" t="s">
        <v>260</v>
      </c>
      <c r="N2154" s="6" t="s">
        <v>29</v>
      </c>
      <c r="O2154" s="6" t="s">
        <v>125</v>
      </c>
      <c r="P2154" s="19">
        <v>0</v>
      </c>
    </row>
    <row r="2155" spans="12:16" ht="15.75" customHeight="1" x14ac:dyDescent="0.3">
      <c r="L2155" s="6" t="s">
        <v>185</v>
      </c>
      <c r="M2155" s="6" t="s">
        <v>260</v>
      </c>
      <c r="N2155" s="6" t="s">
        <v>135</v>
      </c>
      <c r="O2155" s="6" t="s">
        <v>136</v>
      </c>
      <c r="P2155" s="19">
        <v>0</v>
      </c>
    </row>
    <row r="2156" spans="12:16" ht="15.75" customHeight="1" x14ac:dyDescent="0.3">
      <c r="L2156" s="6" t="s">
        <v>185</v>
      </c>
      <c r="M2156" s="6" t="s">
        <v>260</v>
      </c>
      <c r="N2156" s="6" t="s">
        <v>138</v>
      </c>
      <c r="O2156" s="6" t="s">
        <v>139</v>
      </c>
      <c r="P2156" s="19">
        <v>1</v>
      </c>
    </row>
    <row r="2157" spans="12:16" ht="15.75" customHeight="1" x14ac:dyDescent="0.3">
      <c r="L2157" s="6" t="s">
        <v>185</v>
      </c>
      <c r="M2157" s="6" t="s">
        <v>260</v>
      </c>
      <c r="N2157" s="6" t="s">
        <v>30</v>
      </c>
      <c r="O2157" s="6" t="s">
        <v>148</v>
      </c>
      <c r="P2157" s="19">
        <v>0</v>
      </c>
    </row>
    <row r="2158" spans="12:16" ht="15.75" customHeight="1" x14ac:dyDescent="0.3">
      <c r="L2158" s="6" t="s">
        <v>185</v>
      </c>
      <c r="M2158" s="6" t="s">
        <v>260</v>
      </c>
      <c r="N2158" s="6" t="s">
        <v>156</v>
      </c>
      <c r="O2158" s="6" t="s">
        <v>157</v>
      </c>
      <c r="P2158" s="25" t="s">
        <v>169</v>
      </c>
    </row>
    <row r="2159" spans="12:16" ht="15.75" customHeight="1" x14ac:dyDescent="0.3">
      <c r="L2159" s="6" t="s">
        <v>185</v>
      </c>
      <c r="M2159" s="6" t="s">
        <v>260</v>
      </c>
      <c r="N2159" s="6" t="s">
        <v>158</v>
      </c>
      <c r="O2159" s="6" t="s">
        <v>159</v>
      </c>
      <c r="P2159" s="19">
        <v>1</v>
      </c>
    </row>
    <row r="2160" spans="12:16" ht="15.75" customHeight="1" x14ac:dyDescent="0.3">
      <c r="L2160" s="6" t="s">
        <v>185</v>
      </c>
      <c r="M2160" s="6" t="s">
        <v>260</v>
      </c>
      <c r="N2160" s="6" t="s">
        <v>160</v>
      </c>
      <c r="O2160" s="6" t="s">
        <v>161</v>
      </c>
      <c r="P2160" s="25" t="s">
        <v>169</v>
      </c>
    </row>
    <row r="2161" spans="12:16" ht="15.75" customHeight="1" x14ac:dyDescent="0.3">
      <c r="L2161" s="6" t="s">
        <v>185</v>
      </c>
      <c r="M2161" s="6" t="s">
        <v>260</v>
      </c>
      <c r="N2161" s="6" t="s">
        <v>162</v>
      </c>
      <c r="O2161" s="6" t="s">
        <v>163</v>
      </c>
      <c r="P2161" s="19">
        <v>1</v>
      </c>
    </row>
    <row r="2162" spans="12:16" ht="15.75" customHeight="1" x14ac:dyDescent="0.3">
      <c r="L2162" s="6" t="s">
        <v>185</v>
      </c>
      <c r="M2162" s="6" t="s">
        <v>260</v>
      </c>
      <c r="N2162" s="6" t="s">
        <v>165</v>
      </c>
      <c r="O2162" s="6" t="s">
        <v>166</v>
      </c>
      <c r="P2162" s="19">
        <v>0</v>
      </c>
    </row>
    <row r="2163" spans="12:16" ht="15.75" customHeight="1" x14ac:dyDescent="0.3">
      <c r="L2163" s="6" t="s">
        <v>185</v>
      </c>
      <c r="M2163" s="6" t="s">
        <v>347</v>
      </c>
      <c r="N2163" s="6" t="s">
        <v>72</v>
      </c>
      <c r="O2163" s="6" t="s">
        <v>75</v>
      </c>
      <c r="P2163" s="19">
        <v>0</v>
      </c>
    </row>
    <row r="2164" spans="12:16" ht="15.75" customHeight="1" x14ac:dyDescent="0.3">
      <c r="L2164" s="6" t="s">
        <v>185</v>
      </c>
      <c r="M2164" s="6" t="s">
        <v>347</v>
      </c>
      <c r="N2164" s="6" t="s">
        <v>83</v>
      </c>
      <c r="O2164" s="6" t="s">
        <v>84</v>
      </c>
      <c r="P2164" s="19">
        <v>0</v>
      </c>
    </row>
    <row r="2165" spans="12:16" ht="15.75" customHeight="1" x14ac:dyDescent="0.3">
      <c r="L2165" s="6" t="s">
        <v>185</v>
      </c>
      <c r="M2165" s="6" t="s">
        <v>347</v>
      </c>
      <c r="N2165" s="6" t="s">
        <v>88</v>
      </c>
      <c r="O2165" s="6" t="s">
        <v>90</v>
      </c>
      <c r="P2165" s="19">
        <v>0</v>
      </c>
    </row>
    <row r="2166" spans="12:16" ht="15.75" customHeight="1" x14ac:dyDescent="0.3">
      <c r="L2166" s="6" t="s">
        <v>185</v>
      </c>
      <c r="M2166" s="6" t="s">
        <v>347</v>
      </c>
      <c r="N2166" s="6" t="s">
        <v>96</v>
      </c>
      <c r="O2166" s="6" t="s">
        <v>97</v>
      </c>
      <c r="P2166" s="19">
        <v>0</v>
      </c>
    </row>
    <row r="2167" spans="12:16" ht="15.75" customHeight="1" x14ac:dyDescent="0.3">
      <c r="L2167" s="6" t="s">
        <v>185</v>
      </c>
      <c r="M2167" s="6" t="s">
        <v>347</v>
      </c>
      <c r="N2167" s="6" t="s">
        <v>100</v>
      </c>
      <c r="O2167" s="6" t="s">
        <v>101</v>
      </c>
      <c r="P2167" s="19">
        <v>0</v>
      </c>
    </row>
    <row r="2168" spans="12:16" ht="15.75" customHeight="1" x14ac:dyDescent="0.3">
      <c r="L2168" s="6" t="s">
        <v>185</v>
      </c>
      <c r="M2168" s="6" t="s">
        <v>347</v>
      </c>
      <c r="N2168" s="6" t="s">
        <v>22</v>
      </c>
      <c r="O2168" s="6" t="s">
        <v>104</v>
      </c>
      <c r="P2168" s="19">
        <v>0</v>
      </c>
    </row>
    <row r="2169" spans="12:16" ht="15.75" customHeight="1" x14ac:dyDescent="0.3">
      <c r="L2169" s="6" t="s">
        <v>185</v>
      </c>
      <c r="M2169" s="6" t="s">
        <v>347</v>
      </c>
      <c r="N2169" s="6" t="s">
        <v>23</v>
      </c>
      <c r="O2169" s="6" t="s">
        <v>107</v>
      </c>
      <c r="P2169" s="19">
        <v>0</v>
      </c>
    </row>
    <row r="2170" spans="12:16" ht="15.75" customHeight="1" x14ac:dyDescent="0.3">
      <c r="L2170" s="6" t="s">
        <v>185</v>
      </c>
      <c r="M2170" s="6" t="s">
        <v>347</v>
      </c>
      <c r="N2170" s="6" t="s">
        <v>24</v>
      </c>
      <c r="O2170" s="6" t="s">
        <v>109</v>
      </c>
      <c r="P2170" s="19">
        <v>0</v>
      </c>
    </row>
    <row r="2171" spans="12:16" ht="15.75" customHeight="1" x14ac:dyDescent="0.3">
      <c r="L2171" s="6" t="s">
        <v>185</v>
      </c>
      <c r="M2171" s="6" t="s">
        <v>347</v>
      </c>
      <c r="N2171" s="6" t="s">
        <v>25</v>
      </c>
      <c r="O2171" s="6" t="s">
        <v>111</v>
      </c>
      <c r="P2171" s="19">
        <v>1</v>
      </c>
    </row>
    <row r="2172" spans="12:16" ht="15.75" customHeight="1" x14ac:dyDescent="0.3">
      <c r="L2172" s="6" t="s">
        <v>185</v>
      </c>
      <c r="M2172" s="6" t="s">
        <v>347</v>
      </c>
      <c r="N2172" s="6" t="s">
        <v>26</v>
      </c>
      <c r="O2172" s="6" t="s">
        <v>113</v>
      </c>
      <c r="P2172" s="19">
        <v>1</v>
      </c>
    </row>
    <row r="2173" spans="12:16" ht="15.75" customHeight="1" x14ac:dyDescent="0.3">
      <c r="L2173" s="6" t="s">
        <v>185</v>
      </c>
      <c r="M2173" s="6" t="s">
        <v>347</v>
      </c>
      <c r="N2173" s="6" t="s">
        <v>27</v>
      </c>
      <c r="O2173" s="6" t="s">
        <v>117</v>
      </c>
      <c r="P2173" s="19">
        <v>0</v>
      </c>
    </row>
    <row r="2174" spans="12:16" ht="15.75" customHeight="1" x14ac:dyDescent="0.3">
      <c r="L2174" s="6" t="s">
        <v>185</v>
      </c>
      <c r="M2174" s="6" t="s">
        <v>347</v>
      </c>
      <c r="N2174" s="6" t="s">
        <v>29</v>
      </c>
      <c r="O2174" s="6" t="s">
        <v>125</v>
      </c>
      <c r="P2174" s="19">
        <v>0</v>
      </c>
    </row>
    <row r="2175" spans="12:16" ht="15.75" customHeight="1" x14ac:dyDescent="0.3">
      <c r="L2175" s="6" t="s">
        <v>185</v>
      </c>
      <c r="M2175" s="6" t="s">
        <v>347</v>
      </c>
      <c r="N2175" s="6" t="s">
        <v>135</v>
      </c>
      <c r="O2175" s="6" t="s">
        <v>136</v>
      </c>
      <c r="P2175" s="19">
        <v>0</v>
      </c>
    </row>
    <row r="2176" spans="12:16" ht="15.75" customHeight="1" x14ac:dyDescent="0.3">
      <c r="L2176" s="6" t="s">
        <v>185</v>
      </c>
      <c r="M2176" s="6" t="s">
        <v>347</v>
      </c>
      <c r="N2176" s="6" t="s">
        <v>138</v>
      </c>
      <c r="O2176" s="6" t="s">
        <v>139</v>
      </c>
      <c r="P2176" s="19">
        <v>1</v>
      </c>
    </row>
    <row r="2177" spans="12:16" ht="15.75" customHeight="1" x14ac:dyDescent="0.3">
      <c r="L2177" s="6" t="s">
        <v>185</v>
      </c>
      <c r="M2177" s="6" t="s">
        <v>347</v>
      </c>
      <c r="N2177" s="6" t="s">
        <v>30</v>
      </c>
      <c r="O2177" s="6" t="s">
        <v>148</v>
      </c>
      <c r="P2177" s="19">
        <v>0</v>
      </c>
    </row>
    <row r="2178" spans="12:16" ht="15.75" customHeight="1" x14ac:dyDescent="0.3">
      <c r="L2178" s="6" t="s">
        <v>185</v>
      </c>
      <c r="M2178" s="6" t="s">
        <v>347</v>
      </c>
      <c r="N2178" s="6" t="s">
        <v>156</v>
      </c>
      <c r="O2178" s="6" t="s">
        <v>157</v>
      </c>
      <c r="P2178" s="25" t="s">
        <v>169</v>
      </c>
    </row>
    <row r="2179" spans="12:16" ht="15.75" customHeight="1" x14ac:dyDescent="0.3">
      <c r="L2179" s="6" t="s">
        <v>185</v>
      </c>
      <c r="M2179" s="6" t="s">
        <v>347</v>
      </c>
      <c r="N2179" s="6" t="s">
        <v>158</v>
      </c>
      <c r="O2179" s="6" t="s">
        <v>159</v>
      </c>
      <c r="P2179" s="19">
        <v>1</v>
      </c>
    </row>
    <row r="2180" spans="12:16" ht="15.75" customHeight="1" x14ac:dyDescent="0.3">
      <c r="L2180" s="6" t="s">
        <v>185</v>
      </c>
      <c r="M2180" s="6" t="s">
        <v>347</v>
      </c>
      <c r="N2180" s="6" t="s">
        <v>160</v>
      </c>
      <c r="O2180" s="6" t="s">
        <v>161</v>
      </c>
      <c r="P2180" s="25" t="s">
        <v>169</v>
      </c>
    </row>
    <row r="2181" spans="12:16" ht="15.75" customHeight="1" x14ac:dyDescent="0.3">
      <c r="L2181" s="6" t="s">
        <v>185</v>
      </c>
      <c r="M2181" s="6" t="s">
        <v>347</v>
      </c>
      <c r="N2181" s="6" t="s">
        <v>162</v>
      </c>
      <c r="O2181" s="6" t="s">
        <v>163</v>
      </c>
      <c r="P2181" s="19">
        <v>1</v>
      </c>
    </row>
    <row r="2182" spans="12:16" ht="15.75" customHeight="1" x14ac:dyDescent="0.3">
      <c r="L2182" s="6" t="s">
        <v>185</v>
      </c>
      <c r="M2182" s="6" t="s">
        <v>347</v>
      </c>
      <c r="N2182" s="6" t="s">
        <v>165</v>
      </c>
      <c r="O2182" s="6" t="s">
        <v>166</v>
      </c>
      <c r="P2182" s="19">
        <v>0</v>
      </c>
    </row>
    <row r="2183" spans="12:16" ht="15.75" customHeight="1" x14ac:dyDescent="0.3">
      <c r="L2183" s="6" t="s">
        <v>185</v>
      </c>
      <c r="M2183" s="6" t="s">
        <v>349</v>
      </c>
      <c r="N2183" s="6" t="s">
        <v>72</v>
      </c>
      <c r="O2183" s="6" t="s">
        <v>75</v>
      </c>
      <c r="P2183" s="19">
        <v>0</v>
      </c>
    </row>
    <row r="2184" spans="12:16" ht="15.75" customHeight="1" x14ac:dyDescent="0.3">
      <c r="L2184" s="6" t="s">
        <v>185</v>
      </c>
      <c r="M2184" s="6" t="s">
        <v>349</v>
      </c>
      <c r="N2184" s="6" t="s">
        <v>83</v>
      </c>
      <c r="O2184" s="6" t="s">
        <v>84</v>
      </c>
      <c r="P2184" s="19">
        <v>0</v>
      </c>
    </row>
    <row r="2185" spans="12:16" ht="15.75" customHeight="1" x14ac:dyDescent="0.3">
      <c r="L2185" s="6" t="s">
        <v>185</v>
      </c>
      <c r="M2185" s="6" t="s">
        <v>349</v>
      </c>
      <c r="N2185" s="6" t="s">
        <v>88</v>
      </c>
      <c r="O2185" s="6" t="s">
        <v>90</v>
      </c>
      <c r="P2185" s="19">
        <v>0</v>
      </c>
    </row>
    <row r="2186" spans="12:16" ht="15.75" customHeight="1" x14ac:dyDescent="0.3">
      <c r="L2186" s="6" t="s">
        <v>185</v>
      </c>
      <c r="M2186" s="6" t="s">
        <v>349</v>
      </c>
      <c r="N2186" s="6" t="s">
        <v>96</v>
      </c>
      <c r="O2186" s="6" t="s">
        <v>97</v>
      </c>
      <c r="P2186" s="19">
        <v>0</v>
      </c>
    </row>
    <row r="2187" spans="12:16" ht="15.75" customHeight="1" x14ac:dyDescent="0.3">
      <c r="L2187" s="6" t="s">
        <v>185</v>
      </c>
      <c r="M2187" s="6" t="s">
        <v>349</v>
      </c>
      <c r="N2187" s="6" t="s">
        <v>100</v>
      </c>
      <c r="O2187" s="6" t="s">
        <v>101</v>
      </c>
      <c r="P2187" s="19">
        <v>0</v>
      </c>
    </row>
    <row r="2188" spans="12:16" ht="15.75" customHeight="1" x14ac:dyDescent="0.3">
      <c r="L2188" s="6" t="s">
        <v>185</v>
      </c>
      <c r="M2188" s="6" t="s">
        <v>349</v>
      </c>
      <c r="N2188" s="6" t="s">
        <v>22</v>
      </c>
      <c r="O2188" s="6" t="s">
        <v>104</v>
      </c>
      <c r="P2188" s="19">
        <v>0</v>
      </c>
    </row>
    <row r="2189" spans="12:16" ht="15.75" customHeight="1" x14ac:dyDescent="0.3">
      <c r="L2189" s="6" t="s">
        <v>185</v>
      </c>
      <c r="M2189" s="6" t="s">
        <v>349</v>
      </c>
      <c r="N2189" s="6" t="s">
        <v>23</v>
      </c>
      <c r="O2189" s="6" t="s">
        <v>107</v>
      </c>
      <c r="P2189" s="19">
        <v>0</v>
      </c>
    </row>
    <row r="2190" spans="12:16" ht="15.75" customHeight="1" x14ac:dyDescent="0.3">
      <c r="L2190" s="6" t="s">
        <v>185</v>
      </c>
      <c r="M2190" s="6" t="s">
        <v>349</v>
      </c>
      <c r="N2190" s="6" t="s">
        <v>24</v>
      </c>
      <c r="O2190" s="6" t="s">
        <v>109</v>
      </c>
      <c r="P2190" s="19">
        <v>0</v>
      </c>
    </row>
    <row r="2191" spans="12:16" ht="15.75" customHeight="1" x14ac:dyDescent="0.3">
      <c r="L2191" s="6" t="s">
        <v>185</v>
      </c>
      <c r="M2191" s="6" t="s">
        <v>349</v>
      </c>
      <c r="N2191" s="6" t="s">
        <v>25</v>
      </c>
      <c r="O2191" s="6" t="s">
        <v>111</v>
      </c>
      <c r="P2191" s="19">
        <v>3</v>
      </c>
    </row>
    <row r="2192" spans="12:16" ht="15.75" customHeight="1" x14ac:dyDescent="0.3">
      <c r="L2192" s="6" t="s">
        <v>185</v>
      </c>
      <c r="M2192" s="6" t="s">
        <v>349</v>
      </c>
      <c r="N2192" s="6" t="s">
        <v>26</v>
      </c>
      <c r="O2192" s="6" t="s">
        <v>113</v>
      </c>
      <c r="P2192" s="19">
        <v>2</v>
      </c>
    </row>
    <row r="2193" spans="12:16" ht="15.75" customHeight="1" x14ac:dyDescent="0.3">
      <c r="L2193" s="6" t="s">
        <v>185</v>
      </c>
      <c r="M2193" s="6" t="s">
        <v>349</v>
      </c>
      <c r="N2193" s="6" t="s">
        <v>27</v>
      </c>
      <c r="O2193" s="6" t="s">
        <v>117</v>
      </c>
      <c r="P2193" s="19">
        <v>3</v>
      </c>
    </row>
    <row r="2194" spans="12:16" ht="15.75" customHeight="1" x14ac:dyDescent="0.3">
      <c r="L2194" s="6" t="s">
        <v>185</v>
      </c>
      <c r="M2194" s="6" t="s">
        <v>349</v>
      </c>
      <c r="N2194" s="6" t="s">
        <v>29</v>
      </c>
      <c r="O2194" s="6" t="s">
        <v>125</v>
      </c>
      <c r="P2194" s="19">
        <v>0</v>
      </c>
    </row>
    <row r="2195" spans="12:16" ht="15.75" customHeight="1" x14ac:dyDescent="0.3">
      <c r="L2195" s="6" t="s">
        <v>185</v>
      </c>
      <c r="M2195" s="6" t="s">
        <v>349</v>
      </c>
      <c r="N2195" s="6" t="s">
        <v>135</v>
      </c>
      <c r="O2195" s="6" t="s">
        <v>136</v>
      </c>
      <c r="P2195" s="19">
        <v>0</v>
      </c>
    </row>
    <row r="2196" spans="12:16" ht="15.75" customHeight="1" x14ac:dyDescent="0.3">
      <c r="L2196" s="6" t="s">
        <v>185</v>
      </c>
      <c r="M2196" s="6" t="s">
        <v>349</v>
      </c>
      <c r="N2196" s="6" t="s">
        <v>138</v>
      </c>
      <c r="O2196" s="6" t="s">
        <v>139</v>
      </c>
      <c r="P2196" s="19">
        <v>1</v>
      </c>
    </row>
    <row r="2197" spans="12:16" ht="15.75" customHeight="1" x14ac:dyDescent="0.3">
      <c r="L2197" s="6" t="s">
        <v>185</v>
      </c>
      <c r="M2197" s="6" t="s">
        <v>349</v>
      </c>
      <c r="N2197" s="6" t="s">
        <v>30</v>
      </c>
      <c r="O2197" s="6" t="s">
        <v>148</v>
      </c>
      <c r="P2197" s="19">
        <v>0</v>
      </c>
    </row>
    <row r="2198" spans="12:16" ht="15.75" customHeight="1" x14ac:dyDescent="0.3">
      <c r="L2198" s="6" t="s">
        <v>185</v>
      </c>
      <c r="M2198" s="6" t="s">
        <v>349</v>
      </c>
      <c r="N2198" s="6" t="s">
        <v>156</v>
      </c>
      <c r="O2198" s="6" t="s">
        <v>157</v>
      </c>
      <c r="P2198" s="25" t="s">
        <v>169</v>
      </c>
    </row>
    <row r="2199" spans="12:16" ht="15.75" customHeight="1" x14ac:dyDescent="0.3">
      <c r="L2199" s="6" t="s">
        <v>185</v>
      </c>
      <c r="M2199" s="6" t="s">
        <v>349</v>
      </c>
      <c r="N2199" s="6" t="s">
        <v>158</v>
      </c>
      <c r="O2199" s="6" t="s">
        <v>159</v>
      </c>
      <c r="P2199" s="19">
        <v>1</v>
      </c>
    </row>
    <row r="2200" spans="12:16" ht="15.75" customHeight="1" x14ac:dyDescent="0.3">
      <c r="L2200" s="6" t="s">
        <v>185</v>
      </c>
      <c r="M2200" s="6" t="s">
        <v>349</v>
      </c>
      <c r="N2200" s="6" t="s">
        <v>160</v>
      </c>
      <c r="O2200" s="6" t="s">
        <v>161</v>
      </c>
      <c r="P2200" s="25" t="s">
        <v>169</v>
      </c>
    </row>
    <row r="2201" spans="12:16" ht="15.75" customHeight="1" x14ac:dyDescent="0.3">
      <c r="L2201" s="6" t="s">
        <v>185</v>
      </c>
      <c r="M2201" s="6" t="s">
        <v>349</v>
      </c>
      <c r="N2201" s="6" t="s">
        <v>162</v>
      </c>
      <c r="O2201" s="6" t="s">
        <v>163</v>
      </c>
      <c r="P2201" s="19">
        <v>1</v>
      </c>
    </row>
    <row r="2202" spans="12:16" ht="15.75" customHeight="1" x14ac:dyDescent="0.3">
      <c r="L2202" s="6" t="s">
        <v>185</v>
      </c>
      <c r="M2202" s="6" t="s">
        <v>349</v>
      </c>
      <c r="N2202" s="6" t="s">
        <v>165</v>
      </c>
      <c r="O2202" s="6" t="s">
        <v>166</v>
      </c>
      <c r="P2202" s="19">
        <v>2</v>
      </c>
    </row>
    <row r="2203" spans="12:16" ht="15.75" customHeight="1" x14ac:dyDescent="0.3">
      <c r="L2203" s="6" t="s">
        <v>185</v>
      </c>
      <c r="M2203" s="6" t="s">
        <v>358</v>
      </c>
      <c r="N2203" s="6" t="s">
        <v>72</v>
      </c>
      <c r="O2203" s="6" t="s">
        <v>75</v>
      </c>
      <c r="P2203" s="19">
        <v>0</v>
      </c>
    </row>
    <row r="2204" spans="12:16" ht="15.75" customHeight="1" x14ac:dyDescent="0.3">
      <c r="L2204" s="6" t="s">
        <v>185</v>
      </c>
      <c r="M2204" s="6" t="s">
        <v>358</v>
      </c>
      <c r="N2204" s="6" t="s">
        <v>83</v>
      </c>
      <c r="O2204" s="6" t="s">
        <v>84</v>
      </c>
      <c r="P2204" s="19">
        <v>0</v>
      </c>
    </row>
    <row r="2205" spans="12:16" ht="15.75" customHeight="1" x14ac:dyDescent="0.3">
      <c r="L2205" s="6" t="s">
        <v>185</v>
      </c>
      <c r="M2205" s="6" t="s">
        <v>358</v>
      </c>
      <c r="N2205" s="6" t="s">
        <v>88</v>
      </c>
      <c r="O2205" s="6" t="s">
        <v>90</v>
      </c>
      <c r="P2205" s="19">
        <v>0</v>
      </c>
    </row>
    <row r="2206" spans="12:16" ht="15.75" customHeight="1" x14ac:dyDescent="0.3">
      <c r="L2206" s="6" t="s">
        <v>185</v>
      </c>
      <c r="M2206" s="6" t="s">
        <v>358</v>
      </c>
      <c r="N2206" s="6" t="s">
        <v>96</v>
      </c>
      <c r="O2206" s="6" t="s">
        <v>97</v>
      </c>
      <c r="P2206" s="19">
        <v>0</v>
      </c>
    </row>
    <row r="2207" spans="12:16" ht="15.75" customHeight="1" x14ac:dyDescent="0.3">
      <c r="L2207" s="6" t="s">
        <v>185</v>
      </c>
      <c r="M2207" s="6" t="s">
        <v>358</v>
      </c>
      <c r="N2207" s="6" t="s">
        <v>100</v>
      </c>
      <c r="O2207" s="6" t="s">
        <v>101</v>
      </c>
      <c r="P2207" s="19">
        <v>0</v>
      </c>
    </row>
    <row r="2208" spans="12:16" ht="15.75" customHeight="1" x14ac:dyDescent="0.3">
      <c r="L2208" s="6" t="s">
        <v>185</v>
      </c>
      <c r="M2208" s="6" t="s">
        <v>358</v>
      </c>
      <c r="N2208" s="6" t="s">
        <v>22</v>
      </c>
      <c r="O2208" s="6" t="s">
        <v>104</v>
      </c>
      <c r="P2208" s="19">
        <v>0</v>
      </c>
    </row>
    <row r="2209" spans="12:16" ht="15.75" customHeight="1" x14ac:dyDescent="0.3">
      <c r="L2209" s="6" t="s">
        <v>185</v>
      </c>
      <c r="M2209" s="6" t="s">
        <v>358</v>
      </c>
      <c r="N2209" s="6" t="s">
        <v>23</v>
      </c>
      <c r="O2209" s="6" t="s">
        <v>107</v>
      </c>
      <c r="P2209" s="19">
        <v>0</v>
      </c>
    </row>
    <row r="2210" spans="12:16" ht="15.75" customHeight="1" x14ac:dyDescent="0.3">
      <c r="L2210" s="6" t="s">
        <v>185</v>
      </c>
      <c r="M2210" s="6" t="s">
        <v>358</v>
      </c>
      <c r="N2210" s="6" t="s">
        <v>24</v>
      </c>
      <c r="O2210" s="6" t="s">
        <v>109</v>
      </c>
      <c r="P2210" s="19">
        <v>0</v>
      </c>
    </row>
    <row r="2211" spans="12:16" ht="15.75" customHeight="1" x14ac:dyDescent="0.3">
      <c r="L2211" s="6" t="s">
        <v>185</v>
      </c>
      <c r="M2211" s="6" t="s">
        <v>358</v>
      </c>
      <c r="N2211" s="6" t="s">
        <v>25</v>
      </c>
      <c r="O2211" s="6" t="s">
        <v>111</v>
      </c>
      <c r="P2211" s="19">
        <v>3</v>
      </c>
    </row>
    <row r="2212" spans="12:16" ht="15.75" customHeight="1" x14ac:dyDescent="0.3">
      <c r="L2212" s="6" t="s">
        <v>185</v>
      </c>
      <c r="M2212" s="6" t="s">
        <v>358</v>
      </c>
      <c r="N2212" s="6" t="s">
        <v>26</v>
      </c>
      <c r="O2212" s="6" t="s">
        <v>113</v>
      </c>
      <c r="P2212" s="19">
        <v>2</v>
      </c>
    </row>
    <row r="2213" spans="12:16" ht="15.75" customHeight="1" x14ac:dyDescent="0.3">
      <c r="L2213" s="6" t="s">
        <v>185</v>
      </c>
      <c r="M2213" s="6" t="s">
        <v>358</v>
      </c>
      <c r="N2213" s="6" t="s">
        <v>27</v>
      </c>
      <c r="O2213" s="6" t="s">
        <v>117</v>
      </c>
      <c r="P2213" s="19">
        <v>3</v>
      </c>
    </row>
    <row r="2214" spans="12:16" ht="15.75" customHeight="1" x14ac:dyDescent="0.3">
      <c r="L2214" s="6" t="s">
        <v>185</v>
      </c>
      <c r="M2214" s="6" t="s">
        <v>358</v>
      </c>
      <c r="N2214" s="6" t="s">
        <v>29</v>
      </c>
      <c r="O2214" s="6" t="s">
        <v>125</v>
      </c>
      <c r="P2214" s="19">
        <v>0</v>
      </c>
    </row>
    <row r="2215" spans="12:16" ht="15.75" customHeight="1" x14ac:dyDescent="0.3">
      <c r="L2215" s="6" t="s">
        <v>185</v>
      </c>
      <c r="M2215" s="6" t="s">
        <v>358</v>
      </c>
      <c r="N2215" s="6" t="s">
        <v>135</v>
      </c>
      <c r="O2215" s="6" t="s">
        <v>136</v>
      </c>
      <c r="P2215" s="19">
        <v>0</v>
      </c>
    </row>
    <row r="2216" spans="12:16" ht="15.75" customHeight="1" x14ac:dyDescent="0.3">
      <c r="L2216" s="6" t="s">
        <v>185</v>
      </c>
      <c r="M2216" s="6" t="s">
        <v>358</v>
      </c>
      <c r="N2216" s="6" t="s">
        <v>138</v>
      </c>
      <c r="O2216" s="6" t="s">
        <v>139</v>
      </c>
      <c r="P2216" s="19">
        <v>1</v>
      </c>
    </row>
    <row r="2217" spans="12:16" ht="15.75" customHeight="1" x14ac:dyDescent="0.3">
      <c r="L2217" s="6" t="s">
        <v>185</v>
      </c>
      <c r="M2217" s="6" t="s">
        <v>358</v>
      </c>
      <c r="N2217" s="6" t="s">
        <v>30</v>
      </c>
      <c r="O2217" s="6" t="s">
        <v>148</v>
      </c>
      <c r="P2217" s="19">
        <v>0</v>
      </c>
    </row>
    <row r="2218" spans="12:16" ht="15.75" customHeight="1" x14ac:dyDescent="0.3">
      <c r="L2218" s="6" t="s">
        <v>185</v>
      </c>
      <c r="M2218" s="6" t="s">
        <v>358</v>
      </c>
      <c r="N2218" s="6" t="s">
        <v>156</v>
      </c>
      <c r="O2218" s="6" t="s">
        <v>157</v>
      </c>
      <c r="P2218" s="25" t="s">
        <v>169</v>
      </c>
    </row>
    <row r="2219" spans="12:16" ht="15.75" customHeight="1" x14ac:dyDescent="0.3">
      <c r="L2219" s="6" t="s">
        <v>185</v>
      </c>
      <c r="M2219" s="6" t="s">
        <v>358</v>
      </c>
      <c r="N2219" s="6" t="s">
        <v>158</v>
      </c>
      <c r="O2219" s="6" t="s">
        <v>159</v>
      </c>
      <c r="P2219" s="19">
        <v>1</v>
      </c>
    </row>
    <row r="2220" spans="12:16" ht="15.75" customHeight="1" x14ac:dyDescent="0.3">
      <c r="L2220" s="6" t="s">
        <v>185</v>
      </c>
      <c r="M2220" s="6" t="s">
        <v>358</v>
      </c>
      <c r="N2220" s="6" t="s">
        <v>160</v>
      </c>
      <c r="O2220" s="6" t="s">
        <v>161</v>
      </c>
      <c r="P2220" s="25" t="s">
        <v>169</v>
      </c>
    </row>
    <row r="2221" spans="12:16" ht="15.75" customHeight="1" x14ac:dyDescent="0.3">
      <c r="L2221" s="6" t="s">
        <v>185</v>
      </c>
      <c r="M2221" s="6" t="s">
        <v>358</v>
      </c>
      <c r="N2221" s="6" t="s">
        <v>162</v>
      </c>
      <c r="O2221" s="6" t="s">
        <v>163</v>
      </c>
      <c r="P2221" s="19">
        <v>1</v>
      </c>
    </row>
    <row r="2222" spans="12:16" ht="15.75" customHeight="1" x14ac:dyDescent="0.3">
      <c r="L2222" s="6" t="s">
        <v>185</v>
      </c>
      <c r="M2222" s="6" t="s">
        <v>358</v>
      </c>
      <c r="N2222" s="6" t="s">
        <v>165</v>
      </c>
      <c r="O2222" s="6" t="s">
        <v>166</v>
      </c>
      <c r="P2222" s="19">
        <v>2</v>
      </c>
    </row>
    <row r="2223" spans="12:16" ht="15.75" customHeight="1" x14ac:dyDescent="0.3">
      <c r="L2223" s="6" t="s">
        <v>185</v>
      </c>
      <c r="M2223" s="6" t="s">
        <v>249</v>
      </c>
      <c r="N2223" s="6" t="s">
        <v>72</v>
      </c>
      <c r="O2223" s="6" t="s">
        <v>75</v>
      </c>
      <c r="P2223" s="19">
        <v>0</v>
      </c>
    </row>
    <row r="2224" spans="12:16" ht="15.75" customHeight="1" x14ac:dyDescent="0.3">
      <c r="L2224" s="6" t="s">
        <v>185</v>
      </c>
      <c r="M2224" s="6" t="s">
        <v>249</v>
      </c>
      <c r="N2224" s="6" t="s">
        <v>83</v>
      </c>
      <c r="O2224" s="6" t="s">
        <v>84</v>
      </c>
      <c r="P2224" s="19">
        <v>0</v>
      </c>
    </row>
    <row r="2225" spans="12:16" ht="15.75" customHeight="1" x14ac:dyDescent="0.3">
      <c r="L2225" s="6" t="s">
        <v>185</v>
      </c>
      <c r="M2225" s="6" t="s">
        <v>249</v>
      </c>
      <c r="N2225" s="6" t="s">
        <v>88</v>
      </c>
      <c r="O2225" s="6" t="s">
        <v>90</v>
      </c>
      <c r="P2225" s="19">
        <v>0</v>
      </c>
    </row>
    <row r="2226" spans="12:16" ht="15.75" customHeight="1" x14ac:dyDescent="0.3">
      <c r="L2226" s="6" t="s">
        <v>185</v>
      </c>
      <c r="M2226" s="6" t="s">
        <v>249</v>
      </c>
      <c r="N2226" s="6" t="s">
        <v>96</v>
      </c>
      <c r="O2226" s="6" t="s">
        <v>97</v>
      </c>
      <c r="P2226" s="19">
        <v>0</v>
      </c>
    </row>
    <row r="2227" spans="12:16" ht="15.75" customHeight="1" x14ac:dyDescent="0.3">
      <c r="L2227" s="6" t="s">
        <v>185</v>
      </c>
      <c r="M2227" s="6" t="s">
        <v>249</v>
      </c>
      <c r="N2227" s="6" t="s">
        <v>100</v>
      </c>
      <c r="O2227" s="6" t="s">
        <v>101</v>
      </c>
      <c r="P2227" s="19">
        <v>0</v>
      </c>
    </row>
    <row r="2228" spans="12:16" ht="15.75" customHeight="1" x14ac:dyDescent="0.3">
      <c r="L2228" s="6" t="s">
        <v>185</v>
      </c>
      <c r="M2228" s="6" t="s">
        <v>249</v>
      </c>
      <c r="N2228" s="6" t="s">
        <v>22</v>
      </c>
      <c r="O2228" s="6" t="s">
        <v>104</v>
      </c>
      <c r="P2228" s="19">
        <v>0</v>
      </c>
    </row>
    <row r="2229" spans="12:16" ht="15.75" customHeight="1" x14ac:dyDescent="0.3">
      <c r="L2229" s="6" t="s">
        <v>185</v>
      </c>
      <c r="M2229" s="6" t="s">
        <v>249</v>
      </c>
      <c r="N2229" s="6" t="s">
        <v>23</v>
      </c>
      <c r="O2229" s="6" t="s">
        <v>107</v>
      </c>
      <c r="P2229" s="25" t="s">
        <v>222</v>
      </c>
    </row>
    <row r="2230" spans="12:16" ht="15.75" customHeight="1" x14ac:dyDescent="0.3">
      <c r="L2230" s="6" t="s">
        <v>185</v>
      </c>
      <c r="M2230" s="6" t="s">
        <v>249</v>
      </c>
      <c r="N2230" s="6" t="s">
        <v>24</v>
      </c>
      <c r="O2230" s="6" t="s">
        <v>109</v>
      </c>
      <c r="P2230" s="25" t="s">
        <v>222</v>
      </c>
    </row>
    <row r="2231" spans="12:16" ht="15.75" customHeight="1" x14ac:dyDescent="0.3">
      <c r="L2231" s="6" t="s">
        <v>185</v>
      </c>
      <c r="M2231" s="6" t="s">
        <v>249</v>
      </c>
      <c r="N2231" s="6" t="s">
        <v>25</v>
      </c>
      <c r="O2231" s="6" t="s">
        <v>111</v>
      </c>
      <c r="P2231" s="19">
        <v>0</v>
      </c>
    </row>
    <row r="2232" spans="12:16" ht="15.75" customHeight="1" x14ac:dyDescent="0.3">
      <c r="L2232" s="6" t="s">
        <v>185</v>
      </c>
      <c r="M2232" s="6" t="s">
        <v>249</v>
      </c>
      <c r="N2232" s="6" t="s">
        <v>26</v>
      </c>
      <c r="O2232" s="6" t="s">
        <v>113</v>
      </c>
      <c r="P2232" s="19">
        <v>0</v>
      </c>
    </row>
    <row r="2233" spans="12:16" ht="15.75" customHeight="1" x14ac:dyDescent="0.3">
      <c r="L2233" s="6" t="s">
        <v>185</v>
      </c>
      <c r="M2233" s="6" t="s">
        <v>249</v>
      </c>
      <c r="N2233" s="6" t="s">
        <v>27</v>
      </c>
      <c r="O2233" s="6" t="s">
        <v>117</v>
      </c>
      <c r="P2233" s="25" t="s">
        <v>222</v>
      </c>
    </row>
    <row r="2234" spans="12:16" ht="15.75" customHeight="1" x14ac:dyDescent="0.3">
      <c r="L2234" s="6" t="s">
        <v>185</v>
      </c>
      <c r="M2234" s="6" t="s">
        <v>249</v>
      </c>
      <c r="N2234" s="6" t="s">
        <v>29</v>
      </c>
      <c r="O2234" s="6" t="s">
        <v>125</v>
      </c>
      <c r="P2234" s="19">
        <v>0</v>
      </c>
    </row>
    <row r="2235" spans="12:16" ht="15.75" customHeight="1" x14ac:dyDescent="0.3">
      <c r="L2235" s="6" t="s">
        <v>185</v>
      </c>
      <c r="M2235" s="6" t="s">
        <v>249</v>
      </c>
      <c r="N2235" s="6" t="s">
        <v>135</v>
      </c>
      <c r="O2235" s="6" t="s">
        <v>136</v>
      </c>
      <c r="P2235" s="19">
        <v>0</v>
      </c>
    </row>
    <row r="2236" spans="12:16" ht="15.75" customHeight="1" x14ac:dyDescent="0.3">
      <c r="L2236" s="6" t="s">
        <v>185</v>
      </c>
      <c r="M2236" s="6" t="s">
        <v>249</v>
      </c>
      <c r="N2236" s="6" t="s">
        <v>138</v>
      </c>
      <c r="O2236" s="6" t="s">
        <v>139</v>
      </c>
      <c r="P2236" s="19">
        <v>1</v>
      </c>
    </row>
    <row r="2237" spans="12:16" ht="15.75" customHeight="1" x14ac:dyDescent="0.3">
      <c r="L2237" s="6" t="s">
        <v>185</v>
      </c>
      <c r="M2237" s="6" t="s">
        <v>249</v>
      </c>
      <c r="N2237" s="6" t="s">
        <v>30</v>
      </c>
      <c r="O2237" s="6" t="s">
        <v>148</v>
      </c>
      <c r="P2237" s="19">
        <v>0</v>
      </c>
    </row>
    <row r="2238" spans="12:16" ht="15.75" customHeight="1" x14ac:dyDescent="0.3">
      <c r="L2238" s="6" t="s">
        <v>185</v>
      </c>
      <c r="M2238" s="6" t="s">
        <v>249</v>
      </c>
      <c r="N2238" s="6" t="s">
        <v>156</v>
      </c>
      <c r="O2238" s="6" t="s">
        <v>157</v>
      </c>
      <c r="P2238" s="25" t="s">
        <v>169</v>
      </c>
    </row>
    <row r="2239" spans="12:16" ht="15.75" customHeight="1" x14ac:dyDescent="0.3">
      <c r="L2239" s="6" t="s">
        <v>185</v>
      </c>
      <c r="M2239" s="6" t="s">
        <v>249</v>
      </c>
      <c r="N2239" s="6" t="s">
        <v>158</v>
      </c>
      <c r="O2239" s="6" t="s">
        <v>159</v>
      </c>
      <c r="P2239" s="19">
        <v>1</v>
      </c>
    </row>
    <row r="2240" spans="12:16" ht="15.75" customHeight="1" x14ac:dyDescent="0.3">
      <c r="L2240" s="6" t="s">
        <v>185</v>
      </c>
      <c r="M2240" s="6" t="s">
        <v>249</v>
      </c>
      <c r="N2240" s="6" t="s">
        <v>160</v>
      </c>
      <c r="O2240" s="6" t="s">
        <v>161</v>
      </c>
      <c r="P2240" s="25" t="s">
        <v>169</v>
      </c>
    </row>
    <row r="2241" spans="12:16" ht="15.75" customHeight="1" x14ac:dyDescent="0.3">
      <c r="L2241" s="6" t="s">
        <v>185</v>
      </c>
      <c r="M2241" s="6" t="s">
        <v>249</v>
      </c>
      <c r="N2241" s="6" t="s">
        <v>162</v>
      </c>
      <c r="O2241" s="6" t="s">
        <v>163</v>
      </c>
      <c r="P2241" s="19">
        <v>1</v>
      </c>
    </row>
    <row r="2242" spans="12:16" ht="15.75" customHeight="1" x14ac:dyDescent="0.3">
      <c r="L2242" s="6" t="s">
        <v>185</v>
      </c>
      <c r="M2242" s="6" t="s">
        <v>249</v>
      </c>
      <c r="N2242" s="6" t="s">
        <v>165</v>
      </c>
      <c r="O2242" s="6" t="s">
        <v>166</v>
      </c>
      <c r="P2242" s="19">
        <v>0</v>
      </c>
    </row>
    <row r="2243" spans="12:16" ht="15.75" customHeight="1" x14ac:dyDescent="0.3">
      <c r="L2243" s="6" t="s">
        <v>185</v>
      </c>
      <c r="M2243" s="6" t="s">
        <v>274</v>
      </c>
      <c r="N2243" s="6" t="s">
        <v>72</v>
      </c>
      <c r="O2243" s="6" t="s">
        <v>75</v>
      </c>
      <c r="P2243" s="19">
        <v>0</v>
      </c>
    </row>
    <row r="2244" spans="12:16" ht="15.75" customHeight="1" x14ac:dyDescent="0.3">
      <c r="L2244" s="6" t="s">
        <v>185</v>
      </c>
      <c r="M2244" s="6" t="s">
        <v>274</v>
      </c>
      <c r="N2244" s="6" t="s">
        <v>83</v>
      </c>
      <c r="O2244" s="6" t="s">
        <v>84</v>
      </c>
      <c r="P2244" s="19">
        <v>0</v>
      </c>
    </row>
    <row r="2245" spans="12:16" ht="15.75" customHeight="1" x14ac:dyDescent="0.3">
      <c r="L2245" s="6" t="s">
        <v>185</v>
      </c>
      <c r="M2245" s="6" t="s">
        <v>274</v>
      </c>
      <c r="N2245" s="6" t="s">
        <v>88</v>
      </c>
      <c r="O2245" s="6" t="s">
        <v>90</v>
      </c>
      <c r="P2245" s="19">
        <v>0</v>
      </c>
    </row>
    <row r="2246" spans="12:16" ht="15.75" customHeight="1" x14ac:dyDescent="0.3">
      <c r="L2246" s="6" t="s">
        <v>185</v>
      </c>
      <c r="M2246" s="6" t="s">
        <v>274</v>
      </c>
      <c r="N2246" s="6" t="s">
        <v>96</v>
      </c>
      <c r="O2246" s="6" t="s">
        <v>97</v>
      </c>
      <c r="P2246" s="19">
        <v>0</v>
      </c>
    </row>
    <row r="2247" spans="12:16" ht="15.75" customHeight="1" x14ac:dyDescent="0.3">
      <c r="L2247" s="6" t="s">
        <v>185</v>
      </c>
      <c r="M2247" s="6" t="s">
        <v>274</v>
      </c>
      <c r="N2247" s="6" t="s">
        <v>100</v>
      </c>
      <c r="O2247" s="6" t="s">
        <v>101</v>
      </c>
      <c r="P2247" s="19">
        <v>0</v>
      </c>
    </row>
    <row r="2248" spans="12:16" ht="15.75" customHeight="1" x14ac:dyDescent="0.3">
      <c r="L2248" s="6" t="s">
        <v>185</v>
      </c>
      <c r="M2248" s="6" t="s">
        <v>274</v>
      </c>
      <c r="N2248" s="6" t="s">
        <v>22</v>
      </c>
      <c r="O2248" s="6" t="s">
        <v>104</v>
      </c>
      <c r="P2248" s="19">
        <v>0</v>
      </c>
    </row>
    <row r="2249" spans="12:16" ht="15.75" customHeight="1" x14ac:dyDescent="0.3">
      <c r="L2249" s="6" t="s">
        <v>185</v>
      </c>
      <c r="M2249" s="6" t="s">
        <v>274</v>
      </c>
      <c r="N2249" s="6" t="s">
        <v>23</v>
      </c>
      <c r="O2249" s="6" t="s">
        <v>107</v>
      </c>
      <c r="P2249" s="25" t="s">
        <v>222</v>
      </c>
    </row>
    <row r="2250" spans="12:16" ht="15.75" customHeight="1" x14ac:dyDescent="0.3">
      <c r="L2250" s="6" t="s">
        <v>185</v>
      </c>
      <c r="M2250" s="6" t="s">
        <v>274</v>
      </c>
      <c r="N2250" s="6" t="s">
        <v>24</v>
      </c>
      <c r="O2250" s="6" t="s">
        <v>109</v>
      </c>
      <c r="P2250" s="25" t="s">
        <v>222</v>
      </c>
    </row>
    <row r="2251" spans="12:16" ht="15.75" customHeight="1" x14ac:dyDescent="0.3">
      <c r="L2251" s="6" t="s">
        <v>185</v>
      </c>
      <c r="M2251" s="6" t="s">
        <v>274</v>
      </c>
      <c r="N2251" s="6" t="s">
        <v>25</v>
      </c>
      <c r="O2251" s="6" t="s">
        <v>111</v>
      </c>
      <c r="P2251" s="19">
        <v>0</v>
      </c>
    </row>
    <row r="2252" spans="12:16" ht="15.75" customHeight="1" x14ac:dyDescent="0.3">
      <c r="L2252" s="6" t="s">
        <v>185</v>
      </c>
      <c r="M2252" s="6" t="s">
        <v>274</v>
      </c>
      <c r="N2252" s="6" t="s">
        <v>26</v>
      </c>
      <c r="O2252" s="6" t="s">
        <v>113</v>
      </c>
      <c r="P2252" s="19">
        <v>0</v>
      </c>
    </row>
    <row r="2253" spans="12:16" ht="15.75" customHeight="1" x14ac:dyDescent="0.3">
      <c r="L2253" s="6" t="s">
        <v>185</v>
      </c>
      <c r="M2253" s="6" t="s">
        <v>274</v>
      </c>
      <c r="N2253" s="6" t="s">
        <v>27</v>
      </c>
      <c r="O2253" s="6" t="s">
        <v>117</v>
      </c>
      <c r="P2253" s="25" t="s">
        <v>222</v>
      </c>
    </row>
    <row r="2254" spans="12:16" ht="15.75" customHeight="1" x14ac:dyDescent="0.3">
      <c r="L2254" s="6" t="s">
        <v>185</v>
      </c>
      <c r="M2254" s="6" t="s">
        <v>274</v>
      </c>
      <c r="N2254" s="6" t="s">
        <v>29</v>
      </c>
      <c r="O2254" s="6" t="s">
        <v>125</v>
      </c>
      <c r="P2254" s="19">
        <v>0</v>
      </c>
    </row>
    <row r="2255" spans="12:16" ht="15.75" customHeight="1" x14ac:dyDescent="0.3">
      <c r="L2255" s="6" t="s">
        <v>185</v>
      </c>
      <c r="M2255" s="6" t="s">
        <v>274</v>
      </c>
      <c r="N2255" s="6" t="s">
        <v>135</v>
      </c>
      <c r="O2255" s="6" t="s">
        <v>136</v>
      </c>
      <c r="P2255" s="19">
        <v>0</v>
      </c>
    </row>
    <row r="2256" spans="12:16" ht="15.75" customHeight="1" x14ac:dyDescent="0.3">
      <c r="L2256" s="6" t="s">
        <v>185</v>
      </c>
      <c r="M2256" s="6" t="s">
        <v>274</v>
      </c>
      <c r="N2256" s="6" t="s">
        <v>138</v>
      </c>
      <c r="O2256" s="6" t="s">
        <v>139</v>
      </c>
      <c r="P2256" s="19">
        <v>1</v>
      </c>
    </row>
    <row r="2257" spans="12:16" ht="15.75" customHeight="1" x14ac:dyDescent="0.3">
      <c r="L2257" s="6" t="s">
        <v>185</v>
      </c>
      <c r="M2257" s="6" t="s">
        <v>274</v>
      </c>
      <c r="N2257" s="6" t="s">
        <v>30</v>
      </c>
      <c r="O2257" s="6" t="s">
        <v>148</v>
      </c>
      <c r="P2257" s="19">
        <v>0</v>
      </c>
    </row>
    <row r="2258" spans="12:16" ht="15.75" customHeight="1" x14ac:dyDescent="0.3">
      <c r="L2258" s="6" t="s">
        <v>185</v>
      </c>
      <c r="M2258" s="6" t="s">
        <v>274</v>
      </c>
      <c r="N2258" s="6" t="s">
        <v>156</v>
      </c>
      <c r="O2258" s="6" t="s">
        <v>157</v>
      </c>
      <c r="P2258" s="25" t="s">
        <v>169</v>
      </c>
    </row>
    <row r="2259" spans="12:16" ht="15.75" customHeight="1" x14ac:dyDescent="0.3">
      <c r="L2259" s="6" t="s">
        <v>185</v>
      </c>
      <c r="M2259" s="6" t="s">
        <v>274</v>
      </c>
      <c r="N2259" s="6" t="s">
        <v>158</v>
      </c>
      <c r="O2259" s="6" t="s">
        <v>159</v>
      </c>
      <c r="P2259" s="19">
        <v>1</v>
      </c>
    </row>
    <row r="2260" spans="12:16" ht="15.75" customHeight="1" x14ac:dyDescent="0.3">
      <c r="L2260" s="6" t="s">
        <v>185</v>
      </c>
      <c r="M2260" s="6" t="s">
        <v>274</v>
      </c>
      <c r="N2260" s="6" t="s">
        <v>160</v>
      </c>
      <c r="O2260" s="6" t="s">
        <v>161</v>
      </c>
      <c r="P2260" s="25" t="s">
        <v>169</v>
      </c>
    </row>
    <row r="2261" spans="12:16" ht="15.75" customHeight="1" x14ac:dyDescent="0.3">
      <c r="L2261" s="6" t="s">
        <v>185</v>
      </c>
      <c r="M2261" s="6" t="s">
        <v>274</v>
      </c>
      <c r="N2261" s="6" t="s">
        <v>162</v>
      </c>
      <c r="O2261" s="6" t="s">
        <v>163</v>
      </c>
      <c r="P2261" s="19">
        <v>1</v>
      </c>
    </row>
    <row r="2262" spans="12:16" ht="15.75" customHeight="1" x14ac:dyDescent="0.3">
      <c r="L2262" s="6" t="s">
        <v>185</v>
      </c>
      <c r="M2262" s="6" t="s">
        <v>274</v>
      </c>
      <c r="N2262" s="6" t="s">
        <v>165</v>
      </c>
      <c r="O2262" s="6" t="s">
        <v>166</v>
      </c>
      <c r="P2262" s="19">
        <v>1</v>
      </c>
    </row>
    <row r="2263" spans="12:16" ht="15.75" customHeight="1" x14ac:dyDescent="0.3">
      <c r="L2263" s="6" t="s">
        <v>185</v>
      </c>
      <c r="M2263" s="6" t="s">
        <v>365</v>
      </c>
      <c r="N2263" s="6" t="s">
        <v>72</v>
      </c>
      <c r="O2263" s="6" t="s">
        <v>75</v>
      </c>
      <c r="P2263" s="19">
        <v>0</v>
      </c>
    </row>
    <row r="2264" spans="12:16" ht="15.75" customHeight="1" x14ac:dyDescent="0.3">
      <c r="L2264" s="6" t="s">
        <v>185</v>
      </c>
      <c r="M2264" s="6" t="s">
        <v>365</v>
      </c>
      <c r="N2264" s="6" t="s">
        <v>83</v>
      </c>
      <c r="O2264" s="6" t="s">
        <v>84</v>
      </c>
      <c r="P2264" s="19">
        <v>0</v>
      </c>
    </row>
    <row r="2265" spans="12:16" ht="15.75" customHeight="1" x14ac:dyDescent="0.3">
      <c r="L2265" s="6" t="s">
        <v>185</v>
      </c>
      <c r="M2265" s="6" t="s">
        <v>365</v>
      </c>
      <c r="N2265" s="6" t="s">
        <v>88</v>
      </c>
      <c r="O2265" s="6" t="s">
        <v>90</v>
      </c>
      <c r="P2265" s="19">
        <v>0</v>
      </c>
    </row>
    <row r="2266" spans="12:16" ht="15.75" customHeight="1" x14ac:dyDescent="0.3">
      <c r="L2266" s="6" t="s">
        <v>185</v>
      </c>
      <c r="M2266" s="6" t="s">
        <v>365</v>
      </c>
      <c r="N2266" s="6" t="s">
        <v>96</v>
      </c>
      <c r="O2266" s="6" t="s">
        <v>97</v>
      </c>
      <c r="P2266" s="19">
        <v>0</v>
      </c>
    </row>
    <row r="2267" spans="12:16" ht="15.75" customHeight="1" x14ac:dyDescent="0.3">
      <c r="L2267" s="6" t="s">
        <v>185</v>
      </c>
      <c r="M2267" s="6" t="s">
        <v>365</v>
      </c>
      <c r="N2267" s="6" t="s">
        <v>100</v>
      </c>
      <c r="O2267" s="6" t="s">
        <v>101</v>
      </c>
      <c r="P2267" s="19">
        <v>0</v>
      </c>
    </row>
    <row r="2268" spans="12:16" ht="15.75" customHeight="1" x14ac:dyDescent="0.3">
      <c r="L2268" s="6" t="s">
        <v>185</v>
      </c>
      <c r="M2268" s="6" t="s">
        <v>365</v>
      </c>
      <c r="N2268" s="6" t="s">
        <v>22</v>
      </c>
      <c r="O2268" s="6" t="s">
        <v>104</v>
      </c>
      <c r="P2268" s="19">
        <v>0</v>
      </c>
    </row>
    <row r="2269" spans="12:16" ht="15.75" customHeight="1" x14ac:dyDescent="0.3">
      <c r="L2269" s="6" t="s">
        <v>185</v>
      </c>
      <c r="M2269" s="6" t="s">
        <v>365</v>
      </c>
      <c r="N2269" s="6" t="s">
        <v>23</v>
      </c>
      <c r="O2269" s="6" t="s">
        <v>107</v>
      </c>
      <c r="P2269" s="19">
        <v>0</v>
      </c>
    </row>
    <row r="2270" spans="12:16" ht="15.75" customHeight="1" x14ac:dyDescent="0.3">
      <c r="L2270" s="6" t="s">
        <v>185</v>
      </c>
      <c r="M2270" s="6" t="s">
        <v>365</v>
      </c>
      <c r="N2270" s="6" t="s">
        <v>24</v>
      </c>
      <c r="O2270" s="6" t="s">
        <v>109</v>
      </c>
      <c r="P2270" s="19">
        <v>0</v>
      </c>
    </row>
    <row r="2271" spans="12:16" ht="15.75" customHeight="1" x14ac:dyDescent="0.3">
      <c r="L2271" s="6" t="s">
        <v>185</v>
      </c>
      <c r="M2271" s="6" t="s">
        <v>365</v>
      </c>
      <c r="N2271" s="6" t="s">
        <v>25</v>
      </c>
      <c r="O2271" s="6" t="s">
        <v>111</v>
      </c>
      <c r="P2271" s="19">
        <v>1</v>
      </c>
    </row>
    <row r="2272" spans="12:16" ht="15.75" customHeight="1" x14ac:dyDescent="0.3">
      <c r="L2272" s="6" t="s">
        <v>185</v>
      </c>
      <c r="M2272" s="6" t="s">
        <v>365</v>
      </c>
      <c r="N2272" s="6" t="s">
        <v>26</v>
      </c>
      <c r="O2272" s="6" t="s">
        <v>113</v>
      </c>
      <c r="P2272" s="19">
        <v>1</v>
      </c>
    </row>
    <row r="2273" spans="12:16" ht="15.75" customHeight="1" x14ac:dyDescent="0.3">
      <c r="L2273" s="6" t="s">
        <v>185</v>
      </c>
      <c r="M2273" s="6" t="s">
        <v>365</v>
      </c>
      <c r="N2273" s="6" t="s">
        <v>27</v>
      </c>
      <c r="O2273" s="6" t="s">
        <v>117</v>
      </c>
      <c r="P2273" s="19">
        <v>0</v>
      </c>
    </row>
    <row r="2274" spans="12:16" ht="15.75" customHeight="1" x14ac:dyDescent="0.3">
      <c r="L2274" s="6" t="s">
        <v>185</v>
      </c>
      <c r="M2274" s="6" t="s">
        <v>365</v>
      </c>
      <c r="N2274" s="6" t="s">
        <v>29</v>
      </c>
      <c r="O2274" s="6" t="s">
        <v>125</v>
      </c>
      <c r="P2274" s="19">
        <v>0</v>
      </c>
    </row>
    <row r="2275" spans="12:16" ht="15.75" customHeight="1" x14ac:dyDescent="0.3">
      <c r="L2275" s="6" t="s">
        <v>185</v>
      </c>
      <c r="M2275" s="6" t="s">
        <v>365</v>
      </c>
      <c r="N2275" s="6" t="s">
        <v>135</v>
      </c>
      <c r="O2275" s="6" t="s">
        <v>136</v>
      </c>
      <c r="P2275" s="19">
        <v>0</v>
      </c>
    </row>
    <row r="2276" spans="12:16" ht="15.75" customHeight="1" x14ac:dyDescent="0.3">
      <c r="L2276" s="6" t="s">
        <v>185</v>
      </c>
      <c r="M2276" s="6" t="s">
        <v>365</v>
      </c>
      <c r="N2276" s="6" t="s">
        <v>138</v>
      </c>
      <c r="O2276" s="6" t="s">
        <v>139</v>
      </c>
      <c r="P2276" s="19">
        <v>1</v>
      </c>
    </row>
    <row r="2277" spans="12:16" ht="15.75" customHeight="1" x14ac:dyDescent="0.3">
      <c r="L2277" s="6" t="s">
        <v>185</v>
      </c>
      <c r="M2277" s="6" t="s">
        <v>365</v>
      </c>
      <c r="N2277" s="6" t="s">
        <v>30</v>
      </c>
      <c r="O2277" s="6" t="s">
        <v>148</v>
      </c>
      <c r="P2277" s="19">
        <v>0</v>
      </c>
    </row>
    <row r="2278" spans="12:16" ht="15.75" customHeight="1" x14ac:dyDescent="0.3">
      <c r="L2278" s="6" t="s">
        <v>185</v>
      </c>
      <c r="M2278" s="6" t="s">
        <v>365</v>
      </c>
      <c r="N2278" s="6" t="s">
        <v>156</v>
      </c>
      <c r="O2278" s="6" t="s">
        <v>157</v>
      </c>
      <c r="P2278" s="25" t="s">
        <v>169</v>
      </c>
    </row>
    <row r="2279" spans="12:16" ht="15.75" customHeight="1" x14ac:dyDescent="0.3">
      <c r="L2279" s="6" t="s">
        <v>185</v>
      </c>
      <c r="M2279" s="6" t="s">
        <v>365</v>
      </c>
      <c r="N2279" s="6" t="s">
        <v>158</v>
      </c>
      <c r="O2279" s="6" t="s">
        <v>159</v>
      </c>
      <c r="P2279" s="19">
        <v>1</v>
      </c>
    </row>
    <row r="2280" spans="12:16" ht="15.75" customHeight="1" x14ac:dyDescent="0.3">
      <c r="L2280" s="6" t="s">
        <v>185</v>
      </c>
      <c r="M2280" s="6" t="s">
        <v>365</v>
      </c>
      <c r="N2280" s="6" t="s">
        <v>160</v>
      </c>
      <c r="O2280" s="6" t="s">
        <v>161</v>
      </c>
      <c r="P2280" s="25" t="s">
        <v>169</v>
      </c>
    </row>
    <row r="2281" spans="12:16" ht="15.75" customHeight="1" x14ac:dyDescent="0.3">
      <c r="L2281" s="6" t="s">
        <v>185</v>
      </c>
      <c r="M2281" s="6" t="s">
        <v>365</v>
      </c>
      <c r="N2281" s="6" t="s">
        <v>162</v>
      </c>
      <c r="O2281" s="6" t="s">
        <v>163</v>
      </c>
      <c r="P2281" s="19">
        <v>1</v>
      </c>
    </row>
    <row r="2282" spans="12:16" ht="15.75" customHeight="1" x14ac:dyDescent="0.3">
      <c r="L2282" s="6" t="s">
        <v>185</v>
      </c>
      <c r="M2282" s="6" t="s">
        <v>365</v>
      </c>
      <c r="N2282" s="6" t="s">
        <v>165</v>
      </c>
      <c r="O2282" s="6" t="s">
        <v>166</v>
      </c>
      <c r="P2282" s="19">
        <v>2</v>
      </c>
    </row>
    <row r="2283" spans="12:16" ht="15.75" customHeight="1" x14ac:dyDescent="0.3">
      <c r="L2283" s="6" t="s">
        <v>187</v>
      </c>
      <c r="M2283" s="6" t="s">
        <v>446</v>
      </c>
      <c r="N2283" s="6" t="s">
        <v>72</v>
      </c>
      <c r="O2283" s="6" t="s">
        <v>75</v>
      </c>
      <c r="P2283" s="19">
        <v>0</v>
      </c>
    </row>
    <row r="2284" spans="12:16" ht="15.75" customHeight="1" x14ac:dyDescent="0.3">
      <c r="L2284" s="6" t="s">
        <v>187</v>
      </c>
      <c r="M2284" s="6" t="s">
        <v>446</v>
      </c>
      <c r="N2284" s="6" t="s">
        <v>83</v>
      </c>
      <c r="O2284" s="6" t="s">
        <v>84</v>
      </c>
      <c r="P2284" s="19">
        <v>0</v>
      </c>
    </row>
    <row r="2285" spans="12:16" ht="15.75" customHeight="1" x14ac:dyDescent="0.3">
      <c r="L2285" s="6" t="s">
        <v>187</v>
      </c>
      <c r="M2285" s="6" t="s">
        <v>446</v>
      </c>
      <c r="N2285" s="6" t="s">
        <v>88</v>
      </c>
      <c r="O2285" s="6" t="s">
        <v>90</v>
      </c>
      <c r="P2285" s="19">
        <v>0</v>
      </c>
    </row>
    <row r="2286" spans="12:16" ht="15.75" customHeight="1" x14ac:dyDescent="0.3">
      <c r="L2286" s="6" t="s">
        <v>187</v>
      </c>
      <c r="M2286" s="6" t="s">
        <v>446</v>
      </c>
      <c r="N2286" s="6" t="s">
        <v>96</v>
      </c>
      <c r="O2286" s="6" t="s">
        <v>97</v>
      </c>
      <c r="P2286" s="19">
        <v>0</v>
      </c>
    </row>
    <row r="2287" spans="12:16" ht="15.75" customHeight="1" x14ac:dyDescent="0.3">
      <c r="L2287" s="6" t="s">
        <v>187</v>
      </c>
      <c r="M2287" s="6" t="s">
        <v>446</v>
      </c>
      <c r="N2287" s="6" t="s">
        <v>100</v>
      </c>
      <c r="O2287" s="6" t="s">
        <v>101</v>
      </c>
      <c r="P2287" s="19">
        <v>0</v>
      </c>
    </row>
    <row r="2288" spans="12:16" ht="15.75" customHeight="1" x14ac:dyDescent="0.3">
      <c r="L2288" s="6" t="s">
        <v>187</v>
      </c>
      <c r="M2288" s="6" t="s">
        <v>446</v>
      </c>
      <c r="N2288" s="6" t="s">
        <v>22</v>
      </c>
      <c r="O2288" s="6" t="s">
        <v>104</v>
      </c>
      <c r="P2288" s="19">
        <v>0</v>
      </c>
    </row>
    <row r="2289" spans="12:16" ht="15.75" customHeight="1" x14ac:dyDescent="0.3">
      <c r="L2289" s="6" t="s">
        <v>187</v>
      </c>
      <c r="M2289" s="6" t="s">
        <v>446</v>
      </c>
      <c r="N2289" s="6" t="s">
        <v>23</v>
      </c>
      <c r="O2289" s="6" t="s">
        <v>107</v>
      </c>
      <c r="P2289" s="25" t="s">
        <v>222</v>
      </c>
    </row>
    <row r="2290" spans="12:16" ht="15.75" customHeight="1" x14ac:dyDescent="0.3">
      <c r="L2290" s="6" t="s">
        <v>187</v>
      </c>
      <c r="M2290" s="6" t="s">
        <v>446</v>
      </c>
      <c r="N2290" s="6" t="s">
        <v>24</v>
      </c>
      <c r="O2290" s="6" t="s">
        <v>109</v>
      </c>
      <c r="P2290" s="25" t="s">
        <v>222</v>
      </c>
    </row>
    <row r="2291" spans="12:16" ht="15.75" customHeight="1" x14ac:dyDescent="0.3">
      <c r="L2291" s="6" t="s">
        <v>187</v>
      </c>
      <c r="M2291" s="6" t="s">
        <v>446</v>
      </c>
      <c r="N2291" s="6" t="s">
        <v>25</v>
      </c>
      <c r="O2291" s="6" t="s">
        <v>111</v>
      </c>
      <c r="P2291" s="19">
        <v>0</v>
      </c>
    </row>
    <row r="2292" spans="12:16" ht="15.75" customHeight="1" x14ac:dyDescent="0.3">
      <c r="L2292" s="6" t="s">
        <v>187</v>
      </c>
      <c r="M2292" s="6" t="s">
        <v>446</v>
      </c>
      <c r="N2292" s="6" t="s">
        <v>26</v>
      </c>
      <c r="O2292" s="6" t="s">
        <v>113</v>
      </c>
      <c r="P2292" s="19">
        <v>0</v>
      </c>
    </row>
    <row r="2293" spans="12:16" ht="15.75" customHeight="1" x14ac:dyDescent="0.3">
      <c r="L2293" s="6" t="s">
        <v>187</v>
      </c>
      <c r="M2293" s="6" t="s">
        <v>446</v>
      </c>
      <c r="N2293" s="6" t="s">
        <v>27</v>
      </c>
      <c r="O2293" s="6" t="s">
        <v>117</v>
      </c>
      <c r="P2293" s="25" t="s">
        <v>222</v>
      </c>
    </row>
    <row r="2294" spans="12:16" ht="15.75" customHeight="1" x14ac:dyDescent="0.3">
      <c r="L2294" s="6" t="s">
        <v>187</v>
      </c>
      <c r="M2294" s="6" t="s">
        <v>446</v>
      </c>
      <c r="N2294" s="6" t="s">
        <v>29</v>
      </c>
      <c r="O2294" s="6" t="s">
        <v>125</v>
      </c>
      <c r="P2294" s="19">
        <v>4</v>
      </c>
    </row>
    <row r="2295" spans="12:16" ht="15.75" customHeight="1" x14ac:dyDescent="0.3">
      <c r="L2295" s="6" t="s">
        <v>187</v>
      </c>
      <c r="M2295" s="6" t="s">
        <v>446</v>
      </c>
      <c r="N2295" s="6" t="s">
        <v>135</v>
      </c>
      <c r="O2295" s="6" t="s">
        <v>136</v>
      </c>
      <c r="P2295" s="19">
        <v>0</v>
      </c>
    </row>
    <row r="2296" spans="12:16" ht="15.75" customHeight="1" x14ac:dyDescent="0.3">
      <c r="L2296" s="6" t="s">
        <v>187</v>
      </c>
      <c r="M2296" s="6" t="s">
        <v>446</v>
      </c>
      <c r="N2296" s="6" t="s">
        <v>138</v>
      </c>
      <c r="O2296" s="6" t="s">
        <v>139</v>
      </c>
      <c r="P2296" s="19">
        <v>0</v>
      </c>
    </row>
    <row r="2297" spans="12:16" ht="15.75" customHeight="1" x14ac:dyDescent="0.3">
      <c r="L2297" s="6" t="s">
        <v>187</v>
      </c>
      <c r="M2297" s="6" t="s">
        <v>446</v>
      </c>
      <c r="N2297" s="6" t="s">
        <v>30</v>
      </c>
      <c r="O2297" s="6" t="s">
        <v>148</v>
      </c>
      <c r="P2297" s="25" t="s">
        <v>173</v>
      </c>
    </row>
    <row r="2298" spans="12:16" ht="15.75" customHeight="1" x14ac:dyDescent="0.3">
      <c r="L2298" s="6" t="s">
        <v>187</v>
      </c>
      <c r="M2298" s="6" t="s">
        <v>446</v>
      </c>
      <c r="N2298" s="6" t="s">
        <v>156</v>
      </c>
      <c r="O2298" s="6" t="s">
        <v>157</v>
      </c>
      <c r="P2298" s="19">
        <v>-1</v>
      </c>
    </row>
    <row r="2299" spans="12:16" ht="15.75" customHeight="1" x14ac:dyDescent="0.3">
      <c r="L2299" s="6" t="s">
        <v>187</v>
      </c>
      <c r="M2299" s="6" t="s">
        <v>446</v>
      </c>
      <c r="N2299" s="6" t="s">
        <v>158</v>
      </c>
      <c r="O2299" s="6" t="s">
        <v>159</v>
      </c>
      <c r="P2299" s="19">
        <v>1</v>
      </c>
    </row>
    <row r="2300" spans="12:16" ht="15.75" customHeight="1" x14ac:dyDescent="0.3">
      <c r="L2300" s="6" t="s">
        <v>187</v>
      </c>
      <c r="M2300" s="6" t="s">
        <v>446</v>
      </c>
      <c r="N2300" s="6" t="s">
        <v>160</v>
      </c>
      <c r="O2300" s="6" t="s">
        <v>161</v>
      </c>
      <c r="P2300" s="19">
        <v>0</v>
      </c>
    </row>
    <row r="2301" spans="12:16" ht="15.75" customHeight="1" x14ac:dyDescent="0.3">
      <c r="L2301" s="6" t="s">
        <v>187</v>
      </c>
      <c r="M2301" s="6" t="s">
        <v>446</v>
      </c>
      <c r="N2301" s="6" t="s">
        <v>162</v>
      </c>
      <c r="O2301" s="6" t="s">
        <v>163</v>
      </c>
      <c r="P2301" s="19">
        <v>0</v>
      </c>
    </row>
    <row r="2302" spans="12:16" ht="15.75" customHeight="1" x14ac:dyDescent="0.3">
      <c r="L2302" s="6" t="s">
        <v>187</v>
      </c>
      <c r="M2302" s="6" t="s">
        <v>446</v>
      </c>
      <c r="N2302" s="6" t="s">
        <v>165</v>
      </c>
      <c r="O2302" s="6" t="s">
        <v>166</v>
      </c>
      <c r="P2302" s="19">
        <v>4</v>
      </c>
    </row>
    <row r="2303" spans="12:16" ht="15.75" customHeight="1" x14ac:dyDescent="0.3">
      <c r="L2303" s="6" t="s">
        <v>187</v>
      </c>
      <c r="M2303" s="6" t="s">
        <v>449</v>
      </c>
      <c r="N2303" s="6" t="s">
        <v>72</v>
      </c>
      <c r="O2303" s="6" t="s">
        <v>75</v>
      </c>
      <c r="P2303" s="19">
        <v>0</v>
      </c>
    </row>
    <row r="2304" spans="12:16" ht="15.75" customHeight="1" x14ac:dyDescent="0.3">
      <c r="L2304" s="6" t="s">
        <v>187</v>
      </c>
      <c r="M2304" s="6" t="s">
        <v>449</v>
      </c>
      <c r="N2304" s="6" t="s">
        <v>83</v>
      </c>
      <c r="O2304" s="6" t="s">
        <v>84</v>
      </c>
      <c r="P2304" s="19">
        <v>0</v>
      </c>
    </row>
    <row r="2305" spans="12:16" ht="15.75" customHeight="1" x14ac:dyDescent="0.3">
      <c r="L2305" s="6" t="s">
        <v>187</v>
      </c>
      <c r="M2305" s="6" t="s">
        <v>449</v>
      </c>
      <c r="N2305" s="6" t="s">
        <v>88</v>
      </c>
      <c r="O2305" s="6" t="s">
        <v>90</v>
      </c>
      <c r="P2305" s="19">
        <v>0</v>
      </c>
    </row>
    <row r="2306" spans="12:16" ht="15.75" customHeight="1" x14ac:dyDescent="0.3">
      <c r="L2306" s="6" t="s">
        <v>187</v>
      </c>
      <c r="M2306" s="6" t="s">
        <v>449</v>
      </c>
      <c r="N2306" s="6" t="s">
        <v>96</v>
      </c>
      <c r="O2306" s="6" t="s">
        <v>97</v>
      </c>
      <c r="P2306" s="19">
        <v>0</v>
      </c>
    </row>
    <row r="2307" spans="12:16" ht="15.75" customHeight="1" x14ac:dyDescent="0.3">
      <c r="L2307" s="6" t="s">
        <v>187</v>
      </c>
      <c r="M2307" s="6" t="s">
        <v>449</v>
      </c>
      <c r="N2307" s="6" t="s">
        <v>100</v>
      </c>
      <c r="O2307" s="6" t="s">
        <v>101</v>
      </c>
      <c r="P2307" s="19">
        <v>0</v>
      </c>
    </row>
    <row r="2308" spans="12:16" ht="15.75" customHeight="1" x14ac:dyDescent="0.3">
      <c r="L2308" s="6" t="s">
        <v>187</v>
      </c>
      <c r="M2308" s="6" t="s">
        <v>449</v>
      </c>
      <c r="N2308" s="6" t="s">
        <v>22</v>
      </c>
      <c r="O2308" s="6" t="s">
        <v>104</v>
      </c>
      <c r="P2308" s="19">
        <v>0</v>
      </c>
    </row>
    <row r="2309" spans="12:16" ht="15.75" customHeight="1" x14ac:dyDescent="0.3">
      <c r="L2309" s="6" t="s">
        <v>187</v>
      </c>
      <c r="M2309" s="6" t="s">
        <v>449</v>
      </c>
      <c r="N2309" s="6" t="s">
        <v>23</v>
      </c>
      <c r="O2309" s="6" t="s">
        <v>107</v>
      </c>
      <c r="P2309" s="25" t="s">
        <v>222</v>
      </c>
    </row>
    <row r="2310" spans="12:16" ht="15.75" customHeight="1" x14ac:dyDescent="0.3">
      <c r="L2310" s="6" t="s">
        <v>187</v>
      </c>
      <c r="M2310" s="6" t="s">
        <v>449</v>
      </c>
      <c r="N2310" s="6" t="s">
        <v>24</v>
      </c>
      <c r="O2310" s="6" t="s">
        <v>109</v>
      </c>
      <c r="P2310" s="25" t="s">
        <v>222</v>
      </c>
    </row>
    <row r="2311" spans="12:16" ht="15.75" customHeight="1" x14ac:dyDescent="0.3">
      <c r="L2311" s="6" t="s">
        <v>187</v>
      </c>
      <c r="M2311" s="6" t="s">
        <v>449</v>
      </c>
      <c r="N2311" s="6" t="s">
        <v>25</v>
      </c>
      <c r="O2311" s="6" t="s">
        <v>111</v>
      </c>
      <c r="P2311" s="19">
        <v>0</v>
      </c>
    </row>
    <row r="2312" spans="12:16" ht="15.75" customHeight="1" x14ac:dyDescent="0.3">
      <c r="L2312" s="6" t="s">
        <v>187</v>
      </c>
      <c r="M2312" s="6" t="s">
        <v>449</v>
      </c>
      <c r="N2312" s="6" t="s">
        <v>26</v>
      </c>
      <c r="O2312" s="6" t="s">
        <v>113</v>
      </c>
      <c r="P2312" s="19">
        <v>0</v>
      </c>
    </row>
    <row r="2313" spans="12:16" ht="15.75" customHeight="1" x14ac:dyDescent="0.3">
      <c r="L2313" s="6" t="s">
        <v>187</v>
      </c>
      <c r="M2313" s="6" t="s">
        <v>449</v>
      </c>
      <c r="N2313" s="6" t="s">
        <v>27</v>
      </c>
      <c r="O2313" s="6" t="s">
        <v>117</v>
      </c>
      <c r="P2313" s="25" t="s">
        <v>222</v>
      </c>
    </row>
    <row r="2314" spans="12:16" ht="15.75" customHeight="1" x14ac:dyDescent="0.3">
      <c r="L2314" s="6" t="s">
        <v>187</v>
      </c>
      <c r="M2314" s="6" t="s">
        <v>449</v>
      </c>
      <c r="N2314" s="6" t="s">
        <v>29</v>
      </c>
      <c r="O2314" s="6" t="s">
        <v>125</v>
      </c>
      <c r="P2314" s="19">
        <v>1</v>
      </c>
    </row>
    <row r="2315" spans="12:16" ht="15.75" customHeight="1" x14ac:dyDescent="0.3">
      <c r="L2315" s="6" t="s">
        <v>187</v>
      </c>
      <c r="M2315" s="6" t="s">
        <v>449</v>
      </c>
      <c r="N2315" s="6" t="s">
        <v>135</v>
      </c>
      <c r="O2315" s="6" t="s">
        <v>136</v>
      </c>
      <c r="P2315" s="19">
        <v>0</v>
      </c>
    </row>
    <row r="2316" spans="12:16" ht="15.75" customHeight="1" x14ac:dyDescent="0.3">
      <c r="L2316" s="6" t="s">
        <v>187</v>
      </c>
      <c r="M2316" s="6" t="s">
        <v>449</v>
      </c>
      <c r="N2316" s="6" t="s">
        <v>138</v>
      </c>
      <c r="O2316" s="6" t="s">
        <v>139</v>
      </c>
      <c r="P2316" s="19">
        <v>0</v>
      </c>
    </row>
    <row r="2317" spans="12:16" ht="15.75" customHeight="1" x14ac:dyDescent="0.3">
      <c r="L2317" s="6" t="s">
        <v>187</v>
      </c>
      <c r="M2317" s="6" t="s">
        <v>449</v>
      </c>
      <c r="N2317" s="6" t="s">
        <v>30</v>
      </c>
      <c r="O2317" s="6" t="s">
        <v>148</v>
      </c>
      <c r="P2317" s="25" t="s">
        <v>173</v>
      </c>
    </row>
    <row r="2318" spans="12:16" ht="15.75" customHeight="1" x14ac:dyDescent="0.3">
      <c r="L2318" s="6" t="s">
        <v>187</v>
      </c>
      <c r="M2318" s="6" t="s">
        <v>449</v>
      </c>
      <c r="N2318" s="6" t="s">
        <v>156</v>
      </c>
      <c r="O2318" s="6" t="s">
        <v>157</v>
      </c>
      <c r="P2318" s="19">
        <v>-1</v>
      </c>
    </row>
    <row r="2319" spans="12:16" ht="15.75" customHeight="1" x14ac:dyDescent="0.3">
      <c r="L2319" s="6" t="s">
        <v>187</v>
      </c>
      <c r="M2319" s="6" t="s">
        <v>449</v>
      </c>
      <c r="N2319" s="6" t="s">
        <v>158</v>
      </c>
      <c r="O2319" s="6" t="s">
        <v>159</v>
      </c>
      <c r="P2319" s="19">
        <v>1</v>
      </c>
    </row>
    <row r="2320" spans="12:16" ht="15.75" customHeight="1" x14ac:dyDescent="0.3">
      <c r="L2320" s="6" t="s">
        <v>187</v>
      </c>
      <c r="M2320" s="6" t="s">
        <v>449</v>
      </c>
      <c r="N2320" s="6" t="s">
        <v>160</v>
      </c>
      <c r="O2320" s="6" t="s">
        <v>161</v>
      </c>
      <c r="P2320" s="19">
        <v>0</v>
      </c>
    </row>
    <row r="2321" spans="12:16" ht="15.75" customHeight="1" x14ac:dyDescent="0.3">
      <c r="L2321" s="6" t="s">
        <v>187</v>
      </c>
      <c r="M2321" s="6" t="s">
        <v>449</v>
      </c>
      <c r="N2321" s="6" t="s">
        <v>162</v>
      </c>
      <c r="O2321" s="6" t="s">
        <v>163</v>
      </c>
      <c r="P2321" s="19">
        <v>0</v>
      </c>
    </row>
    <row r="2322" spans="12:16" ht="15.75" customHeight="1" x14ac:dyDescent="0.3">
      <c r="L2322" s="6" t="s">
        <v>187</v>
      </c>
      <c r="M2322" s="6" t="s">
        <v>449</v>
      </c>
      <c r="N2322" s="6" t="s">
        <v>165</v>
      </c>
      <c r="O2322" s="6" t="s">
        <v>166</v>
      </c>
      <c r="P2322" s="19">
        <v>0</v>
      </c>
    </row>
    <row r="2323" spans="12:16" ht="15.75" customHeight="1" x14ac:dyDescent="0.3">
      <c r="L2323" s="6" t="s">
        <v>187</v>
      </c>
      <c r="M2323" s="6" t="s">
        <v>451</v>
      </c>
      <c r="N2323" s="6" t="s">
        <v>72</v>
      </c>
      <c r="O2323" s="6" t="s">
        <v>75</v>
      </c>
      <c r="P2323" s="19">
        <v>0</v>
      </c>
    </row>
    <row r="2324" spans="12:16" ht="15.75" customHeight="1" x14ac:dyDescent="0.3">
      <c r="L2324" s="6" t="s">
        <v>187</v>
      </c>
      <c r="M2324" s="6" t="s">
        <v>451</v>
      </c>
      <c r="N2324" s="6" t="s">
        <v>83</v>
      </c>
      <c r="O2324" s="6" t="s">
        <v>84</v>
      </c>
      <c r="P2324" s="19">
        <v>0</v>
      </c>
    </row>
    <row r="2325" spans="12:16" ht="15.75" customHeight="1" x14ac:dyDescent="0.3">
      <c r="L2325" s="6" t="s">
        <v>187</v>
      </c>
      <c r="M2325" s="6" t="s">
        <v>451</v>
      </c>
      <c r="N2325" s="6" t="s">
        <v>88</v>
      </c>
      <c r="O2325" s="6" t="s">
        <v>90</v>
      </c>
      <c r="P2325" s="19">
        <v>0</v>
      </c>
    </row>
    <row r="2326" spans="12:16" ht="15.75" customHeight="1" x14ac:dyDescent="0.3">
      <c r="L2326" s="6" t="s">
        <v>187</v>
      </c>
      <c r="M2326" s="6" t="s">
        <v>451</v>
      </c>
      <c r="N2326" s="6" t="s">
        <v>96</v>
      </c>
      <c r="O2326" s="6" t="s">
        <v>97</v>
      </c>
      <c r="P2326" s="19">
        <v>0</v>
      </c>
    </row>
    <row r="2327" spans="12:16" ht="15.75" customHeight="1" x14ac:dyDescent="0.3">
      <c r="L2327" s="6" t="s">
        <v>187</v>
      </c>
      <c r="M2327" s="6" t="s">
        <v>451</v>
      </c>
      <c r="N2327" s="6" t="s">
        <v>100</v>
      </c>
      <c r="O2327" s="6" t="s">
        <v>101</v>
      </c>
      <c r="P2327" s="19">
        <v>0</v>
      </c>
    </row>
    <row r="2328" spans="12:16" ht="15.75" customHeight="1" x14ac:dyDescent="0.3">
      <c r="L2328" s="6" t="s">
        <v>187</v>
      </c>
      <c r="M2328" s="6" t="s">
        <v>451</v>
      </c>
      <c r="N2328" s="6" t="s">
        <v>22</v>
      </c>
      <c r="O2328" s="6" t="s">
        <v>104</v>
      </c>
      <c r="P2328" s="19">
        <v>0</v>
      </c>
    </row>
    <row r="2329" spans="12:16" ht="15.75" customHeight="1" x14ac:dyDescent="0.3">
      <c r="L2329" s="6" t="s">
        <v>187</v>
      </c>
      <c r="M2329" s="6" t="s">
        <v>451</v>
      </c>
      <c r="N2329" s="6" t="s">
        <v>23</v>
      </c>
      <c r="O2329" s="6" t="s">
        <v>107</v>
      </c>
      <c r="P2329" s="25" t="s">
        <v>222</v>
      </c>
    </row>
    <row r="2330" spans="12:16" ht="15.75" customHeight="1" x14ac:dyDescent="0.3">
      <c r="L2330" s="6" t="s">
        <v>187</v>
      </c>
      <c r="M2330" s="6" t="s">
        <v>451</v>
      </c>
      <c r="N2330" s="6" t="s">
        <v>24</v>
      </c>
      <c r="O2330" s="6" t="s">
        <v>109</v>
      </c>
      <c r="P2330" s="25" t="s">
        <v>222</v>
      </c>
    </row>
    <row r="2331" spans="12:16" ht="15.75" customHeight="1" x14ac:dyDescent="0.3">
      <c r="L2331" s="6" t="s">
        <v>187</v>
      </c>
      <c r="M2331" s="6" t="s">
        <v>451</v>
      </c>
      <c r="N2331" s="6" t="s">
        <v>25</v>
      </c>
      <c r="O2331" s="6" t="s">
        <v>111</v>
      </c>
      <c r="P2331" s="19">
        <v>0</v>
      </c>
    </row>
    <row r="2332" spans="12:16" ht="15.75" customHeight="1" x14ac:dyDescent="0.3">
      <c r="L2332" s="6" t="s">
        <v>187</v>
      </c>
      <c r="M2332" s="6" t="s">
        <v>451</v>
      </c>
      <c r="N2332" s="6" t="s">
        <v>26</v>
      </c>
      <c r="O2332" s="6" t="s">
        <v>113</v>
      </c>
      <c r="P2332" s="19">
        <v>0</v>
      </c>
    </row>
    <row r="2333" spans="12:16" ht="15.75" customHeight="1" x14ac:dyDescent="0.3">
      <c r="L2333" s="6" t="s">
        <v>187</v>
      </c>
      <c r="M2333" s="6" t="s">
        <v>451</v>
      </c>
      <c r="N2333" s="6" t="s">
        <v>27</v>
      </c>
      <c r="O2333" s="6" t="s">
        <v>117</v>
      </c>
      <c r="P2333" s="25" t="s">
        <v>222</v>
      </c>
    </row>
    <row r="2334" spans="12:16" ht="15.75" customHeight="1" x14ac:dyDescent="0.3">
      <c r="L2334" s="6" t="s">
        <v>187</v>
      </c>
      <c r="M2334" s="6" t="s">
        <v>451</v>
      </c>
      <c r="N2334" s="6" t="s">
        <v>29</v>
      </c>
      <c r="O2334" s="6" t="s">
        <v>125</v>
      </c>
      <c r="P2334" s="19">
        <v>1</v>
      </c>
    </row>
    <row r="2335" spans="12:16" ht="15.75" customHeight="1" x14ac:dyDescent="0.3">
      <c r="L2335" s="6" t="s">
        <v>187</v>
      </c>
      <c r="M2335" s="6" t="s">
        <v>451</v>
      </c>
      <c r="N2335" s="6" t="s">
        <v>135</v>
      </c>
      <c r="O2335" s="6" t="s">
        <v>136</v>
      </c>
      <c r="P2335" s="19">
        <v>0</v>
      </c>
    </row>
    <row r="2336" spans="12:16" ht="15.75" customHeight="1" x14ac:dyDescent="0.3">
      <c r="L2336" s="6" t="s">
        <v>187</v>
      </c>
      <c r="M2336" s="6" t="s">
        <v>451</v>
      </c>
      <c r="N2336" s="6" t="s">
        <v>138</v>
      </c>
      <c r="O2336" s="6" t="s">
        <v>139</v>
      </c>
      <c r="P2336" s="19">
        <v>0</v>
      </c>
    </row>
    <row r="2337" spans="12:16" ht="15.75" customHeight="1" x14ac:dyDescent="0.3">
      <c r="L2337" s="6" t="s">
        <v>187</v>
      </c>
      <c r="M2337" s="6" t="s">
        <v>451</v>
      </c>
      <c r="N2337" s="6" t="s">
        <v>30</v>
      </c>
      <c r="O2337" s="6" t="s">
        <v>148</v>
      </c>
      <c r="P2337" s="25" t="s">
        <v>173</v>
      </c>
    </row>
    <row r="2338" spans="12:16" ht="15.75" customHeight="1" x14ac:dyDescent="0.3">
      <c r="L2338" s="6" t="s">
        <v>187</v>
      </c>
      <c r="M2338" s="6" t="s">
        <v>451</v>
      </c>
      <c r="N2338" s="6" t="s">
        <v>156</v>
      </c>
      <c r="O2338" s="6" t="s">
        <v>157</v>
      </c>
      <c r="P2338" s="19">
        <v>-1</v>
      </c>
    </row>
    <row r="2339" spans="12:16" ht="15.75" customHeight="1" x14ac:dyDescent="0.3">
      <c r="L2339" s="6" t="s">
        <v>187</v>
      </c>
      <c r="M2339" s="6" t="s">
        <v>451</v>
      </c>
      <c r="N2339" s="6" t="s">
        <v>158</v>
      </c>
      <c r="O2339" s="6" t="s">
        <v>159</v>
      </c>
      <c r="P2339" s="19">
        <v>1</v>
      </c>
    </row>
    <row r="2340" spans="12:16" ht="15.75" customHeight="1" x14ac:dyDescent="0.3">
      <c r="L2340" s="6" t="s">
        <v>187</v>
      </c>
      <c r="M2340" s="6" t="s">
        <v>451</v>
      </c>
      <c r="N2340" s="6" t="s">
        <v>160</v>
      </c>
      <c r="O2340" s="6" t="s">
        <v>161</v>
      </c>
      <c r="P2340" s="19">
        <v>0</v>
      </c>
    </row>
    <row r="2341" spans="12:16" ht="15.75" customHeight="1" x14ac:dyDescent="0.3">
      <c r="L2341" s="6" t="s">
        <v>187</v>
      </c>
      <c r="M2341" s="6" t="s">
        <v>451</v>
      </c>
      <c r="N2341" s="6" t="s">
        <v>162</v>
      </c>
      <c r="O2341" s="6" t="s">
        <v>163</v>
      </c>
      <c r="P2341" s="19">
        <v>0</v>
      </c>
    </row>
    <row r="2342" spans="12:16" ht="15.75" customHeight="1" x14ac:dyDescent="0.3">
      <c r="L2342" s="6" t="s">
        <v>187</v>
      </c>
      <c r="M2342" s="6" t="s">
        <v>451</v>
      </c>
      <c r="N2342" s="6" t="s">
        <v>165</v>
      </c>
      <c r="O2342" s="6" t="s">
        <v>166</v>
      </c>
      <c r="P2342" s="19">
        <v>0</v>
      </c>
    </row>
    <row r="2343" spans="12:16" ht="15.75" customHeight="1" x14ac:dyDescent="0.3">
      <c r="L2343" s="6" t="s">
        <v>187</v>
      </c>
      <c r="M2343" s="6" t="s">
        <v>452</v>
      </c>
      <c r="N2343" s="6" t="s">
        <v>72</v>
      </c>
      <c r="O2343" s="6" t="s">
        <v>75</v>
      </c>
      <c r="P2343" s="19">
        <v>0</v>
      </c>
    </row>
    <row r="2344" spans="12:16" ht="15.75" customHeight="1" x14ac:dyDescent="0.3">
      <c r="L2344" s="6" t="s">
        <v>187</v>
      </c>
      <c r="M2344" s="6" t="s">
        <v>452</v>
      </c>
      <c r="N2344" s="6" t="s">
        <v>83</v>
      </c>
      <c r="O2344" s="6" t="s">
        <v>84</v>
      </c>
      <c r="P2344" s="19">
        <v>0</v>
      </c>
    </row>
    <row r="2345" spans="12:16" ht="15.75" customHeight="1" x14ac:dyDescent="0.3">
      <c r="L2345" s="6" t="s">
        <v>187</v>
      </c>
      <c r="M2345" s="6" t="s">
        <v>452</v>
      </c>
      <c r="N2345" s="6" t="s">
        <v>88</v>
      </c>
      <c r="O2345" s="6" t="s">
        <v>90</v>
      </c>
      <c r="P2345" s="19">
        <v>0</v>
      </c>
    </row>
    <row r="2346" spans="12:16" ht="15.75" customHeight="1" x14ac:dyDescent="0.3">
      <c r="L2346" s="6" t="s">
        <v>187</v>
      </c>
      <c r="M2346" s="6" t="s">
        <v>452</v>
      </c>
      <c r="N2346" s="6" t="s">
        <v>96</v>
      </c>
      <c r="O2346" s="6" t="s">
        <v>97</v>
      </c>
      <c r="P2346" s="19">
        <v>0</v>
      </c>
    </row>
    <row r="2347" spans="12:16" ht="15.75" customHeight="1" x14ac:dyDescent="0.3">
      <c r="L2347" s="6" t="s">
        <v>187</v>
      </c>
      <c r="M2347" s="6" t="s">
        <v>452</v>
      </c>
      <c r="N2347" s="6" t="s">
        <v>100</v>
      </c>
      <c r="O2347" s="6" t="s">
        <v>101</v>
      </c>
      <c r="P2347" s="19">
        <v>0</v>
      </c>
    </row>
    <row r="2348" spans="12:16" ht="15.75" customHeight="1" x14ac:dyDescent="0.3">
      <c r="L2348" s="6" t="s">
        <v>187</v>
      </c>
      <c r="M2348" s="6" t="s">
        <v>452</v>
      </c>
      <c r="N2348" s="6" t="s">
        <v>22</v>
      </c>
      <c r="O2348" s="6" t="s">
        <v>104</v>
      </c>
      <c r="P2348" s="19">
        <v>0</v>
      </c>
    </row>
    <row r="2349" spans="12:16" ht="15.75" customHeight="1" x14ac:dyDescent="0.3">
      <c r="L2349" s="6" t="s">
        <v>187</v>
      </c>
      <c r="M2349" s="6" t="s">
        <v>452</v>
      </c>
      <c r="N2349" s="6" t="s">
        <v>23</v>
      </c>
      <c r="O2349" s="6" t="s">
        <v>107</v>
      </c>
      <c r="P2349" s="25" t="s">
        <v>222</v>
      </c>
    </row>
    <row r="2350" spans="12:16" ht="15.75" customHeight="1" x14ac:dyDescent="0.3">
      <c r="L2350" s="6" t="s">
        <v>187</v>
      </c>
      <c r="M2350" s="6" t="s">
        <v>452</v>
      </c>
      <c r="N2350" s="6" t="s">
        <v>24</v>
      </c>
      <c r="O2350" s="6" t="s">
        <v>109</v>
      </c>
      <c r="P2350" s="25" t="s">
        <v>222</v>
      </c>
    </row>
    <row r="2351" spans="12:16" ht="15.75" customHeight="1" x14ac:dyDescent="0.3">
      <c r="L2351" s="6" t="s">
        <v>187</v>
      </c>
      <c r="M2351" s="6" t="s">
        <v>452</v>
      </c>
      <c r="N2351" s="6" t="s">
        <v>25</v>
      </c>
      <c r="O2351" s="6" t="s">
        <v>111</v>
      </c>
      <c r="P2351" s="19">
        <v>0</v>
      </c>
    </row>
    <row r="2352" spans="12:16" ht="15.75" customHeight="1" x14ac:dyDescent="0.3">
      <c r="L2352" s="6" t="s">
        <v>187</v>
      </c>
      <c r="M2352" s="6" t="s">
        <v>452</v>
      </c>
      <c r="N2352" s="6" t="s">
        <v>26</v>
      </c>
      <c r="O2352" s="6" t="s">
        <v>113</v>
      </c>
      <c r="P2352" s="19">
        <v>0</v>
      </c>
    </row>
    <row r="2353" spans="12:16" ht="15.75" customHeight="1" x14ac:dyDescent="0.3">
      <c r="L2353" s="6" t="s">
        <v>187</v>
      </c>
      <c r="M2353" s="6" t="s">
        <v>452</v>
      </c>
      <c r="N2353" s="6" t="s">
        <v>27</v>
      </c>
      <c r="O2353" s="6" t="s">
        <v>117</v>
      </c>
      <c r="P2353" s="25" t="s">
        <v>222</v>
      </c>
    </row>
    <row r="2354" spans="12:16" ht="15.75" customHeight="1" x14ac:dyDescent="0.3">
      <c r="L2354" s="6" t="s">
        <v>187</v>
      </c>
      <c r="M2354" s="6" t="s">
        <v>452</v>
      </c>
      <c r="N2354" s="6" t="s">
        <v>29</v>
      </c>
      <c r="O2354" s="6" t="s">
        <v>125</v>
      </c>
      <c r="P2354" s="19">
        <v>1</v>
      </c>
    </row>
    <row r="2355" spans="12:16" ht="15.75" customHeight="1" x14ac:dyDescent="0.3">
      <c r="L2355" s="6" t="s">
        <v>187</v>
      </c>
      <c r="M2355" s="6" t="s">
        <v>452</v>
      </c>
      <c r="N2355" s="6" t="s">
        <v>135</v>
      </c>
      <c r="O2355" s="6" t="s">
        <v>136</v>
      </c>
      <c r="P2355" s="19">
        <v>0</v>
      </c>
    </row>
    <row r="2356" spans="12:16" ht="15.75" customHeight="1" x14ac:dyDescent="0.3">
      <c r="L2356" s="6" t="s">
        <v>187</v>
      </c>
      <c r="M2356" s="6" t="s">
        <v>452</v>
      </c>
      <c r="N2356" s="6" t="s">
        <v>138</v>
      </c>
      <c r="O2356" s="6" t="s">
        <v>139</v>
      </c>
      <c r="P2356" s="19">
        <v>0</v>
      </c>
    </row>
    <row r="2357" spans="12:16" ht="15.75" customHeight="1" x14ac:dyDescent="0.3">
      <c r="L2357" s="6" t="s">
        <v>187</v>
      </c>
      <c r="M2357" s="6" t="s">
        <v>452</v>
      </c>
      <c r="N2357" s="6" t="s">
        <v>30</v>
      </c>
      <c r="O2357" s="6" t="s">
        <v>148</v>
      </c>
      <c r="P2357" s="25" t="s">
        <v>173</v>
      </c>
    </row>
    <row r="2358" spans="12:16" ht="15.75" customHeight="1" x14ac:dyDescent="0.3">
      <c r="L2358" s="6" t="s">
        <v>187</v>
      </c>
      <c r="M2358" s="6" t="s">
        <v>452</v>
      </c>
      <c r="N2358" s="6" t="s">
        <v>156</v>
      </c>
      <c r="O2358" s="6" t="s">
        <v>157</v>
      </c>
      <c r="P2358" s="19">
        <v>-1</v>
      </c>
    </row>
    <row r="2359" spans="12:16" ht="15.75" customHeight="1" x14ac:dyDescent="0.3">
      <c r="L2359" s="6" t="s">
        <v>187</v>
      </c>
      <c r="M2359" s="6" t="s">
        <v>452</v>
      </c>
      <c r="N2359" s="6" t="s">
        <v>158</v>
      </c>
      <c r="O2359" s="6" t="s">
        <v>159</v>
      </c>
      <c r="P2359" s="19">
        <v>1</v>
      </c>
    </row>
    <row r="2360" spans="12:16" ht="15.75" customHeight="1" x14ac:dyDescent="0.3">
      <c r="L2360" s="6" t="s">
        <v>187</v>
      </c>
      <c r="M2360" s="6" t="s">
        <v>452</v>
      </c>
      <c r="N2360" s="6" t="s">
        <v>160</v>
      </c>
      <c r="O2360" s="6" t="s">
        <v>161</v>
      </c>
      <c r="P2360" s="19">
        <v>0</v>
      </c>
    </row>
    <row r="2361" spans="12:16" ht="15.75" customHeight="1" x14ac:dyDescent="0.3">
      <c r="L2361" s="6" t="s">
        <v>187</v>
      </c>
      <c r="M2361" s="6" t="s">
        <v>452</v>
      </c>
      <c r="N2361" s="6" t="s">
        <v>162</v>
      </c>
      <c r="O2361" s="6" t="s">
        <v>163</v>
      </c>
      <c r="P2361" s="19">
        <v>0</v>
      </c>
    </row>
    <row r="2362" spans="12:16" ht="15.75" customHeight="1" x14ac:dyDescent="0.3">
      <c r="L2362" s="6" t="s">
        <v>187</v>
      </c>
      <c r="M2362" s="6" t="s">
        <v>452</v>
      </c>
      <c r="N2362" s="6" t="s">
        <v>165</v>
      </c>
      <c r="O2362" s="6" t="s">
        <v>166</v>
      </c>
      <c r="P2362" s="19">
        <v>0</v>
      </c>
    </row>
    <row r="2363" spans="12:16" ht="15.75" customHeight="1" x14ac:dyDescent="0.3">
      <c r="L2363" s="6" t="s">
        <v>187</v>
      </c>
      <c r="M2363" s="6" t="s">
        <v>455</v>
      </c>
      <c r="N2363" s="6" t="s">
        <v>72</v>
      </c>
      <c r="O2363" s="6" t="s">
        <v>75</v>
      </c>
      <c r="P2363" s="19">
        <v>0</v>
      </c>
    </row>
    <row r="2364" spans="12:16" ht="15.75" customHeight="1" x14ac:dyDescent="0.3">
      <c r="L2364" s="6" t="s">
        <v>187</v>
      </c>
      <c r="M2364" s="6" t="s">
        <v>455</v>
      </c>
      <c r="N2364" s="6" t="s">
        <v>83</v>
      </c>
      <c r="O2364" s="6" t="s">
        <v>84</v>
      </c>
      <c r="P2364" s="19">
        <v>0</v>
      </c>
    </row>
    <row r="2365" spans="12:16" ht="15.75" customHeight="1" x14ac:dyDescent="0.3">
      <c r="L2365" s="6" t="s">
        <v>187</v>
      </c>
      <c r="M2365" s="6" t="s">
        <v>455</v>
      </c>
      <c r="N2365" s="6" t="s">
        <v>88</v>
      </c>
      <c r="O2365" s="6" t="s">
        <v>90</v>
      </c>
      <c r="P2365" s="19">
        <v>0</v>
      </c>
    </row>
    <row r="2366" spans="12:16" ht="15.75" customHeight="1" x14ac:dyDescent="0.3">
      <c r="L2366" s="6" t="s">
        <v>187</v>
      </c>
      <c r="M2366" s="6" t="s">
        <v>455</v>
      </c>
      <c r="N2366" s="6" t="s">
        <v>96</v>
      </c>
      <c r="O2366" s="6" t="s">
        <v>97</v>
      </c>
      <c r="P2366" s="19">
        <v>0</v>
      </c>
    </row>
    <row r="2367" spans="12:16" ht="15.75" customHeight="1" x14ac:dyDescent="0.3">
      <c r="L2367" s="6" t="s">
        <v>187</v>
      </c>
      <c r="M2367" s="6" t="s">
        <v>455</v>
      </c>
      <c r="N2367" s="6" t="s">
        <v>100</v>
      </c>
      <c r="O2367" s="6" t="s">
        <v>101</v>
      </c>
      <c r="P2367" s="19">
        <v>0</v>
      </c>
    </row>
    <row r="2368" spans="12:16" ht="15.75" customHeight="1" x14ac:dyDescent="0.3">
      <c r="L2368" s="6" t="s">
        <v>187</v>
      </c>
      <c r="M2368" s="6" t="s">
        <v>455</v>
      </c>
      <c r="N2368" s="6" t="s">
        <v>22</v>
      </c>
      <c r="O2368" s="6" t="s">
        <v>104</v>
      </c>
      <c r="P2368" s="19">
        <v>0</v>
      </c>
    </row>
    <row r="2369" spans="12:16" ht="15.75" customHeight="1" x14ac:dyDescent="0.3">
      <c r="L2369" s="6" t="s">
        <v>187</v>
      </c>
      <c r="M2369" s="6" t="s">
        <v>455</v>
      </c>
      <c r="N2369" s="6" t="s">
        <v>23</v>
      </c>
      <c r="O2369" s="6" t="s">
        <v>107</v>
      </c>
      <c r="P2369" s="25" t="s">
        <v>222</v>
      </c>
    </row>
    <row r="2370" spans="12:16" ht="15.75" customHeight="1" x14ac:dyDescent="0.3">
      <c r="L2370" s="6" t="s">
        <v>187</v>
      </c>
      <c r="M2370" s="6" t="s">
        <v>455</v>
      </c>
      <c r="N2370" s="6" t="s">
        <v>24</v>
      </c>
      <c r="O2370" s="6" t="s">
        <v>109</v>
      </c>
      <c r="P2370" s="25" t="s">
        <v>222</v>
      </c>
    </row>
    <row r="2371" spans="12:16" ht="15.75" customHeight="1" x14ac:dyDescent="0.3">
      <c r="L2371" s="6" t="s">
        <v>187</v>
      </c>
      <c r="M2371" s="6" t="s">
        <v>455</v>
      </c>
      <c r="N2371" s="6" t="s">
        <v>25</v>
      </c>
      <c r="O2371" s="6" t="s">
        <v>111</v>
      </c>
      <c r="P2371" s="19">
        <v>0</v>
      </c>
    </row>
    <row r="2372" spans="12:16" ht="15.75" customHeight="1" x14ac:dyDescent="0.3">
      <c r="L2372" s="6" t="s">
        <v>187</v>
      </c>
      <c r="M2372" s="6" t="s">
        <v>455</v>
      </c>
      <c r="N2372" s="6" t="s">
        <v>26</v>
      </c>
      <c r="O2372" s="6" t="s">
        <v>113</v>
      </c>
      <c r="P2372" s="19">
        <v>0</v>
      </c>
    </row>
    <row r="2373" spans="12:16" ht="15.75" customHeight="1" x14ac:dyDescent="0.3">
      <c r="L2373" s="6" t="s">
        <v>187</v>
      </c>
      <c r="M2373" s="6" t="s">
        <v>455</v>
      </c>
      <c r="N2373" s="6" t="s">
        <v>27</v>
      </c>
      <c r="O2373" s="6" t="s">
        <v>117</v>
      </c>
      <c r="P2373" s="25" t="s">
        <v>222</v>
      </c>
    </row>
    <row r="2374" spans="12:16" ht="15.75" customHeight="1" x14ac:dyDescent="0.3">
      <c r="L2374" s="6" t="s">
        <v>187</v>
      </c>
      <c r="M2374" s="6" t="s">
        <v>455</v>
      </c>
      <c r="N2374" s="6" t="s">
        <v>29</v>
      </c>
      <c r="O2374" s="6" t="s">
        <v>125</v>
      </c>
      <c r="P2374" s="19">
        <v>1</v>
      </c>
    </row>
    <row r="2375" spans="12:16" ht="15.75" customHeight="1" x14ac:dyDescent="0.3">
      <c r="L2375" s="6" t="s">
        <v>187</v>
      </c>
      <c r="M2375" s="6" t="s">
        <v>455</v>
      </c>
      <c r="N2375" s="6" t="s">
        <v>135</v>
      </c>
      <c r="O2375" s="6" t="s">
        <v>136</v>
      </c>
      <c r="P2375" s="19">
        <v>0</v>
      </c>
    </row>
    <row r="2376" spans="12:16" ht="15.75" customHeight="1" x14ac:dyDescent="0.3">
      <c r="L2376" s="6" t="s">
        <v>187</v>
      </c>
      <c r="M2376" s="6" t="s">
        <v>455</v>
      </c>
      <c r="N2376" s="6" t="s">
        <v>138</v>
      </c>
      <c r="O2376" s="6" t="s">
        <v>139</v>
      </c>
      <c r="P2376" s="19">
        <v>0</v>
      </c>
    </row>
    <row r="2377" spans="12:16" ht="15.75" customHeight="1" x14ac:dyDescent="0.3">
      <c r="L2377" s="6" t="s">
        <v>187</v>
      </c>
      <c r="M2377" s="6" t="s">
        <v>455</v>
      </c>
      <c r="N2377" s="6" t="s">
        <v>30</v>
      </c>
      <c r="O2377" s="6" t="s">
        <v>148</v>
      </c>
      <c r="P2377" s="25" t="s">
        <v>173</v>
      </c>
    </row>
    <row r="2378" spans="12:16" ht="15.75" customHeight="1" x14ac:dyDescent="0.3">
      <c r="L2378" s="6" t="s">
        <v>187</v>
      </c>
      <c r="M2378" s="6" t="s">
        <v>455</v>
      </c>
      <c r="N2378" s="6" t="s">
        <v>156</v>
      </c>
      <c r="O2378" s="6" t="s">
        <v>157</v>
      </c>
      <c r="P2378" s="19">
        <v>-1</v>
      </c>
    </row>
    <row r="2379" spans="12:16" ht="15.75" customHeight="1" x14ac:dyDescent="0.3">
      <c r="L2379" s="6" t="s">
        <v>187</v>
      </c>
      <c r="M2379" s="6" t="s">
        <v>455</v>
      </c>
      <c r="N2379" s="6" t="s">
        <v>158</v>
      </c>
      <c r="O2379" s="6" t="s">
        <v>159</v>
      </c>
      <c r="P2379" s="19">
        <v>1</v>
      </c>
    </row>
    <row r="2380" spans="12:16" ht="15.75" customHeight="1" x14ac:dyDescent="0.3">
      <c r="L2380" s="6" t="s">
        <v>187</v>
      </c>
      <c r="M2380" s="6" t="s">
        <v>455</v>
      </c>
      <c r="N2380" s="6" t="s">
        <v>160</v>
      </c>
      <c r="O2380" s="6" t="s">
        <v>161</v>
      </c>
      <c r="P2380" s="19">
        <v>0</v>
      </c>
    </row>
    <row r="2381" spans="12:16" ht="15.75" customHeight="1" x14ac:dyDescent="0.3">
      <c r="L2381" s="6" t="s">
        <v>187</v>
      </c>
      <c r="M2381" s="6" t="s">
        <v>455</v>
      </c>
      <c r="N2381" s="6" t="s">
        <v>162</v>
      </c>
      <c r="O2381" s="6" t="s">
        <v>163</v>
      </c>
      <c r="P2381" s="19">
        <v>0</v>
      </c>
    </row>
    <row r="2382" spans="12:16" ht="15.75" customHeight="1" x14ac:dyDescent="0.3">
      <c r="L2382" s="6" t="s">
        <v>187</v>
      </c>
      <c r="M2382" s="6" t="s">
        <v>455</v>
      </c>
      <c r="N2382" s="6" t="s">
        <v>165</v>
      </c>
      <c r="O2382" s="6" t="s">
        <v>166</v>
      </c>
      <c r="P2382" s="19">
        <v>0</v>
      </c>
    </row>
    <row r="2383" spans="12:16" ht="15.75" customHeight="1" x14ac:dyDescent="0.3">
      <c r="L2383" s="6" t="s">
        <v>188</v>
      </c>
      <c r="M2383" s="6" t="s">
        <v>458</v>
      </c>
      <c r="N2383" s="6" t="s">
        <v>72</v>
      </c>
      <c r="O2383" s="6" t="s">
        <v>75</v>
      </c>
      <c r="P2383" s="19">
        <v>0</v>
      </c>
    </row>
    <row r="2384" spans="12:16" ht="15.75" customHeight="1" x14ac:dyDescent="0.3">
      <c r="L2384" s="6" t="s">
        <v>188</v>
      </c>
      <c r="M2384" s="6" t="s">
        <v>458</v>
      </c>
      <c r="N2384" s="6" t="s">
        <v>83</v>
      </c>
      <c r="O2384" s="6" t="s">
        <v>84</v>
      </c>
      <c r="P2384" s="19">
        <v>0</v>
      </c>
    </row>
    <row r="2385" spans="12:16" ht="15.75" customHeight="1" x14ac:dyDescent="0.3">
      <c r="L2385" s="6" t="s">
        <v>188</v>
      </c>
      <c r="M2385" s="6" t="s">
        <v>458</v>
      </c>
      <c r="N2385" s="6" t="s">
        <v>88</v>
      </c>
      <c r="O2385" s="6" t="s">
        <v>90</v>
      </c>
      <c r="P2385" s="19">
        <v>0</v>
      </c>
    </row>
    <row r="2386" spans="12:16" ht="15.75" customHeight="1" x14ac:dyDescent="0.3">
      <c r="L2386" s="6" t="s">
        <v>188</v>
      </c>
      <c r="M2386" s="6" t="s">
        <v>458</v>
      </c>
      <c r="N2386" s="6" t="s">
        <v>96</v>
      </c>
      <c r="O2386" s="6" t="s">
        <v>97</v>
      </c>
      <c r="P2386" s="19">
        <v>0</v>
      </c>
    </row>
    <row r="2387" spans="12:16" ht="15.75" customHeight="1" x14ac:dyDescent="0.3">
      <c r="L2387" s="6" t="s">
        <v>188</v>
      </c>
      <c r="M2387" s="6" t="s">
        <v>458</v>
      </c>
      <c r="N2387" s="6" t="s">
        <v>100</v>
      </c>
      <c r="O2387" s="6" t="s">
        <v>101</v>
      </c>
      <c r="P2387" s="19">
        <v>0</v>
      </c>
    </row>
    <row r="2388" spans="12:16" ht="15.75" customHeight="1" x14ac:dyDescent="0.3">
      <c r="L2388" s="6" t="s">
        <v>188</v>
      </c>
      <c r="M2388" s="6" t="s">
        <v>458</v>
      </c>
      <c r="N2388" s="6" t="s">
        <v>22</v>
      </c>
      <c r="O2388" s="6" t="s">
        <v>104</v>
      </c>
      <c r="P2388" s="19">
        <v>0</v>
      </c>
    </row>
    <row r="2389" spans="12:16" ht="15.75" customHeight="1" x14ac:dyDescent="0.3">
      <c r="L2389" s="6" t="s">
        <v>188</v>
      </c>
      <c r="M2389" s="6" t="s">
        <v>458</v>
      </c>
      <c r="N2389" s="6" t="s">
        <v>23</v>
      </c>
      <c r="O2389" s="6" t="s">
        <v>107</v>
      </c>
      <c r="P2389" s="19">
        <v>0</v>
      </c>
    </row>
    <row r="2390" spans="12:16" ht="15.75" customHeight="1" x14ac:dyDescent="0.3">
      <c r="L2390" s="6" t="s">
        <v>188</v>
      </c>
      <c r="M2390" s="6" t="s">
        <v>458</v>
      </c>
      <c r="N2390" s="6" t="s">
        <v>24</v>
      </c>
      <c r="O2390" s="6" t="s">
        <v>109</v>
      </c>
      <c r="P2390" s="19">
        <v>0</v>
      </c>
    </row>
    <row r="2391" spans="12:16" ht="15.75" customHeight="1" x14ac:dyDescent="0.3">
      <c r="L2391" s="6" t="s">
        <v>188</v>
      </c>
      <c r="M2391" s="6" t="s">
        <v>458</v>
      </c>
      <c r="N2391" s="6" t="s">
        <v>25</v>
      </c>
      <c r="O2391" s="6" t="s">
        <v>111</v>
      </c>
      <c r="P2391" s="19">
        <v>1</v>
      </c>
    </row>
    <row r="2392" spans="12:16" ht="15.75" customHeight="1" x14ac:dyDescent="0.3">
      <c r="L2392" s="6" t="s">
        <v>188</v>
      </c>
      <c r="M2392" s="6" t="s">
        <v>458</v>
      </c>
      <c r="N2392" s="6" t="s">
        <v>26</v>
      </c>
      <c r="O2392" s="6" t="s">
        <v>113</v>
      </c>
      <c r="P2392" s="19">
        <v>1</v>
      </c>
    </row>
    <row r="2393" spans="12:16" ht="15.75" customHeight="1" x14ac:dyDescent="0.3">
      <c r="L2393" s="6" t="s">
        <v>188</v>
      </c>
      <c r="M2393" s="6" t="s">
        <v>458</v>
      </c>
      <c r="N2393" s="6" t="s">
        <v>27</v>
      </c>
      <c r="O2393" s="6" t="s">
        <v>117</v>
      </c>
      <c r="P2393" s="19">
        <v>0</v>
      </c>
    </row>
    <row r="2394" spans="12:16" ht="15.75" customHeight="1" x14ac:dyDescent="0.3">
      <c r="L2394" s="6" t="s">
        <v>188</v>
      </c>
      <c r="M2394" s="6" t="s">
        <v>458</v>
      </c>
      <c r="N2394" s="6" t="s">
        <v>29</v>
      </c>
      <c r="O2394" s="6" t="s">
        <v>125</v>
      </c>
      <c r="P2394" s="19">
        <v>0</v>
      </c>
    </row>
    <row r="2395" spans="12:16" ht="15.75" customHeight="1" x14ac:dyDescent="0.3">
      <c r="L2395" s="6" t="s">
        <v>188</v>
      </c>
      <c r="M2395" s="6" t="s">
        <v>458</v>
      </c>
      <c r="N2395" s="6" t="s">
        <v>135</v>
      </c>
      <c r="O2395" s="6" t="s">
        <v>136</v>
      </c>
      <c r="P2395" s="19">
        <v>0</v>
      </c>
    </row>
    <row r="2396" spans="12:16" ht="15.75" customHeight="1" x14ac:dyDescent="0.3">
      <c r="L2396" s="6" t="s">
        <v>188</v>
      </c>
      <c r="M2396" s="6" t="s">
        <v>458</v>
      </c>
      <c r="N2396" s="6" t="s">
        <v>138</v>
      </c>
      <c r="O2396" s="6" t="s">
        <v>139</v>
      </c>
      <c r="P2396" s="19">
        <v>1</v>
      </c>
    </row>
    <row r="2397" spans="12:16" ht="15.75" customHeight="1" x14ac:dyDescent="0.3">
      <c r="L2397" s="6" t="s">
        <v>188</v>
      </c>
      <c r="M2397" s="6" t="s">
        <v>458</v>
      </c>
      <c r="N2397" s="6" t="s">
        <v>30</v>
      </c>
      <c r="O2397" s="6" t="s">
        <v>148</v>
      </c>
      <c r="P2397" s="19">
        <v>0</v>
      </c>
    </row>
    <row r="2398" spans="12:16" ht="15.75" customHeight="1" x14ac:dyDescent="0.3">
      <c r="L2398" s="6" t="s">
        <v>188</v>
      </c>
      <c r="M2398" s="6" t="s">
        <v>458</v>
      </c>
      <c r="N2398" s="6" t="s">
        <v>156</v>
      </c>
      <c r="O2398" s="6" t="s">
        <v>157</v>
      </c>
      <c r="P2398" s="25" t="s">
        <v>169</v>
      </c>
    </row>
    <row r="2399" spans="12:16" ht="15.75" customHeight="1" x14ac:dyDescent="0.3">
      <c r="L2399" s="6" t="s">
        <v>188</v>
      </c>
      <c r="M2399" s="6" t="s">
        <v>458</v>
      </c>
      <c r="N2399" s="6" t="s">
        <v>158</v>
      </c>
      <c r="O2399" s="6" t="s">
        <v>159</v>
      </c>
      <c r="P2399" s="19">
        <v>1</v>
      </c>
    </row>
    <row r="2400" spans="12:16" ht="15.75" customHeight="1" x14ac:dyDescent="0.3">
      <c r="L2400" s="6" t="s">
        <v>188</v>
      </c>
      <c r="M2400" s="6" t="s">
        <v>458</v>
      </c>
      <c r="N2400" s="6" t="s">
        <v>160</v>
      </c>
      <c r="O2400" s="6" t="s">
        <v>161</v>
      </c>
      <c r="P2400" s="25" t="s">
        <v>169</v>
      </c>
    </row>
    <row r="2401" spans="12:16" ht="15.75" customHeight="1" x14ac:dyDescent="0.3">
      <c r="L2401" s="6" t="s">
        <v>188</v>
      </c>
      <c r="M2401" s="6" t="s">
        <v>458</v>
      </c>
      <c r="N2401" s="6" t="s">
        <v>162</v>
      </c>
      <c r="O2401" s="6" t="s">
        <v>163</v>
      </c>
      <c r="P2401" s="19">
        <v>1</v>
      </c>
    </row>
    <row r="2402" spans="12:16" ht="15.75" customHeight="1" x14ac:dyDescent="0.3">
      <c r="L2402" s="6" t="s">
        <v>188</v>
      </c>
      <c r="M2402" s="6" t="s">
        <v>458</v>
      </c>
      <c r="N2402" s="6" t="s">
        <v>165</v>
      </c>
      <c r="O2402" s="6" t="s">
        <v>166</v>
      </c>
      <c r="P2402" s="19">
        <v>0</v>
      </c>
    </row>
    <row r="2403" spans="12:16" ht="15.75" customHeight="1" x14ac:dyDescent="0.3">
      <c r="L2403" s="6" t="s">
        <v>188</v>
      </c>
      <c r="M2403" s="6" t="s">
        <v>461</v>
      </c>
      <c r="N2403" s="6" t="s">
        <v>72</v>
      </c>
      <c r="O2403" s="6" t="s">
        <v>75</v>
      </c>
      <c r="P2403" s="19">
        <v>0</v>
      </c>
    </row>
    <row r="2404" spans="12:16" ht="15.75" customHeight="1" x14ac:dyDescent="0.3">
      <c r="L2404" s="6" t="s">
        <v>188</v>
      </c>
      <c r="M2404" s="6" t="s">
        <v>461</v>
      </c>
      <c r="N2404" s="6" t="s">
        <v>83</v>
      </c>
      <c r="O2404" s="6" t="s">
        <v>84</v>
      </c>
      <c r="P2404" s="19">
        <v>0</v>
      </c>
    </row>
    <row r="2405" spans="12:16" ht="15.75" customHeight="1" x14ac:dyDescent="0.3">
      <c r="L2405" s="6" t="s">
        <v>188</v>
      </c>
      <c r="M2405" s="6" t="s">
        <v>461</v>
      </c>
      <c r="N2405" s="6" t="s">
        <v>88</v>
      </c>
      <c r="O2405" s="6" t="s">
        <v>90</v>
      </c>
      <c r="P2405" s="19">
        <v>0</v>
      </c>
    </row>
    <row r="2406" spans="12:16" ht="15.75" customHeight="1" x14ac:dyDescent="0.3">
      <c r="L2406" s="6" t="s">
        <v>188</v>
      </c>
      <c r="M2406" s="6" t="s">
        <v>461</v>
      </c>
      <c r="N2406" s="6" t="s">
        <v>96</v>
      </c>
      <c r="O2406" s="6" t="s">
        <v>97</v>
      </c>
      <c r="P2406" s="19">
        <v>0</v>
      </c>
    </row>
    <row r="2407" spans="12:16" ht="15.75" customHeight="1" x14ac:dyDescent="0.3">
      <c r="L2407" s="6" t="s">
        <v>188</v>
      </c>
      <c r="M2407" s="6" t="s">
        <v>461</v>
      </c>
      <c r="N2407" s="6" t="s">
        <v>100</v>
      </c>
      <c r="O2407" s="6" t="s">
        <v>101</v>
      </c>
      <c r="P2407" s="19">
        <v>0</v>
      </c>
    </row>
    <row r="2408" spans="12:16" ht="15.75" customHeight="1" x14ac:dyDescent="0.3">
      <c r="L2408" s="6" t="s">
        <v>188</v>
      </c>
      <c r="M2408" s="6" t="s">
        <v>461</v>
      </c>
      <c r="N2408" s="6" t="s">
        <v>22</v>
      </c>
      <c r="O2408" s="6" t="s">
        <v>104</v>
      </c>
      <c r="P2408" s="19">
        <v>0</v>
      </c>
    </row>
    <row r="2409" spans="12:16" ht="15.75" customHeight="1" x14ac:dyDescent="0.3">
      <c r="L2409" s="6" t="s">
        <v>188</v>
      </c>
      <c r="M2409" s="6" t="s">
        <v>461</v>
      </c>
      <c r="N2409" s="6" t="s">
        <v>23</v>
      </c>
      <c r="O2409" s="6" t="s">
        <v>107</v>
      </c>
      <c r="P2409" s="25" t="s">
        <v>222</v>
      </c>
    </row>
    <row r="2410" spans="12:16" ht="15.75" customHeight="1" x14ac:dyDescent="0.3">
      <c r="L2410" s="6" t="s">
        <v>188</v>
      </c>
      <c r="M2410" s="6" t="s">
        <v>461</v>
      </c>
      <c r="N2410" s="6" t="s">
        <v>24</v>
      </c>
      <c r="O2410" s="6" t="s">
        <v>109</v>
      </c>
      <c r="P2410" s="25" t="s">
        <v>222</v>
      </c>
    </row>
    <row r="2411" spans="12:16" ht="15.75" customHeight="1" x14ac:dyDescent="0.3">
      <c r="L2411" s="6" t="s">
        <v>188</v>
      </c>
      <c r="M2411" s="6" t="s">
        <v>461</v>
      </c>
      <c r="N2411" s="6" t="s">
        <v>25</v>
      </c>
      <c r="O2411" s="6" t="s">
        <v>111</v>
      </c>
      <c r="P2411" s="19">
        <v>0</v>
      </c>
    </row>
    <row r="2412" spans="12:16" ht="15.75" customHeight="1" x14ac:dyDescent="0.3">
      <c r="L2412" s="6" t="s">
        <v>188</v>
      </c>
      <c r="M2412" s="6" t="s">
        <v>461</v>
      </c>
      <c r="N2412" s="6" t="s">
        <v>26</v>
      </c>
      <c r="O2412" s="6" t="s">
        <v>113</v>
      </c>
      <c r="P2412" s="19">
        <v>0</v>
      </c>
    </row>
    <row r="2413" spans="12:16" ht="15.75" customHeight="1" x14ac:dyDescent="0.3">
      <c r="L2413" s="6" t="s">
        <v>188</v>
      </c>
      <c r="M2413" s="6" t="s">
        <v>461</v>
      </c>
      <c r="N2413" s="6" t="s">
        <v>27</v>
      </c>
      <c r="O2413" s="6" t="s">
        <v>117</v>
      </c>
      <c r="P2413" s="25" t="s">
        <v>222</v>
      </c>
    </row>
    <row r="2414" spans="12:16" ht="15.75" customHeight="1" x14ac:dyDescent="0.3">
      <c r="L2414" s="6" t="s">
        <v>188</v>
      </c>
      <c r="M2414" s="6" t="s">
        <v>461</v>
      </c>
      <c r="N2414" s="6" t="s">
        <v>29</v>
      </c>
      <c r="O2414" s="6" t="s">
        <v>125</v>
      </c>
      <c r="P2414" s="19">
        <v>0</v>
      </c>
    </row>
    <row r="2415" spans="12:16" ht="15.75" customHeight="1" x14ac:dyDescent="0.3">
      <c r="L2415" s="6" t="s">
        <v>188</v>
      </c>
      <c r="M2415" s="6" t="s">
        <v>461</v>
      </c>
      <c r="N2415" s="6" t="s">
        <v>135</v>
      </c>
      <c r="O2415" s="6" t="s">
        <v>136</v>
      </c>
      <c r="P2415" s="19">
        <v>0</v>
      </c>
    </row>
    <row r="2416" spans="12:16" ht="15.75" customHeight="1" x14ac:dyDescent="0.3">
      <c r="L2416" s="6" t="s">
        <v>188</v>
      </c>
      <c r="M2416" s="6" t="s">
        <v>461</v>
      </c>
      <c r="N2416" s="6" t="s">
        <v>138</v>
      </c>
      <c r="O2416" s="6" t="s">
        <v>139</v>
      </c>
      <c r="P2416" s="19">
        <v>1</v>
      </c>
    </row>
    <row r="2417" spans="12:16" ht="15.75" customHeight="1" x14ac:dyDescent="0.3">
      <c r="L2417" s="6" t="s">
        <v>188</v>
      </c>
      <c r="M2417" s="6" t="s">
        <v>461</v>
      </c>
      <c r="N2417" s="6" t="s">
        <v>30</v>
      </c>
      <c r="O2417" s="6" t="s">
        <v>148</v>
      </c>
      <c r="P2417" s="19">
        <v>0</v>
      </c>
    </row>
    <row r="2418" spans="12:16" ht="15.75" customHeight="1" x14ac:dyDescent="0.3">
      <c r="L2418" s="6" t="s">
        <v>188</v>
      </c>
      <c r="M2418" s="6" t="s">
        <v>461</v>
      </c>
      <c r="N2418" s="6" t="s">
        <v>156</v>
      </c>
      <c r="O2418" s="6" t="s">
        <v>157</v>
      </c>
      <c r="P2418" s="25" t="s">
        <v>169</v>
      </c>
    </row>
    <row r="2419" spans="12:16" ht="15.75" customHeight="1" x14ac:dyDescent="0.3">
      <c r="L2419" s="6" t="s">
        <v>188</v>
      </c>
      <c r="M2419" s="6" t="s">
        <v>461</v>
      </c>
      <c r="N2419" s="6" t="s">
        <v>158</v>
      </c>
      <c r="O2419" s="6" t="s">
        <v>159</v>
      </c>
      <c r="P2419" s="19">
        <v>1</v>
      </c>
    </row>
    <row r="2420" spans="12:16" ht="15.75" customHeight="1" x14ac:dyDescent="0.3">
      <c r="L2420" s="6" t="s">
        <v>188</v>
      </c>
      <c r="M2420" s="6" t="s">
        <v>461</v>
      </c>
      <c r="N2420" s="6" t="s">
        <v>160</v>
      </c>
      <c r="O2420" s="6" t="s">
        <v>161</v>
      </c>
      <c r="P2420" s="25" t="s">
        <v>169</v>
      </c>
    </row>
    <row r="2421" spans="12:16" ht="15.75" customHeight="1" x14ac:dyDescent="0.3">
      <c r="L2421" s="6" t="s">
        <v>188</v>
      </c>
      <c r="M2421" s="6" t="s">
        <v>461</v>
      </c>
      <c r="N2421" s="6" t="s">
        <v>162</v>
      </c>
      <c r="O2421" s="6" t="s">
        <v>163</v>
      </c>
      <c r="P2421" s="19">
        <v>1</v>
      </c>
    </row>
    <row r="2422" spans="12:16" ht="15.75" customHeight="1" x14ac:dyDescent="0.3">
      <c r="L2422" s="6" t="s">
        <v>188</v>
      </c>
      <c r="M2422" s="6" t="s">
        <v>461</v>
      </c>
      <c r="N2422" s="6" t="s">
        <v>165</v>
      </c>
      <c r="O2422" s="6" t="s">
        <v>166</v>
      </c>
      <c r="P2422" s="19">
        <v>0</v>
      </c>
    </row>
    <row r="2423" spans="12:16" ht="15.75" customHeight="1" x14ac:dyDescent="0.3">
      <c r="L2423" s="6" t="s">
        <v>188</v>
      </c>
      <c r="M2423" s="6" t="s">
        <v>463</v>
      </c>
      <c r="N2423" s="6" t="s">
        <v>72</v>
      </c>
      <c r="O2423" s="6" t="s">
        <v>75</v>
      </c>
      <c r="P2423" s="19">
        <v>0</v>
      </c>
    </row>
    <row r="2424" spans="12:16" ht="15.75" customHeight="1" x14ac:dyDescent="0.3">
      <c r="L2424" s="6" t="s">
        <v>188</v>
      </c>
      <c r="M2424" s="6" t="s">
        <v>463</v>
      </c>
      <c r="N2424" s="6" t="s">
        <v>83</v>
      </c>
      <c r="O2424" s="6" t="s">
        <v>84</v>
      </c>
      <c r="P2424" s="19">
        <v>0</v>
      </c>
    </row>
    <row r="2425" spans="12:16" ht="15.75" customHeight="1" x14ac:dyDescent="0.3">
      <c r="L2425" s="6" t="s">
        <v>188</v>
      </c>
      <c r="M2425" s="6" t="s">
        <v>463</v>
      </c>
      <c r="N2425" s="6" t="s">
        <v>88</v>
      </c>
      <c r="O2425" s="6" t="s">
        <v>90</v>
      </c>
      <c r="P2425" s="19">
        <v>0</v>
      </c>
    </row>
    <row r="2426" spans="12:16" ht="15.75" customHeight="1" x14ac:dyDescent="0.3">
      <c r="L2426" s="6" t="s">
        <v>188</v>
      </c>
      <c r="M2426" s="6" t="s">
        <v>463</v>
      </c>
      <c r="N2426" s="6" t="s">
        <v>96</v>
      </c>
      <c r="O2426" s="6" t="s">
        <v>97</v>
      </c>
      <c r="P2426" s="19">
        <v>0</v>
      </c>
    </row>
    <row r="2427" spans="12:16" ht="15.75" customHeight="1" x14ac:dyDescent="0.3">
      <c r="L2427" s="6" t="s">
        <v>188</v>
      </c>
      <c r="M2427" s="6" t="s">
        <v>463</v>
      </c>
      <c r="N2427" s="6" t="s">
        <v>100</v>
      </c>
      <c r="O2427" s="6" t="s">
        <v>101</v>
      </c>
      <c r="P2427" s="19">
        <v>0</v>
      </c>
    </row>
    <row r="2428" spans="12:16" ht="15.75" customHeight="1" x14ac:dyDescent="0.3">
      <c r="L2428" s="6" t="s">
        <v>188</v>
      </c>
      <c r="M2428" s="6" t="s">
        <v>463</v>
      </c>
      <c r="N2428" s="6" t="s">
        <v>22</v>
      </c>
      <c r="O2428" s="6" t="s">
        <v>104</v>
      </c>
      <c r="P2428" s="19">
        <v>0</v>
      </c>
    </row>
    <row r="2429" spans="12:16" ht="15.75" customHeight="1" x14ac:dyDescent="0.3">
      <c r="L2429" s="6" t="s">
        <v>188</v>
      </c>
      <c r="M2429" s="6" t="s">
        <v>463</v>
      </c>
      <c r="N2429" s="6" t="s">
        <v>23</v>
      </c>
      <c r="O2429" s="6" t="s">
        <v>107</v>
      </c>
      <c r="P2429" s="25" t="s">
        <v>222</v>
      </c>
    </row>
    <row r="2430" spans="12:16" ht="15.75" customHeight="1" x14ac:dyDescent="0.3">
      <c r="L2430" s="6" t="s">
        <v>188</v>
      </c>
      <c r="M2430" s="6" t="s">
        <v>463</v>
      </c>
      <c r="N2430" s="6" t="s">
        <v>24</v>
      </c>
      <c r="O2430" s="6" t="s">
        <v>109</v>
      </c>
      <c r="P2430" s="25" t="s">
        <v>222</v>
      </c>
    </row>
    <row r="2431" spans="12:16" ht="15.75" customHeight="1" x14ac:dyDescent="0.3">
      <c r="L2431" s="6" t="s">
        <v>188</v>
      </c>
      <c r="M2431" s="6" t="s">
        <v>463</v>
      </c>
      <c r="N2431" s="6" t="s">
        <v>25</v>
      </c>
      <c r="O2431" s="6" t="s">
        <v>111</v>
      </c>
      <c r="P2431" s="19">
        <v>0</v>
      </c>
    </row>
    <row r="2432" spans="12:16" ht="15.75" customHeight="1" x14ac:dyDescent="0.3">
      <c r="L2432" s="6" t="s">
        <v>188</v>
      </c>
      <c r="M2432" s="6" t="s">
        <v>463</v>
      </c>
      <c r="N2432" s="6" t="s">
        <v>26</v>
      </c>
      <c r="O2432" s="6" t="s">
        <v>113</v>
      </c>
      <c r="P2432" s="19">
        <v>0</v>
      </c>
    </row>
    <row r="2433" spans="12:16" ht="15.75" customHeight="1" x14ac:dyDescent="0.3">
      <c r="L2433" s="6" t="s">
        <v>188</v>
      </c>
      <c r="M2433" s="6" t="s">
        <v>463</v>
      </c>
      <c r="N2433" s="6" t="s">
        <v>27</v>
      </c>
      <c r="O2433" s="6" t="s">
        <v>117</v>
      </c>
      <c r="P2433" s="25" t="s">
        <v>222</v>
      </c>
    </row>
    <row r="2434" spans="12:16" ht="15.75" customHeight="1" x14ac:dyDescent="0.3">
      <c r="L2434" s="6" t="s">
        <v>188</v>
      </c>
      <c r="M2434" s="6" t="s">
        <v>463</v>
      </c>
      <c r="N2434" s="6" t="s">
        <v>29</v>
      </c>
      <c r="O2434" s="6" t="s">
        <v>125</v>
      </c>
      <c r="P2434" s="19">
        <v>0</v>
      </c>
    </row>
    <row r="2435" spans="12:16" ht="15.75" customHeight="1" x14ac:dyDescent="0.3">
      <c r="L2435" s="6" t="s">
        <v>188</v>
      </c>
      <c r="M2435" s="6" t="s">
        <v>463</v>
      </c>
      <c r="N2435" s="6" t="s">
        <v>135</v>
      </c>
      <c r="O2435" s="6" t="s">
        <v>136</v>
      </c>
      <c r="P2435" s="19">
        <v>0</v>
      </c>
    </row>
    <row r="2436" spans="12:16" ht="15.75" customHeight="1" x14ac:dyDescent="0.3">
      <c r="L2436" s="6" t="s">
        <v>188</v>
      </c>
      <c r="M2436" s="6" t="s">
        <v>463</v>
      </c>
      <c r="N2436" s="6" t="s">
        <v>138</v>
      </c>
      <c r="O2436" s="6" t="s">
        <v>139</v>
      </c>
      <c r="P2436" s="19">
        <v>1</v>
      </c>
    </row>
    <row r="2437" spans="12:16" ht="15.75" customHeight="1" x14ac:dyDescent="0.3">
      <c r="L2437" s="6" t="s">
        <v>188</v>
      </c>
      <c r="M2437" s="6" t="s">
        <v>463</v>
      </c>
      <c r="N2437" s="6" t="s">
        <v>30</v>
      </c>
      <c r="O2437" s="6" t="s">
        <v>148</v>
      </c>
      <c r="P2437" s="19">
        <v>0</v>
      </c>
    </row>
    <row r="2438" spans="12:16" ht="15.75" customHeight="1" x14ac:dyDescent="0.3">
      <c r="L2438" s="6" t="s">
        <v>188</v>
      </c>
      <c r="M2438" s="6" t="s">
        <v>463</v>
      </c>
      <c r="N2438" s="6" t="s">
        <v>156</v>
      </c>
      <c r="O2438" s="6" t="s">
        <v>157</v>
      </c>
      <c r="P2438" s="25" t="s">
        <v>169</v>
      </c>
    </row>
    <row r="2439" spans="12:16" ht="15.75" customHeight="1" x14ac:dyDescent="0.3">
      <c r="L2439" s="6" t="s">
        <v>188</v>
      </c>
      <c r="M2439" s="6" t="s">
        <v>463</v>
      </c>
      <c r="N2439" s="6" t="s">
        <v>158</v>
      </c>
      <c r="O2439" s="6" t="s">
        <v>159</v>
      </c>
      <c r="P2439" s="19">
        <v>1</v>
      </c>
    </row>
    <row r="2440" spans="12:16" ht="15.75" customHeight="1" x14ac:dyDescent="0.3">
      <c r="L2440" s="6" t="s">
        <v>188</v>
      </c>
      <c r="M2440" s="6" t="s">
        <v>463</v>
      </c>
      <c r="N2440" s="6" t="s">
        <v>160</v>
      </c>
      <c r="O2440" s="6" t="s">
        <v>161</v>
      </c>
      <c r="P2440" s="25" t="s">
        <v>169</v>
      </c>
    </row>
    <row r="2441" spans="12:16" ht="15.75" customHeight="1" x14ac:dyDescent="0.3">
      <c r="L2441" s="6" t="s">
        <v>188</v>
      </c>
      <c r="M2441" s="6" t="s">
        <v>463</v>
      </c>
      <c r="N2441" s="6" t="s">
        <v>162</v>
      </c>
      <c r="O2441" s="6" t="s">
        <v>163</v>
      </c>
      <c r="P2441" s="19">
        <v>1</v>
      </c>
    </row>
    <row r="2442" spans="12:16" ht="15.75" customHeight="1" x14ac:dyDescent="0.3">
      <c r="L2442" s="6" t="s">
        <v>188</v>
      </c>
      <c r="M2442" s="6" t="s">
        <v>463</v>
      </c>
      <c r="N2442" s="6" t="s">
        <v>165</v>
      </c>
      <c r="O2442" s="6" t="s">
        <v>166</v>
      </c>
      <c r="P2442" s="19">
        <v>0</v>
      </c>
    </row>
    <row r="2443" spans="12:16" ht="15.75" customHeight="1" x14ac:dyDescent="0.3">
      <c r="L2443" s="6" t="s">
        <v>188</v>
      </c>
      <c r="M2443" s="6" t="s">
        <v>236</v>
      </c>
      <c r="N2443" s="6" t="s">
        <v>72</v>
      </c>
      <c r="O2443" s="6" t="s">
        <v>75</v>
      </c>
      <c r="P2443" s="19">
        <v>0</v>
      </c>
    </row>
    <row r="2444" spans="12:16" ht="15.75" customHeight="1" x14ac:dyDescent="0.3">
      <c r="L2444" s="6" t="s">
        <v>188</v>
      </c>
      <c r="M2444" s="6" t="s">
        <v>236</v>
      </c>
      <c r="N2444" s="6" t="s">
        <v>83</v>
      </c>
      <c r="O2444" s="6" t="s">
        <v>84</v>
      </c>
      <c r="P2444" s="19">
        <v>0</v>
      </c>
    </row>
    <row r="2445" spans="12:16" ht="15.75" customHeight="1" x14ac:dyDescent="0.3">
      <c r="L2445" s="6" t="s">
        <v>188</v>
      </c>
      <c r="M2445" s="6" t="s">
        <v>236</v>
      </c>
      <c r="N2445" s="6" t="s">
        <v>88</v>
      </c>
      <c r="O2445" s="6" t="s">
        <v>90</v>
      </c>
      <c r="P2445" s="19">
        <v>0</v>
      </c>
    </row>
    <row r="2446" spans="12:16" ht="15.75" customHeight="1" x14ac:dyDescent="0.3">
      <c r="L2446" s="6" t="s">
        <v>188</v>
      </c>
      <c r="M2446" s="6" t="s">
        <v>236</v>
      </c>
      <c r="N2446" s="6" t="s">
        <v>96</v>
      </c>
      <c r="O2446" s="6" t="s">
        <v>97</v>
      </c>
      <c r="P2446" s="19">
        <v>0</v>
      </c>
    </row>
    <row r="2447" spans="12:16" ht="15.75" customHeight="1" x14ac:dyDescent="0.3">
      <c r="L2447" s="6" t="s">
        <v>188</v>
      </c>
      <c r="M2447" s="6" t="s">
        <v>236</v>
      </c>
      <c r="N2447" s="6" t="s">
        <v>100</v>
      </c>
      <c r="O2447" s="6" t="s">
        <v>101</v>
      </c>
      <c r="P2447" s="19">
        <v>0</v>
      </c>
    </row>
    <row r="2448" spans="12:16" ht="15.75" customHeight="1" x14ac:dyDescent="0.3">
      <c r="L2448" s="6" t="s">
        <v>188</v>
      </c>
      <c r="M2448" s="6" t="s">
        <v>236</v>
      </c>
      <c r="N2448" s="6" t="s">
        <v>22</v>
      </c>
      <c r="O2448" s="6" t="s">
        <v>104</v>
      </c>
      <c r="P2448" s="19">
        <v>0</v>
      </c>
    </row>
    <row r="2449" spans="12:16" ht="15.75" customHeight="1" x14ac:dyDescent="0.3">
      <c r="L2449" s="6" t="s">
        <v>188</v>
      </c>
      <c r="M2449" s="6" t="s">
        <v>236</v>
      </c>
      <c r="N2449" s="6" t="s">
        <v>23</v>
      </c>
      <c r="O2449" s="6" t="s">
        <v>107</v>
      </c>
      <c r="P2449" s="19">
        <v>0</v>
      </c>
    </row>
    <row r="2450" spans="12:16" ht="15.75" customHeight="1" x14ac:dyDescent="0.3">
      <c r="L2450" s="6" t="s">
        <v>188</v>
      </c>
      <c r="M2450" s="6" t="s">
        <v>236</v>
      </c>
      <c r="N2450" s="6" t="s">
        <v>24</v>
      </c>
      <c r="O2450" s="6" t="s">
        <v>109</v>
      </c>
      <c r="P2450" s="19">
        <v>0</v>
      </c>
    </row>
    <row r="2451" spans="12:16" ht="15.75" customHeight="1" x14ac:dyDescent="0.3">
      <c r="L2451" s="6" t="s">
        <v>188</v>
      </c>
      <c r="M2451" s="6" t="s">
        <v>236</v>
      </c>
      <c r="N2451" s="6" t="s">
        <v>25</v>
      </c>
      <c r="O2451" s="6" t="s">
        <v>111</v>
      </c>
      <c r="P2451" s="19">
        <v>1</v>
      </c>
    </row>
    <row r="2452" spans="12:16" ht="15.75" customHeight="1" x14ac:dyDescent="0.3">
      <c r="L2452" s="6" t="s">
        <v>188</v>
      </c>
      <c r="M2452" s="6" t="s">
        <v>236</v>
      </c>
      <c r="N2452" s="6" t="s">
        <v>26</v>
      </c>
      <c r="O2452" s="6" t="s">
        <v>113</v>
      </c>
      <c r="P2452" s="19">
        <v>1</v>
      </c>
    </row>
    <row r="2453" spans="12:16" ht="15.75" customHeight="1" x14ac:dyDescent="0.3">
      <c r="L2453" s="6" t="s">
        <v>188</v>
      </c>
      <c r="M2453" s="6" t="s">
        <v>236</v>
      </c>
      <c r="N2453" s="6" t="s">
        <v>27</v>
      </c>
      <c r="O2453" s="6" t="s">
        <v>117</v>
      </c>
      <c r="P2453" s="19">
        <v>0</v>
      </c>
    </row>
    <row r="2454" spans="12:16" ht="15.75" customHeight="1" x14ac:dyDescent="0.3">
      <c r="L2454" s="6" t="s">
        <v>188</v>
      </c>
      <c r="M2454" s="6" t="s">
        <v>236</v>
      </c>
      <c r="N2454" s="6" t="s">
        <v>29</v>
      </c>
      <c r="O2454" s="6" t="s">
        <v>125</v>
      </c>
      <c r="P2454" s="19">
        <v>0</v>
      </c>
    </row>
    <row r="2455" spans="12:16" ht="15.75" customHeight="1" x14ac:dyDescent="0.3">
      <c r="L2455" s="6" t="s">
        <v>188</v>
      </c>
      <c r="M2455" s="6" t="s">
        <v>236</v>
      </c>
      <c r="N2455" s="6" t="s">
        <v>135</v>
      </c>
      <c r="O2455" s="6" t="s">
        <v>136</v>
      </c>
      <c r="P2455" s="19">
        <v>0</v>
      </c>
    </row>
    <row r="2456" spans="12:16" ht="15.75" customHeight="1" x14ac:dyDescent="0.3">
      <c r="L2456" s="6" t="s">
        <v>188</v>
      </c>
      <c r="M2456" s="6" t="s">
        <v>236</v>
      </c>
      <c r="N2456" s="6" t="s">
        <v>138</v>
      </c>
      <c r="O2456" s="6" t="s">
        <v>139</v>
      </c>
      <c r="P2456" s="19">
        <v>1</v>
      </c>
    </row>
    <row r="2457" spans="12:16" ht="15.75" customHeight="1" x14ac:dyDescent="0.3">
      <c r="L2457" s="6" t="s">
        <v>188</v>
      </c>
      <c r="M2457" s="6" t="s">
        <v>236</v>
      </c>
      <c r="N2457" s="6" t="s">
        <v>30</v>
      </c>
      <c r="O2457" s="6" t="s">
        <v>148</v>
      </c>
      <c r="P2457" s="19">
        <v>0</v>
      </c>
    </row>
    <row r="2458" spans="12:16" ht="15.75" customHeight="1" x14ac:dyDescent="0.3">
      <c r="L2458" s="6" t="s">
        <v>188</v>
      </c>
      <c r="M2458" s="6" t="s">
        <v>236</v>
      </c>
      <c r="N2458" s="6" t="s">
        <v>156</v>
      </c>
      <c r="O2458" s="6" t="s">
        <v>157</v>
      </c>
      <c r="P2458" s="25" t="s">
        <v>169</v>
      </c>
    </row>
    <row r="2459" spans="12:16" ht="15.75" customHeight="1" x14ac:dyDescent="0.3">
      <c r="L2459" s="6" t="s">
        <v>188</v>
      </c>
      <c r="M2459" s="6" t="s">
        <v>236</v>
      </c>
      <c r="N2459" s="6" t="s">
        <v>158</v>
      </c>
      <c r="O2459" s="6" t="s">
        <v>159</v>
      </c>
      <c r="P2459" s="19">
        <v>1</v>
      </c>
    </row>
    <row r="2460" spans="12:16" ht="15.75" customHeight="1" x14ac:dyDescent="0.3">
      <c r="L2460" s="6" t="s">
        <v>188</v>
      </c>
      <c r="M2460" s="6" t="s">
        <v>236</v>
      </c>
      <c r="N2460" s="6" t="s">
        <v>160</v>
      </c>
      <c r="O2460" s="6" t="s">
        <v>161</v>
      </c>
      <c r="P2460" s="25" t="s">
        <v>169</v>
      </c>
    </row>
    <row r="2461" spans="12:16" ht="15.75" customHeight="1" x14ac:dyDescent="0.3">
      <c r="L2461" s="6" t="s">
        <v>188</v>
      </c>
      <c r="M2461" s="6" t="s">
        <v>236</v>
      </c>
      <c r="N2461" s="6" t="s">
        <v>162</v>
      </c>
      <c r="O2461" s="6" t="s">
        <v>163</v>
      </c>
      <c r="P2461" s="19">
        <v>1</v>
      </c>
    </row>
    <row r="2462" spans="12:16" ht="15.75" customHeight="1" x14ac:dyDescent="0.3">
      <c r="L2462" s="6" t="s">
        <v>188</v>
      </c>
      <c r="M2462" s="6" t="s">
        <v>236</v>
      </c>
      <c r="N2462" s="6" t="s">
        <v>165</v>
      </c>
      <c r="O2462" s="6" t="s">
        <v>166</v>
      </c>
      <c r="P2462" s="19">
        <v>1</v>
      </c>
    </row>
    <row r="2463" spans="12:16" ht="15.75" customHeight="1" x14ac:dyDescent="0.3">
      <c r="L2463" s="6" t="s">
        <v>188</v>
      </c>
      <c r="M2463" s="6" t="s">
        <v>387</v>
      </c>
      <c r="N2463" s="6" t="s">
        <v>72</v>
      </c>
      <c r="O2463" s="6" t="s">
        <v>75</v>
      </c>
      <c r="P2463" s="19">
        <v>1</v>
      </c>
    </row>
    <row r="2464" spans="12:16" ht="15.75" customHeight="1" x14ac:dyDescent="0.3">
      <c r="L2464" s="6" t="s">
        <v>188</v>
      </c>
      <c r="M2464" s="6" t="s">
        <v>387</v>
      </c>
      <c r="N2464" s="6" t="s">
        <v>83</v>
      </c>
      <c r="O2464" s="6" t="s">
        <v>84</v>
      </c>
      <c r="P2464" s="19">
        <v>0</v>
      </c>
    </row>
    <row r="2465" spans="12:16" ht="15.75" customHeight="1" x14ac:dyDescent="0.3">
      <c r="L2465" s="6" t="s">
        <v>188</v>
      </c>
      <c r="M2465" s="6" t="s">
        <v>387</v>
      </c>
      <c r="N2465" s="6" t="s">
        <v>88</v>
      </c>
      <c r="O2465" s="6" t="s">
        <v>90</v>
      </c>
      <c r="P2465" s="19">
        <v>1</v>
      </c>
    </row>
    <row r="2466" spans="12:16" ht="15.75" customHeight="1" x14ac:dyDescent="0.3">
      <c r="L2466" s="6" t="s">
        <v>188</v>
      </c>
      <c r="M2466" s="6" t="s">
        <v>387</v>
      </c>
      <c r="N2466" s="6" t="s">
        <v>96</v>
      </c>
      <c r="O2466" s="6" t="s">
        <v>97</v>
      </c>
      <c r="P2466" s="19">
        <v>2</v>
      </c>
    </row>
    <row r="2467" spans="12:16" ht="15.75" customHeight="1" x14ac:dyDescent="0.3">
      <c r="L2467" s="6" t="s">
        <v>188</v>
      </c>
      <c r="M2467" s="6" t="s">
        <v>387</v>
      </c>
      <c r="N2467" s="6" t="s">
        <v>100</v>
      </c>
      <c r="O2467" s="6" t="s">
        <v>101</v>
      </c>
      <c r="P2467" s="19">
        <v>0</v>
      </c>
    </row>
    <row r="2468" spans="12:16" ht="15.75" customHeight="1" x14ac:dyDescent="0.3">
      <c r="L2468" s="6" t="s">
        <v>188</v>
      </c>
      <c r="M2468" s="6" t="s">
        <v>387</v>
      </c>
      <c r="N2468" s="6" t="s">
        <v>22</v>
      </c>
      <c r="O2468" s="6" t="s">
        <v>104</v>
      </c>
      <c r="P2468" s="17">
        <v>6.75</v>
      </c>
    </row>
    <row r="2469" spans="12:16" ht="15.75" customHeight="1" x14ac:dyDescent="0.3">
      <c r="L2469" s="6" t="s">
        <v>188</v>
      </c>
      <c r="M2469" s="6" t="s">
        <v>387</v>
      </c>
      <c r="N2469" s="6" t="s">
        <v>23</v>
      </c>
      <c r="O2469" s="6" t="s">
        <v>107</v>
      </c>
      <c r="P2469" s="17">
        <v>827.71119999999996</v>
      </c>
    </row>
    <row r="2470" spans="12:16" ht="15.75" customHeight="1" x14ac:dyDescent="0.3">
      <c r="L2470" s="6" t="s">
        <v>188</v>
      </c>
      <c r="M2470" s="6" t="s">
        <v>387</v>
      </c>
      <c r="N2470" s="6" t="s">
        <v>24</v>
      </c>
      <c r="O2470" s="6" t="s">
        <v>109</v>
      </c>
      <c r="P2470" s="17">
        <v>2.9399999999999999E-2</v>
      </c>
    </row>
    <row r="2471" spans="12:16" ht="15.75" customHeight="1" x14ac:dyDescent="0.3">
      <c r="L2471" s="6" t="s">
        <v>188</v>
      </c>
      <c r="M2471" s="6" t="s">
        <v>387</v>
      </c>
      <c r="N2471" s="6" t="s">
        <v>25</v>
      </c>
      <c r="O2471" s="6" t="s">
        <v>111</v>
      </c>
      <c r="P2471" s="19">
        <v>30</v>
      </c>
    </row>
    <row r="2472" spans="12:16" ht="15.75" customHeight="1" x14ac:dyDescent="0.3">
      <c r="L2472" s="6" t="s">
        <v>188</v>
      </c>
      <c r="M2472" s="6" t="s">
        <v>387</v>
      </c>
      <c r="N2472" s="6" t="s">
        <v>26</v>
      </c>
      <c r="O2472" s="6" t="s">
        <v>113</v>
      </c>
      <c r="P2472" s="19">
        <v>17</v>
      </c>
    </row>
    <row r="2473" spans="12:16" ht="15.75" customHeight="1" x14ac:dyDescent="0.3">
      <c r="L2473" s="6" t="s">
        <v>188</v>
      </c>
      <c r="M2473" s="6" t="s">
        <v>387</v>
      </c>
      <c r="N2473" s="6" t="s">
        <v>27</v>
      </c>
      <c r="O2473" s="6" t="s">
        <v>117</v>
      </c>
      <c r="P2473" s="17">
        <v>122.62390000000001</v>
      </c>
    </row>
    <row r="2474" spans="12:16" ht="15.75" customHeight="1" x14ac:dyDescent="0.3">
      <c r="L2474" s="6" t="s">
        <v>188</v>
      </c>
      <c r="M2474" s="6" t="s">
        <v>387</v>
      </c>
      <c r="N2474" s="6" t="s">
        <v>29</v>
      </c>
      <c r="O2474" s="6" t="s">
        <v>125</v>
      </c>
      <c r="P2474" s="19">
        <v>10</v>
      </c>
    </row>
    <row r="2475" spans="12:16" ht="15.75" customHeight="1" x14ac:dyDescent="0.3">
      <c r="L2475" s="6" t="s">
        <v>188</v>
      </c>
      <c r="M2475" s="6" t="s">
        <v>387</v>
      </c>
      <c r="N2475" s="6" t="s">
        <v>135</v>
      </c>
      <c r="O2475" s="6" t="s">
        <v>136</v>
      </c>
      <c r="P2475" s="19">
        <v>0</v>
      </c>
    </row>
    <row r="2476" spans="12:16" ht="15.75" customHeight="1" x14ac:dyDescent="0.3">
      <c r="L2476" s="6" t="s">
        <v>188</v>
      </c>
      <c r="M2476" s="6" t="s">
        <v>387</v>
      </c>
      <c r="N2476" s="6" t="s">
        <v>138</v>
      </c>
      <c r="O2476" s="6" t="s">
        <v>139</v>
      </c>
      <c r="P2476" s="19">
        <v>1</v>
      </c>
    </row>
    <row r="2477" spans="12:16" ht="15.75" customHeight="1" x14ac:dyDescent="0.3">
      <c r="L2477" s="6" t="s">
        <v>188</v>
      </c>
      <c r="M2477" s="6" t="s">
        <v>387</v>
      </c>
      <c r="N2477" s="6" t="s">
        <v>30</v>
      </c>
      <c r="O2477" s="6" t="s">
        <v>148</v>
      </c>
      <c r="P2477" s="17">
        <v>63.484099999999998</v>
      </c>
    </row>
    <row r="2478" spans="12:16" ht="15.75" customHeight="1" x14ac:dyDescent="0.3">
      <c r="L2478" s="6" t="s">
        <v>188</v>
      </c>
      <c r="M2478" s="6" t="s">
        <v>387</v>
      </c>
      <c r="N2478" s="6" t="s">
        <v>156</v>
      </c>
      <c r="O2478" s="6" t="s">
        <v>157</v>
      </c>
      <c r="P2478" s="19">
        <v>1</v>
      </c>
    </row>
    <row r="2479" spans="12:16" ht="15.75" customHeight="1" x14ac:dyDescent="0.3">
      <c r="L2479" s="6" t="s">
        <v>188</v>
      </c>
      <c r="M2479" s="6" t="s">
        <v>387</v>
      </c>
      <c r="N2479" s="6" t="s">
        <v>158</v>
      </c>
      <c r="O2479" s="6" t="s">
        <v>159</v>
      </c>
      <c r="P2479" s="19">
        <v>2</v>
      </c>
    </row>
    <row r="2480" spans="12:16" ht="15.75" customHeight="1" x14ac:dyDescent="0.3">
      <c r="L2480" s="6" t="s">
        <v>188</v>
      </c>
      <c r="M2480" s="6" t="s">
        <v>387</v>
      </c>
      <c r="N2480" s="6" t="s">
        <v>160</v>
      </c>
      <c r="O2480" s="6" t="s">
        <v>161</v>
      </c>
      <c r="P2480" s="19">
        <v>7</v>
      </c>
    </row>
    <row r="2481" spans="12:16" ht="15.75" customHeight="1" x14ac:dyDescent="0.3">
      <c r="L2481" s="6" t="s">
        <v>188</v>
      </c>
      <c r="M2481" s="6" t="s">
        <v>387</v>
      </c>
      <c r="N2481" s="6" t="s">
        <v>162</v>
      </c>
      <c r="O2481" s="6" t="s">
        <v>163</v>
      </c>
      <c r="P2481" s="19">
        <v>1</v>
      </c>
    </row>
    <row r="2482" spans="12:16" ht="15.75" customHeight="1" x14ac:dyDescent="0.3">
      <c r="L2482" s="6" t="s">
        <v>188</v>
      </c>
      <c r="M2482" s="6" t="s">
        <v>387</v>
      </c>
      <c r="N2482" s="6" t="s">
        <v>165</v>
      </c>
      <c r="O2482" s="6" t="s">
        <v>166</v>
      </c>
      <c r="P2482" s="19">
        <v>2</v>
      </c>
    </row>
    <row r="2483" spans="12:16" ht="15.75" customHeight="1" x14ac:dyDescent="0.3">
      <c r="L2483" s="6" t="s">
        <v>188</v>
      </c>
      <c r="M2483" s="6" t="s">
        <v>229</v>
      </c>
      <c r="N2483" s="6" t="s">
        <v>72</v>
      </c>
      <c r="O2483" s="6" t="s">
        <v>75</v>
      </c>
      <c r="P2483" s="19">
        <v>0</v>
      </c>
    </row>
    <row r="2484" spans="12:16" ht="15.75" customHeight="1" x14ac:dyDescent="0.3">
      <c r="L2484" s="6" t="s">
        <v>188</v>
      </c>
      <c r="M2484" s="6" t="s">
        <v>229</v>
      </c>
      <c r="N2484" s="6" t="s">
        <v>83</v>
      </c>
      <c r="O2484" s="6" t="s">
        <v>84</v>
      </c>
      <c r="P2484" s="19">
        <v>0</v>
      </c>
    </row>
    <row r="2485" spans="12:16" ht="15.75" customHeight="1" x14ac:dyDescent="0.3">
      <c r="L2485" s="6" t="s">
        <v>188</v>
      </c>
      <c r="M2485" s="6" t="s">
        <v>229</v>
      </c>
      <c r="N2485" s="6" t="s">
        <v>88</v>
      </c>
      <c r="O2485" s="6" t="s">
        <v>90</v>
      </c>
      <c r="P2485" s="19">
        <v>0</v>
      </c>
    </row>
    <row r="2486" spans="12:16" ht="15.75" customHeight="1" x14ac:dyDescent="0.3">
      <c r="L2486" s="6" t="s">
        <v>188</v>
      </c>
      <c r="M2486" s="6" t="s">
        <v>229</v>
      </c>
      <c r="N2486" s="6" t="s">
        <v>96</v>
      </c>
      <c r="O2486" s="6" t="s">
        <v>97</v>
      </c>
      <c r="P2486" s="19">
        <v>0</v>
      </c>
    </row>
    <row r="2487" spans="12:16" ht="15.75" customHeight="1" x14ac:dyDescent="0.3">
      <c r="L2487" s="6" t="s">
        <v>188</v>
      </c>
      <c r="M2487" s="6" t="s">
        <v>229</v>
      </c>
      <c r="N2487" s="6" t="s">
        <v>100</v>
      </c>
      <c r="O2487" s="6" t="s">
        <v>101</v>
      </c>
      <c r="P2487" s="19">
        <v>0</v>
      </c>
    </row>
    <row r="2488" spans="12:16" ht="15.75" customHeight="1" x14ac:dyDescent="0.3">
      <c r="L2488" s="6" t="s">
        <v>188</v>
      </c>
      <c r="M2488" s="6" t="s">
        <v>229</v>
      </c>
      <c r="N2488" s="6" t="s">
        <v>22</v>
      </c>
      <c r="O2488" s="6" t="s">
        <v>104</v>
      </c>
      <c r="P2488" s="19">
        <v>0</v>
      </c>
    </row>
    <row r="2489" spans="12:16" ht="15.75" customHeight="1" x14ac:dyDescent="0.3">
      <c r="L2489" s="6" t="s">
        <v>188</v>
      </c>
      <c r="M2489" s="6" t="s">
        <v>229</v>
      </c>
      <c r="N2489" s="6" t="s">
        <v>23</v>
      </c>
      <c r="O2489" s="6" t="s">
        <v>107</v>
      </c>
      <c r="P2489" s="25" t="s">
        <v>222</v>
      </c>
    </row>
    <row r="2490" spans="12:16" ht="15.75" customHeight="1" x14ac:dyDescent="0.3">
      <c r="L2490" s="6" t="s">
        <v>188</v>
      </c>
      <c r="M2490" s="6" t="s">
        <v>229</v>
      </c>
      <c r="N2490" s="6" t="s">
        <v>24</v>
      </c>
      <c r="O2490" s="6" t="s">
        <v>109</v>
      </c>
      <c r="P2490" s="25" t="s">
        <v>222</v>
      </c>
    </row>
    <row r="2491" spans="12:16" ht="15.75" customHeight="1" x14ac:dyDescent="0.3">
      <c r="L2491" s="6" t="s">
        <v>188</v>
      </c>
      <c r="M2491" s="6" t="s">
        <v>229</v>
      </c>
      <c r="N2491" s="6" t="s">
        <v>25</v>
      </c>
      <c r="O2491" s="6" t="s">
        <v>111</v>
      </c>
      <c r="P2491" s="19">
        <v>0</v>
      </c>
    </row>
    <row r="2492" spans="12:16" ht="15.75" customHeight="1" x14ac:dyDescent="0.3">
      <c r="L2492" s="6" t="s">
        <v>188</v>
      </c>
      <c r="M2492" s="6" t="s">
        <v>229</v>
      </c>
      <c r="N2492" s="6" t="s">
        <v>26</v>
      </c>
      <c r="O2492" s="6" t="s">
        <v>113</v>
      </c>
      <c r="P2492" s="19">
        <v>0</v>
      </c>
    </row>
    <row r="2493" spans="12:16" ht="15.75" customHeight="1" x14ac:dyDescent="0.3">
      <c r="L2493" s="6" t="s">
        <v>188</v>
      </c>
      <c r="M2493" s="6" t="s">
        <v>229</v>
      </c>
      <c r="N2493" s="6" t="s">
        <v>27</v>
      </c>
      <c r="O2493" s="6" t="s">
        <v>117</v>
      </c>
      <c r="P2493" s="25" t="s">
        <v>222</v>
      </c>
    </row>
    <row r="2494" spans="12:16" ht="15.75" customHeight="1" x14ac:dyDescent="0.3">
      <c r="L2494" s="6" t="s">
        <v>188</v>
      </c>
      <c r="M2494" s="6" t="s">
        <v>229</v>
      </c>
      <c r="N2494" s="6" t="s">
        <v>29</v>
      </c>
      <c r="O2494" s="6" t="s">
        <v>125</v>
      </c>
      <c r="P2494" s="19">
        <v>0</v>
      </c>
    </row>
    <row r="2495" spans="12:16" ht="15.75" customHeight="1" x14ac:dyDescent="0.3">
      <c r="L2495" s="6" t="s">
        <v>188</v>
      </c>
      <c r="M2495" s="6" t="s">
        <v>229</v>
      </c>
      <c r="N2495" s="6" t="s">
        <v>135</v>
      </c>
      <c r="O2495" s="6" t="s">
        <v>136</v>
      </c>
      <c r="P2495" s="19">
        <v>0</v>
      </c>
    </row>
    <row r="2496" spans="12:16" ht="15.75" customHeight="1" x14ac:dyDescent="0.3">
      <c r="L2496" s="6" t="s">
        <v>188</v>
      </c>
      <c r="M2496" s="6" t="s">
        <v>229</v>
      </c>
      <c r="N2496" s="6" t="s">
        <v>138</v>
      </c>
      <c r="O2496" s="6" t="s">
        <v>139</v>
      </c>
      <c r="P2496" s="19">
        <v>1</v>
      </c>
    </row>
    <row r="2497" spans="12:16" ht="15.75" customHeight="1" x14ac:dyDescent="0.3">
      <c r="L2497" s="6" t="s">
        <v>188</v>
      </c>
      <c r="M2497" s="6" t="s">
        <v>229</v>
      </c>
      <c r="N2497" s="6" t="s">
        <v>30</v>
      </c>
      <c r="O2497" s="6" t="s">
        <v>148</v>
      </c>
      <c r="P2497" s="19">
        <v>0</v>
      </c>
    </row>
    <row r="2498" spans="12:16" ht="15.75" customHeight="1" x14ac:dyDescent="0.3">
      <c r="L2498" s="6" t="s">
        <v>188</v>
      </c>
      <c r="M2498" s="6" t="s">
        <v>229</v>
      </c>
      <c r="N2498" s="6" t="s">
        <v>156</v>
      </c>
      <c r="O2498" s="6" t="s">
        <v>157</v>
      </c>
      <c r="P2498" s="25" t="s">
        <v>169</v>
      </c>
    </row>
    <row r="2499" spans="12:16" ht="15.75" customHeight="1" x14ac:dyDescent="0.3">
      <c r="L2499" s="6" t="s">
        <v>188</v>
      </c>
      <c r="M2499" s="6" t="s">
        <v>229</v>
      </c>
      <c r="N2499" s="6" t="s">
        <v>158</v>
      </c>
      <c r="O2499" s="6" t="s">
        <v>159</v>
      </c>
      <c r="P2499" s="19">
        <v>1</v>
      </c>
    </row>
    <row r="2500" spans="12:16" ht="15.75" customHeight="1" x14ac:dyDescent="0.3">
      <c r="L2500" s="6" t="s">
        <v>188</v>
      </c>
      <c r="M2500" s="6" t="s">
        <v>229</v>
      </c>
      <c r="N2500" s="6" t="s">
        <v>160</v>
      </c>
      <c r="O2500" s="6" t="s">
        <v>161</v>
      </c>
      <c r="P2500" s="25" t="s">
        <v>169</v>
      </c>
    </row>
    <row r="2501" spans="12:16" ht="15.75" customHeight="1" x14ac:dyDescent="0.3">
      <c r="L2501" s="6" t="s">
        <v>188</v>
      </c>
      <c r="M2501" s="6" t="s">
        <v>229</v>
      </c>
      <c r="N2501" s="6" t="s">
        <v>162</v>
      </c>
      <c r="O2501" s="6" t="s">
        <v>163</v>
      </c>
      <c r="P2501" s="19">
        <v>1</v>
      </c>
    </row>
    <row r="2502" spans="12:16" ht="15.75" customHeight="1" x14ac:dyDescent="0.3">
      <c r="L2502" s="6" t="s">
        <v>188</v>
      </c>
      <c r="M2502" s="6" t="s">
        <v>229</v>
      </c>
      <c r="N2502" s="6" t="s">
        <v>165</v>
      </c>
      <c r="O2502" s="6" t="s">
        <v>166</v>
      </c>
      <c r="P2502" s="19">
        <v>0</v>
      </c>
    </row>
    <row r="2503" spans="12:16" ht="15.75" customHeight="1" x14ac:dyDescent="0.3">
      <c r="L2503" s="6" t="s">
        <v>189</v>
      </c>
      <c r="M2503" s="6" t="s">
        <v>332</v>
      </c>
      <c r="N2503" s="6" t="s">
        <v>72</v>
      </c>
      <c r="O2503" s="6" t="s">
        <v>75</v>
      </c>
      <c r="P2503" s="19">
        <v>0</v>
      </c>
    </row>
    <row r="2504" spans="12:16" ht="15.75" customHeight="1" x14ac:dyDescent="0.3">
      <c r="L2504" s="6" t="s">
        <v>189</v>
      </c>
      <c r="M2504" s="6" t="s">
        <v>332</v>
      </c>
      <c r="N2504" s="6" t="s">
        <v>83</v>
      </c>
      <c r="O2504" s="6" t="s">
        <v>84</v>
      </c>
      <c r="P2504" s="19">
        <v>0</v>
      </c>
    </row>
    <row r="2505" spans="12:16" ht="15.75" customHeight="1" x14ac:dyDescent="0.3">
      <c r="L2505" s="6" t="s">
        <v>189</v>
      </c>
      <c r="M2505" s="6" t="s">
        <v>332</v>
      </c>
      <c r="N2505" s="6" t="s">
        <v>88</v>
      </c>
      <c r="O2505" s="6" t="s">
        <v>90</v>
      </c>
      <c r="P2505" s="19">
        <v>0</v>
      </c>
    </row>
    <row r="2506" spans="12:16" ht="15.75" customHeight="1" x14ac:dyDescent="0.3">
      <c r="L2506" s="6" t="s">
        <v>189</v>
      </c>
      <c r="M2506" s="6" t="s">
        <v>332</v>
      </c>
      <c r="N2506" s="6" t="s">
        <v>96</v>
      </c>
      <c r="O2506" s="6" t="s">
        <v>97</v>
      </c>
      <c r="P2506" s="19">
        <v>0</v>
      </c>
    </row>
    <row r="2507" spans="12:16" ht="15.75" customHeight="1" x14ac:dyDescent="0.3">
      <c r="L2507" s="6" t="s">
        <v>189</v>
      </c>
      <c r="M2507" s="6" t="s">
        <v>332</v>
      </c>
      <c r="N2507" s="6" t="s">
        <v>100</v>
      </c>
      <c r="O2507" s="6" t="s">
        <v>101</v>
      </c>
      <c r="P2507" s="19">
        <v>0</v>
      </c>
    </row>
    <row r="2508" spans="12:16" ht="15.75" customHeight="1" x14ac:dyDescent="0.3">
      <c r="L2508" s="6" t="s">
        <v>189</v>
      </c>
      <c r="M2508" s="6" t="s">
        <v>332</v>
      </c>
      <c r="N2508" s="6" t="s">
        <v>22</v>
      </c>
      <c r="O2508" s="6" t="s">
        <v>104</v>
      </c>
      <c r="P2508" s="19">
        <v>0</v>
      </c>
    </row>
    <row r="2509" spans="12:16" ht="15.75" customHeight="1" x14ac:dyDescent="0.3">
      <c r="L2509" s="6" t="s">
        <v>189</v>
      </c>
      <c r="M2509" s="6" t="s">
        <v>332</v>
      </c>
      <c r="N2509" s="6" t="s">
        <v>23</v>
      </c>
      <c r="O2509" s="6" t="s">
        <v>107</v>
      </c>
      <c r="P2509" s="25" t="s">
        <v>222</v>
      </c>
    </row>
    <row r="2510" spans="12:16" ht="15.75" customHeight="1" x14ac:dyDescent="0.3">
      <c r="L2510" s="6" t="s">
        <v>189</v>
      </c>
      <c r="M2510" s="6" t="s">
        <v>332</v>
      </c>
      <c r="N2510" s="6" t="s">
        <v>24</v>
      </c>
      <c r="O2510" s="6" t="s">
        <v>109</v>
      </c>
      <c r="P2510" s="25" t="s">
        <v>222</v>
      </c>
    </row>
    <row r="2511" spans="12:16" ht="15.75" customHeight="1" x14ac:dyDescent="0.3">
      <c r="L2511" s="6" t="s">
        <v>189</v>
      </c>
      <c r="M2511" s="6" t="s">
        <v>332</v>
      </c>
      <c r="N2511" s="6" t="s">
        <v>25</v>
      </c>
      <c r="O2511" s="6" t="s">
        <v>111</v>
      </c>
      <c r="P2511" s="19">
        <v>0</v>
      </c>
    </row>
    <row r="2512" spans="12:16" ht="15.75" customHeight="1" x14ac:dyDescent="0.3">
      <c r="L2512" s="6" t="s">
        <v>189</v>
      </c>
      <c r="M2512" s="6" t="s">
        <v>332</v>
      </c>
      <c r="N2512" s="6" t="s">
        <v>26</v>
      </c>
      <c r="O2512" s="6" t="s">
        <v>113</v>
      </c>
      <c r="P2512" s="19">
        <v>0</v>
      </c>
    </row>
    <row r="2513" spans="12:16" ht="15.75" customHeight="1" x14ac:dyDescent="0.3">
      <c r="L2513" s="6" t="s">
        <v>189</v>
      </c>
      <c r="M2513" s="6" t="s">
        <v>332</v>
      </c>
      <c r="N2513" s="6" t="s">
        <v>27</v>
      </c>
      <c r="O2513" s="6" t="s">
        <v>117</v>
      </c>
      <c r="P2513" s="25" t="s">
        <v>222</v>
      </c>
    </row>
    <row r="2514" spans="12:16" ht="15.75" customHeight="1" x14ac:dyDescent="0.3">
      <c r="L2514" s="6" t="s">
        <v>189</v>
      </c>
      <c r="M2514" s="6" t="s">
        <v>332</v>
      </c>
      <c r="N2514" s="6" t="s">
        <v>29</v>
      </c>
      <c r="O2514" s="6" t="s">
        <v>125</v>
      </c>
      <c r="P2514" s="19">
        <v>0</v>
      </c>
    </row>
    <row r="2515" spans="12:16" ht="15.75" customHeight="1" x14ac:dyDescent="0.3">
      <c r="L2515" s="6" t="s">
        <v>189</v>
      </c>
      <c r="M2515" s="6" t="s">
        <v>332</v>
      </c>
      <c r="N2515" s="6" t="s">
        <v>135</v>
      </c>
      <c r="O2515" s="6" t="s">
        <v>136</v>
      </c>
      <c r="P2515" s="19">
        <v>0</v>
      </c>
    </row>
    <row r="2516" spans="12:16" ht="15.75" customHeight="1" x14ac:dyDescent="0.3">
      <c r="L2516" s="6" t="s">
        <v>189</v>
      </c>
      <c r="M2516" s="6" t="s">
        <v>332</v>
      </c>
      <c r="N2516" s="6" t="s">
        <v>138</v>
      </c>
      <c r="O2516" s="6" t="s">
        <v>139</v>
      </c>
      <c r="P2516" s="19">
        <v>1</v>
      </c>
    </row>
    <row r="2517" spans="12:16" ht="15.75" customHeight="1" x14ac:dyDescent="0.3">
      <c r="L2517" s="6" t="s">
        <v>189</v>
      </c>
      <c r="M2517" s="6" t="s">
        <v>332</v>
      </c>
      <c r="N2517" s="6" t="s">
        <v>30</v>
      </c>
      <c r="O2517" s="6" t="s">
        <v>148</v>
      </c>
      <c r="P2517" s="19">
        <v>0</v>
      </c>
    </row>
    <row r="2518" spans="12:16" ht="15.75" customHeight="1" x14ac:dyDescent="0.3">
      <c r="L2518" s="6" t="s">
        <v>189</v>
      </c>
      <c r="M2518" s="6" t="s">
        <v>332</v>
      </c>
      <c r="N2518" s="6" t="s">
        <v>156</v>
      </c>
      <c r="O2518" s="6" t="s">
        <v>157</v>
      </c>
      <c r="P2518" s="25" t="s">
        <v>169</v>
      </c>
    </row>
    <row r="2519" spans="12:16" ht="15.75" customHeight="1" x14ac:dyDescent="0.3">
      <c r="L2519" s="6" t="s">
        <v>189</v>
      </c>
      <c r="M2519" s="6" t="s">
        <v>332</v>
      </c>
      <c r="N2519" s="6" t="s">
        <v>158</v>
      </c>
      <c r="O2519" s="6" t="s">
        <v>159</v>
      </c>
      <c r="P2519" s="19">
        <v>1</v>
      </c>
    </row>
    <row r="2520" spans="12:16" ht="15.75" customHeight="1" x14ac:dyDescent="0.3">
      <c r="L2520" s="6" t="s">
        <v>189</v>
      </c>
      <c r="M2520" s="6" t="s">
        <v>332</v>
      </c>
      <c r="N2520" s="6" t="s">
        <v>160</v>
      </c>
      <c r="O2520" s="6" t="s">
        <v>161</v>
      </c>
      <c r="P2520" s="25" t="s">
        <v>169</v>
      </c>
    </row>
    <row r="2521" spans="12:16" ht="15.75" customHeight="1" x14ac:dyDescent="0.3">
      <c r="L2521" s="6" t="s">
        <v>189</v>
      </c>
      <c r="M2521" s="6" t="s">
        <v>332</v>
      </c>
      <c r="N2521" s="6" t="s">
        <v>162</v>
      </c>
      <c r="O2521" s="6" t="s">
        <v>163</v>
      </c>
      <c r="P2521" s="19">
        <v>4</v>
      </c>
    </row>
    <row r="2522" spans="12:16" ht="15.75" customHeight="1" x14ac:dyDescent="0.3">
      <c r="L2522" s="6" t="s">
        <v>189</v>
      </c>
      <c r="M2522" s="6" t="s">
        <v>332</v>
      </c>
      <c r="N2522" s="6" t="s">
        <v>165</v>
      </c>
      <c r="O2522" s="6" t="s">
        <v>166</v>
      </c>
      <c r="P2522" s="19">
        <v>0</v>
      </c>
    </row>
    <row r="2523" spans="12:16" ht="15.75" customHeight="1" x14ac:dyDescent="0.3">
      <c r="L2523" s="6" t="s">
        <v>189</v>
      </c>
      <c r="M2523" s="6" t="s">
        <v>316</v>
      </c>
      <c r="N2523" s="6" t="s">
        <v>72</v>
      </c>
      <c r="O2523" s="6" t="s">
        <v>75</v>
      </c>
      <c r="P2523" s="19">
        <v>0</v>
      </c>
    </row>
    <row r="2524" spans="12:16" ht="15.75" customHeight="1" x14ac:dyDescent="0.3">
      <c r="L2524" s="6" t="s">
        <v>189</v>
      </c>
      <c r="M2524" s="6" t="s">
        <v>316</v>
      </c>
      <c r="N2524" s="6" t="s">
        <v>83</v>
      </c>
      <c r="O2524" s="6" t="s">
        <v>84</v>
      </c>
      <c r="P2524" s="19">
        <v>0</v>
      </c>
    </row>
    <row r="2525" spans="12:16" ht="15.75" customHeight="1" x14ac:dyDescent="0.3">
      <c r="L2525" s="6" t="s">
        <v>189</v>
      </c>
      <c r="M2525" s="6" t="s">
        <v>316</v>
      </c>
      <c r="N2525" s="6" t="s">
        <v>88</v>
      </c>
      <c r="O2525" s="6" t="s">
        <v>90</v>
      </c>
      <c r="P2525" s="19">
        <v>0</v>
      </c>
    </row>
    <row r="2526" spans="12:16" ht="15.75" customHeight="1" x14ac:dyDescent="0.3">
      <c r="L2526" s="6" t="s">
        <v>189</v>
      </c>
      <c r="M2526" s="6" t="s">
        <v>316</v>
      </c>
      <c r="N2526" s="6" t="s">
        <v>96</v>
      </c>
      <c r="O2526" s="6" t="s">
        <v>97</v>
      </c>
      <c r="P2526" s="19">
        <v>0</v>
      </c>
    </row>
    <row r="2527" spans="12:16" ht="15.75" customHeight="1" x14ac:dyDescent="0.3">
      <c r="L2527" s="6" t="s">
        <v>189</v>
      </c>
      <c r="M2527" s="6" t="s">
        <v>316</v>
      </c>
      <c r="N2527" s="6" t="s">
        <v>100</v>
      </c>
      <c r="O2527" s="6" t="s">
        <v>101</v>
      </c>
      <c r="P2527" s="19">
        <v>0</v>
      </c>
    </row>
    <row r="2528" spans="12:16" ht="15.75" customHeight="1" x14ac:dyDescent="0.3">
      <c r="L2528" s="6" t="s">
        <v>189</v>
      </c>
      <c r="M2528" s="6" t="s">
        <v>316</v>
      </c>
      <c r="N2528" s="6" t="s">
        <v>22</v>
      </c>
      <c r="O2528" s="6" t="s">
        <v>104</v>
      </c>
      <c r="P2528" s="19">
        <v>0</v>
      </c>
    </row>
    <row r="2529" spans="12:16" ht="15.75" customHeight="1" x14ac:dyDescent="0.3">
      <c r="L2529" s="6" t="s">
        <v>189</v>
      </c>
      <c r="M2529" s="6" t="s">
        <v>316</v>
      </c>
      <c r="N2529" s="6" t="s">
        <v>23</v>
      </c>
      <c r="O2529" s="6" t="s">
        <v>107</v>
      </c>
      <c r="P2529" s="19">
        <v>0</v>
      </c>
    </row>
    <row r="2530" spans="12:16" ht="15.75" customHeight="1" x14ac:dyDescent="0.3">
      <c r="L2530" s="6" t="s">
        <v>189</v>
      </c>
      <c r="M2530" s="6" t="s">
        <v>316</v>
      </c>
      <c r="N2530" s="6" t="s">
        <v>24</v>
      </c>
      <c r="O2530" s="6" t="s">
        <v>109</v>
      </c>
      <c r="P2530" s="19">
        <v>0</v>
      </c>
    </row>
    <row r="2531" spans="12:16" ht="15.75" customHeight="1" x14ac:dyDescent="0.3">
      <c r="L2531" s="6" t="s">
        <v>189</v>
      </c>
      <c r="M2531" s="6" t="s">
        <v>316</v>
      </c>
      <c r="N2531" s="6" t="s">
        <v>25</v>
      </c>
      <c r="O2531" s="6" t="s">
        <v>111</v>
      </c>
      <c r="P2531" s="19">
        <v>1</v>
      </c>
    </row>
    <row r="2532" spans="12:16" ht="15.75" customHeight="1" x14ac:dyDescent="0.3">
      <c r="L2532" s="6" t="s">
        <v>189</v>
      </c>
      <c r="M2532" s="6" t="s">
        <v>316</v>
      </c>
      <c r="N2532" s="6" t="s">
        <v>26</v>
      </c>
      <c r="O2532" s="6" t="s">
        <v>113</v>
      </c>
      <c r="P2532" s="19">
        <v>1</v>
      </c>
    </row>
    <row r="2533" spans="12:16" ht="15.75" customHeight="1" x14ac:dyDescent="0.3">
      <c r="L2533" s="6" t="s">
        <v>189</v>
      </c>
      <c r="M2533" s="6" t="s">
        <v>316</v>
      </c>
      <c r="N2533" s="6" t="s">
        <v>27</v>
      </c>
      <c r="O2533" s="6" t="s">
        <v>117</v>
      </c>
      <c r="P2533" s="19">
        <v>0</v>
      </c>
    </row>
    <row r="2534" spans="12:16" ht="15.75" customHeight="1" x14ac:dyDescent="0.3">
      <c r="L2534" s="6" t="s">
        <v>189</v>
      </c>
      <c r="M2534" s="6" t="s">
        <v>316</v>
      </c>
      <c r="N2534" s="6" t="s">
        <v>29</v>
      </c>
      <c r="O2534" s="6" t="s">
        <v>125</v>
      </c>
      <c r="P2534" s="19">
        <v>0</v>
      </c>
    </row>
    <row r="2535" spans="12:16" ht="15.75" customHeight="1" x14ac:dyDescent="0.3">
      <c r="L2535" s="6" t="s">
        <v>189</v>
      </c>
      <c r="M2535" s="6" t="s">
        <v>316</v>
      </c>
      <c r="N2535" s="6" t="s">
        <v>135</v>
      </c>
      <c r="O2535" s="6" t="s">
        <v>136</v>
      </c>
      <c r="P2535" s="19">
        <v>0</v>
      </c>
    </row>
    <row r="2536" spans="12:16" ht="15.75" customHeight="1" x14ac:dyDescent="0.3">
      <c r="L2536" s="6" t="s">
        <v>189</v>
      </c>
      <c r="M2536" s="6" t="s">
        <v>316</v>
      </c>
      <c r="N2536" s="6" t="s">
        <v>138</v>
      </c>
      <c r="O2536" s="6" t="s">
        <v>139</v>
      </c>
      <c r="P2536" s="19">
        <v>1</v>
      </c>
    </row>
    <row r="2537" spans="12:16" ht="15.75" customHeight="1" x14ac:dyDescent="0.3">
      <c r="L2537" s="6" t="s">
        <v>189</v>
      </c>
      <c r="M2537" s="6" t="s">
        <v>316</v>
      </c>
      <c r="N2537" s="6" t="s">
        <v>30</v>
      </c>
      <c r="O2537" s="6" t="s">
        <v>148</v>
      </c>
      <c r="P2537" s="19">
        <v>0</v>
      </c>
    </row>
    <row r="2538" spans="12:16" ht="15.75" customHeight="1" x14ac:dyDescent="0.3">
      <c r="L2538" s="6" t="s">
        <v>189</v>
      </c>
      <c r="M2538" s="6" t="s">
        <v>316</v>
      </c>
      <c r="N2538" s="6" t="s">
        <v>156</v>
      </c>
      <c r="O2538" s="6" t="s">
        <v>157</v>
      </c>
      <c r="P2538" s="25" t="s">
        <v>169</v>
      </c>
    </row>
    <row r="2539" spans="12:16" ht="15.75" customHeight="1" x14ac:dyDescent="0.3">
      <c r="L2539" s="6" t="s">
        <v>189</v>
      </c>
      <c r="M2539" s="6" t="s">
        <v>316</v>
      </c>
      <c r="N2539" s="6" t="s">
        <v>158</v>
      </c>
      <c r="O2539" s="6" t="s">
        <v>159</v>
      </c>
      <c r="P2539" s="19">
        <v>1</v>
      </c>
    </row>
    <row r="2540" spans="12:16" ht="15.75" customHeight="1" x14ac:dyDescent="0.3">
      <c r="L2540" s="6" t="s">
        <v>189</v>
      </c>
      <c r="M2540" s="6" t="s">
        <v>316</v>
      </c>
      <c r="N2540" s="6" t="s">
        <v>160</v>
      </c>
      <c r="O2540" s="6" t="s">
        <v>161</v>
      </c>
      <c r="P2540" s="25" t="s">
        <v>169</v>
      </c>
    </row>
    <row r="2541" spans="12:16" ht="15.75" customHeight="1" x14ac:dyDescent="0.3">
      <c r="L2541" s="6" t="s">
        <v>189</v>
      </c>
      <c r="M2541" s="6" t="s">
        <v>316</v>
      </c>
      <c r="N2541" s="6" t="s">
        <v>162</v>
      </c>
      <c r="O2541" s="6" t="s">
        <v>163</v>
      </c>
      <c r="P2541" s="19">
        <v>4</v>
      </c>
    </row>
    <row r="2542" spans="12:16" ht="15.75" customHeight="1" x14ac:dyDescent="0.3">
      <c r="L2542" s="6" t="s">
        <v>189</v>
      </c>
      <c r="M2542" s="6" t="s">
        <v>316</v>
      </c>
      <c r="N2542" s="6" t="s">
        <v>165</v>
      </c>
      <c r="O2542" s="6" t="s">
        <v>166</v>
      </c>
      <c r="P2542" s="19">
        <v>1</v>
      </c>
    </row>
    <row r="2543" spans="12:16" ht="15.75" customHeight="1" x14ac:dyDescent="0.3">
      <c r="L2543" s="6" t="s">
        <v>189</v>
      </c>
      <c r="M2543" s="6" t="s">
        <v>453</v>
      </c>
      <c r="N2543" s="6" t="s">
        <v>72</v>
      </c>
      <c r="O2543" s="6" t="s">
        <v>75</v>
      </c>
      <c r="P2543" s="19">
        <v>0</v>
      </c>
    </row>
    <row r="2544" spans="12:16" ht="15.75" customHeight="1" x14ac:dyDescent="0.3">
      <c r="L2544" s="6" t="s">
        <v>189</v>
      </c>
      <c r="M2544" s="6" t="s">
        <v>453</v>
      </c>
      <c r="N2544" s="6" t="s">
        <v>83</v>
      </c>
      <c r="O2544" s="6" t="s">
        <v>84</v>
      </c>
      <c r="P2544" s="19">
        <v>0</v>
      </c>
    </row>
    <row r="2545" spans="12:16" ht="15.75" customHeight="1" x14ac:dyDescent="0.3">
      <c r="L2545" s="6" t="s">
        <v>189</v>
      </c>
      <c r="M2545" s="6" t="s">
        <v>453</v>
      </c>
      <c r="N2545" s="6" t="s">
        <v>88</v>
      </c>
      <c r="O2545" s="6" t="s">
        <v>90</v>
      </c>
      <c r="P2545" s="19">
        <v>0</v>
      </c>
    </row>
    <row r="2546" spans="12:16" ht="15.75" customHeight="1" x14ac:dyDescent="0.3">
      <c r="L2546" s="6" t="s">
        <v>189</v>
      </c>
      <c r="M2546" s="6" t="s">
        <v>453</v>
      </c>
      <c r="N2546" s="6" t="s">
        <v>96</v>
      </c>
      <c r="O2546" s="6" t="s">
        <v>97</v>
      </c>
      <c r="P2546" s="19">
        <v>0</v>
      </c>
    </row>
    <row r="2547" spans="12:16" ht="15.75" customHeight="1" x14ac:dyDescent="0.3">
      <c r="L2547" s="6" t="s">
        <v>189</v>
      </c>
      <c r="M2547" s="6" t="s">
        <v>453</v>
      </c>
      <c r="N2547" s="6" t="s">
        <v>100</v>
      </c>
      <c r="O2547" s="6" t="s">
        <v>101</v>
      </c>
      <c r="P2547" s="19">
        <v>0</v>
      </c>
    </row>
    <row r="2548" spans="12:16" ht="15.75" customHeight="1" x14ac:dyDescent="0.3">
      <c r="L2548" s="6" t="s">
        <v>189</v>
      </c>
      <c r="M2548" s="6" t="s">
        <v>453</v>
      </c>
      <c r="N2548" s="6" t="s">
        <v>22</v>
      </c>
      <c r="O2548" s="6" t="s">
        <v>104</v>
      </c>
      <c r="P2548" s="19">
        <v>0</v>
      </c>
    </row>
    <row r="2549" spans="12:16" ht="15.75" customHeight="1" x14ac:dyDescent="0.3">
      <c r="L2549" s="6" t="s">
        <v>189</v>
      </c>
      <c r="M2549" s="6" t="s">
        <v>453</v>
      </c>
      <c r="N2549" s="6" t="s">
        <v>23</v>
      </c>
      <c r="O2549" s="6" t="s">
        <v>107</v>
      </c>
      <c r="P2549" s="19">
        <v>0</v>
      </c>
    </row>
    <row r="2550" spans="12:16" ht="15.75" customHeight="1" x14ac:dyDescent="0.3">
      <c r="L2550" s="6" t="s">
        <v>189</v>
      </c>
      <c r="M2550" s="6" t="s">
        <v>453</v>
      </c>
      <c r="N2550" s="6" t="s">
        <v>24</v>
      </c>
      <c r="O2550" s="6" t="s">
        <v>109</v>
      </c>
      <c r="P2550" s="19">
        <v>0</v>
      </c>
    </row>
    <row r="2551" spans="12:16" ht="15.75" customHeight="1" x14ac:dyDescent="0.3">
      <c r="L2551" s="6" t="s">
        <v>189</v>
      </c>
      <c r="M2551" s="6" t="s">
        <v>453</v>
      </c>
      <c r="N2551" s="6" t="s">
        <v>25</v>
      </c>
      <c r="O2551" s="6" t="s">
        <v>111</v>
      </c>
      <c r="P2551" s="19">
        <v>1</v>
      </c>
    </row>
    <row r="2552" spans="12:16" ht="15.75" customHeight="1" x14ac:dyDescent="0.3">
      <c r="L2552" s="6" t="s">
        <v>189</v>
      </c>
      <c r="M2552" s="6" t="s">
        <v>453</v>
      </c>
      <c r="N2552" s="6" t="s">
        <v>26</v>
      </c>
      <c r="O2552" s="6" t="s">
        <v>113</v>
      </c>
      <c r="P2552" s="19">
        <v>1</v>
      </c>
    </row>
    <row r="2553" spans="12:16" ht="15.75" customHeight="1" x14ac:dyDescent="0.3">
      <c r="L2553" s="6" t="s">
        <v>189</v>
      </c>
      <c r="M2553" s="6" t="s">
        <v>453</v>
      </c>
      <c r="N2553" s="6" t="s">
        <v>27</v>
      </c>
      <c r="O2553" s="6" t="s">
        <v>117</v>
      </c>
      <c r="P2553" s="19">
        <v>0</v>
      </c>
    </row>
    <row r="2554" spans="12:16" ht="15.75" customHeight="1" x14ac:dyDescent="0.3">
      <c r="L2554" s="6" t="s">
        <v>189</v>
      </c>
      <c r="M2554" s="6" t="s">
        <v>453</v>
      </c>
      <c r="N2554" s="6" t="s">
        <v>29</v>
      </c>
      <c r="O2554" s="6" t="s">
        <v>125</v>
      </c>
      <c r="P2554" s="19">
        <v>0</v>
      </c>
    </row>
    <row r="2555" spans="12:16" ht="15.75" customHeight="1" x14ac:dyDescent="0.3">
      <c r="L2555" s="6" t="s">
        <v>189</v>
      </c>
      <c r="M2555" s="6" t="s">
        <v>453</v>
      </c>
      <c r="N2555" s="6" t="s">
        <v>135</v>
      </c>
      <c r="O2555" s="6" t="s">
        <v>136</v>
      </c>
      <c r="P2555" s="19">
        <v>0</v>
      </c>
    </row>
    <row r="2556" spans="12:16" ht="15.75" customHeight="1" x14ac:dyDescent="0.3">
      <c r="L2556" s="6" t="s">
        <v>189</v>
      </c>
      <c r="M2556" s="6" t="s">
        <v>453</v>
      </c>
      <c r="N2556" s="6" t="s">
        <v>138</v>
      </c>
      <c r="O2556" s="6" t="s">
        <v>139</v>
      </c>
      <c r="P2556" s="19">
        <v>1</v>
      </c>
    </row>
    <row r="2557" spans="12:16" ht="15.75" customHeight="1" x14ac:dyDescent="0.3">
      <c r="L2557" s="6" t="s">
        <v>189</v>
      </c>
      <c r="M2557" s="6" t="s">
        <v>453</v>
      </c>
      <c r="N2557" s="6" t="s">
        <v>30</v>
      </c>
      <c r="O2557" s="6" t="s">
        <v>148</v>
      </c>
      <c r="P2557" s="19">
        <v>0</v>
      </c>
    </row>
    <row r="2558" spans="12:16" ht="15.75" customHeight="1" x14ac:dyDescent="0.3">
      <c r="L2558" s="6" t="s">
        <v>189</v>
      </c>
      <c r="M2558" s="6" t="s">
        <v>453</v>
      </c>
      <c r="N2558" s="6" t="s">
        <v>156</v>
      </c>
      <c r="O2558" s="6" t="s">
        <v>157</v>
      </c>
      <c r="P2558" s="25" t="s">
        <v>169</v>
      </c>
    </row>
    <row r="2559" spans="12:16" ht="15.75" customHeight="1" x14ac:dyDescent="0.3">
      <c r="L2559" s="6" t="s">
        <v>189</v>
      </c>
      <c r="M2559" s="6" t="s">
        <v>453</v>
      </c>
      <c r="N2559" s="6" t="s">
        <v>158</v>
      </c>
      <c r="O2559" s="6" t="s">
        <v>159</v>
      </c>
      <c r="P2559" s="19">
        <v>1</v>
      </c>
    </row>
    <row r="2560" spans="12:16" ht="15.75" customHeight="1" x14ac:dyDescent="0.3">
      <c r="L2560" s="6" t="s">
        <v>189</v>
      </c>
      <c r="M2560" s="6" t="s">
        <v>453</v>
      </c>
      <c r="N2560" s="6" t="s">
        <v>160</v>
      </c>
      <c r="O2560" s="6" t="s">
        <v>161</v>
      </c>
      <c r="P2560" s="25" t="s">
        <v>169</v>
      </c>
    </row>
    <row r="2561" spans="12:16" ht="15.75" customHeight="1" x14ac:dyDescent="0.3">
      <c r="L2561" s="6" t="s">
        <v>189</v>
      </c>
      <c r="M2561" s="6" t="s">
        <v>453</v>
      </c>
      <c r="N2561" s="6" t="s">
        <v>162</v>
      </c>
      <c r="O2561" s="6" t="s">
        <v>163</v>
      </c>
      <c r="P2561" s="19">
        <v>4</v>
      </c>
    </row>
    <row r="2562" spans="12:16" ht="15.75" customHeight="1" x14ac:dyDescent="0.3">
      <c r="L2562" s="6" t="s">
        <v>189</v>
      </c>
      <c r="M2562" s="6" t="s">
        <v>453</v>
      </c>
      <c r="N2562" s="6" t="s">
        <v>165</v>
      </c>
      <c r="O2562" s="6" t="s">
        <v>166</v>
      </c>
      <c r="P2562" s="19">
        <v>0</v>
      </c>
    </row>
    <row r="2563" spans="12:16" ht="15.75" customHeight="1" x14ac:dyDescent="0.3">
      <c r="L2563" s="6" t="s">
        <v>189</v>
      </c>
      <c r="M2563" s="6" t="s">
        <v>456</v>
      </c>
      <c r="N2563" s="6" t="s">
        <v>72</v>
      </c>
      <c r="O2563" s="6" t="s">
        <v>75</v>
      </c>
      <c r="P2563" s="19">
        <v>0</v>
      </c>
    </row>
    <row r="2564" spans="12:16" ht="15.75" customHeight="1" x14ac:dyDescent="0.3">
      <c r="L2564" s="6" t="s">
        <v>189</v>
      </c>
      <c r="M2564" s="6" t="s">
        <v>456</v>
      </c>
      <c r="N2564" s="6" t="s">
        <v>83</v>
      </c>
      <c r="O2564" s="6" t="s">
        <v>84</v>
      </c>
      <c r="P2564" s="19">
        <v>0</v>
      </c>
    </row>
    <row r="2565" spans="12:16" ht="15.75" customHeight="1" x14ac:dyDescent="0.3">
      <c r="L2565" s="6" t="s">
        <v>189</v>
      </c>
      <c r="M2565" s="6" t="s">
        <v>456</v>
      </c>
      <c r="N2565" s="6" t="s">
        <v>88</v>
      </c>
      <c r="O2565" s="6" t="s">
        <v>90</v>
      </c>
      <c r="P2565" s="19">
        <v>0</v>
      </c>
    </row>
    <row r="2566" spans="12:16" ht="15.75" customHeight="1" x14ac:dyDescent="0.3">
      <c r="L2566" s="6" t="s">
        <v>189</v>
      </c>
      <c r="M2566" s="6" t="s">
        <v>456</v>
      </c>
      <c r="N2566" s="6" t="s">
        <v>96</v>
      </c>
      <c r="O2566" s="6" t="s">
        <v>97</v>
      </c>
      <c r="P2566" s="19">
        <v>0</v>
      </c>
    </row>
    <row r="2567" spans="12:16" ht="15.75" customHeight="1" x14ac:dyDescent="0.3">
      <c r="L2567" s="6" t="s">
        <v>189</v>
      </c>
      <c r="M2567" s="6" t="s">
        <v>456</v>
      </c>
      <c r="N2567" s="6" t="s">
        <v>100</v>
      </c>
      <c r="O2567" s="6" t="s">
        <v>101</v>
      </c>
      <c r="P2567" s="19">
        <v>0</v>
      </c>
    </row>
    <row r="2568" spans="12:16" ht="15.75" customHeight="1" x14ac:dyDescent="0.3">
      <c r="L2568" s="6" t="s">
        <v>189</v>
      </c>
      <c r="M2568" s="6" t="s">
        <v>456</v>
      </c>
      <c r="N2568" s="6" t="s">
        <v>22</v>
      </c>
      <c r="O2568" s="6" t="s">
        <v>104</v>
      </c>
      <c r="P2568" s="19">
        <v>0</v>
      </c>
    </row>
    <row r="2569" spans="12:16" ht="15.75" customHeight="1" x14ac:dyDescent="0.3">
      <c r="L2569" s="6" t="s">
        <v>189</v>
      </c>
      <c r="M2569" s="6" t="s">
        <v>456</v>
      </c>
      <c r="N2569" s="6" t="s">
        <v>23</v>
      </c>
      <c r="O2569" s="6" t="s">
        <v>107</v>
      </c>
      <c r="P2569" s="19">
        <v>0</v>
      </c>
    </row>
    <row r="2570" spans="12:16" ht="15.75" customHeight="1" x14ac:dyDescent="0.3">
      <c r="L2570" s="6" t="s">
        <v>189</v>
      </c>
      <c r="M2570" s="6" t="s">
        <v>456</v>
      </c>
      <c r="N2570" s="6" t="s">
        <v>24</v>
      </c>
      <c r="O2570" s="6" t="s">
        <v>109</v>
      </c>
      <c r="P2570" s="19">
        <v>0</v>
      </c>
    </row>
    <row r="2571" spans="12:16" ht="15.75" customHeight="1" x14ac:dyDescent="0.3">
      <c r="L2571" s="6" t="s">
        <v>189</v>
      </c>
      <c r="M2571" s="6" t="s">
        <v>456</v>
      </c>
      <c r="N2571" s="6" t="s">
        <v>25</v>
      </c>
      <c r="O2571" s="6" t="s">
        <v>111</v>
      </c>
      <c r="P2571" s="19">
        <v>1</v>
      </c>
    </row>
    <row r="2572" spans="12:16" ht="15.75" customHeight="1" x14ac:dyDescent="0.3">
      <c r="L2572" s="6" t="s">
        <v>189</v>
      </c>
      <c r="M2572" s="6" t="s">
        <v>456</v>
      </c>
      <c r="N2572" s="6" t="s">
        <v>26</v>
      </c>
      <c r="O2572" s="6" t="s">
        <v>113</v>
      </c>
      <c r="P2572" s="19">
        <v>1</v>
      </c>
    </row>
    <row r="2573" spans="12:16" ht="15.75" customHeight="1" x14ac:dyDescent="0.3">
      <c r="L2573" s="6" t="s">
        <v>189</v>
      </c>
      <c r="M2573" s="6" t="s">
        <v>456</v>
      </c>
      <c r="N2573" s="6" t="s">
        <v>27</v>
      </c>
      <c r="O2573" s="6" t="s">
        <v>117</v>
      </c>
      <c r="P2573" s="19">
        <v>0</v>
      </c>
    </row>
    <row r="2574" spans="12:16" ht="15.75" customHeight="1" x14ac:dyDescent="0.3">
      <c r="L2574" s="6" t="s">
        <v>189</v>
      </c>
      <c r="M2574" s="6" t="s">
        <v>456</v>
      </c>
      <c r="N2574" s="6" t="s">
        <v>29</v>
      </c>
      <c r="O2574" s="6" t="s">
        <v>125</v>
      </c>
      <c r="P2574" s="19">
        <v>0</v>
      </c>
    </row>
    <row r="2575" spans="12:16" ht="15.75" customHeight="1" x14ac:dyDescent="0.3">
      <c r="L2575" s="6" t="s">
        <v>189</v>
      </c>
      <c r="M2575" s="6" t="s">
        <v>456</v>
      </c>
      <c r="N2575" s="6" t="s">
        <v>135</v>
      </c>
      <c r="O2575" s="6" t="s">
        <v>136</v>
      </c>
      <c r="P2575" s="19">
        <v>0</v>
      </c>
    </row>
    <row r="2576" spans="12:16" ht="15.75" customHeight="1" x14ac:dyDescent="0.3">
      <c r="L2576" s="6" t="s">
        <v>189</v>
      </c>
      <c r="M2576" s="6" t="s">
        <v>456</v>
      </c>
      <c r="N2576" s="6" t="s">
        <v>138</v>
      </c>
      <c r="O2576" s="6" t="s">
        <v>139</v>
      </c>
      <c r="P2576" s="19">
        <v>1</v>
      </c>
    </row>
    <row r="2577" spans="12:16" ht="15.75" customHeight="1" x14ac:dyDescent="0.3">
      <c r="L2577" s="6" t="s">
        <v>189</v>
      </c>
      <c r="M2577" s="6" t="s">
        <v>456</v>
      </c>
      <c r="N2577" s="6" t="s">
        <v>30</v>
      </c>
      <c r="O2577" s="6" t="s">
        <v>148</v>
      </c>
      <c r="P2577" s="19">
        <v>0</v>
      </c>
    </row>
    <row r="2578" spans="12:16" ht="15.75" customHeight="1" x14ac:dyDescent="0.3">
      <c r="L2578" s="6" t="s">
        <v>189</v>
      </c>
      <c r="M2578" s="6" t="s">
        <v>456</v>
      </c>
      <c r="N2578" s="6" t="s">
        <v>156</v>
      </c>
      <c r="O2578" s="6" t="s">
        <v>157</v>
      </c>
      <c r="P2578" s="25" t="s">
        <v>169</v>
      </c>
    </row>
    <row r="2579" spans="12:16" ht="15.75" customHeight="1" x14ac:dyDescent="0.3">
      <c r="L2579" s="6" t="s">
        <v>189</v>
      </c>
      <c r="M2579" s="6" t="s">
        <v>456</v>
      </c>
      <c r="N2579" s="6" t="s">
        <v>158</v>
      </c>
      <c r="O2579" s="6" t="s">
        <v>159</v>
      </c>
      <c r="P2579" s="19">
        <v>1</v>
      </c>
    </row>
    <row r="2580" spans="12:16" ht="15.75" customHeight="1" x14ac:dyDescent="0.3">
      <c r="L2580" s="6" t="s">
        <v>189</v>
      </c>
      <c r="M2580" s="6" t="s">
        <v>456</v>
      </c>
      <c r="N2580" s="6" t="s">
        <v>160</v>
      </c>
      <c r="O2580" s="6" t="s">
        <v>161</v>
      </c>
      <c r="P2580" s="25" t="s">
        <v>169</v>
      </c>
    </row>
    <row r="2581" spans="12:16" ht="15.75" customHeight="1" x14ac:dyDescent="0.3">
      <c r="L2581" s="6" t="s">
        <v>189</v>
      </c>
      <c r="M2581" s="6" t="s">
        <v>456</v>
      </c>
      <c r="N2581" s="6" t="s">
        <v>162</v>
      </c>
      <c r="O2581" s="6" t="s">
        <v>163</v>
      </c>
      <c r="P2581" s="19">
        <v>4</v>
      </c>
    </row>
    <row r="2582" spans="12:16" ht="15.75" customHeight="1" x14ac:dyDescent="0.3">
      <c r="L2582" s="6" t="s">
        <v>189</v>
      </c>
      <c r="M2582" s="6" t="s">
        <v>456</v>
      </c>
      <c r="N2582" s="6" t="s">
        <v>165</v>
      </c>
      <c r="O2582" s="6" t="s">
        <v>166</v>
      </c>
      <c r="P2582" s="19">
        <v>0</v>
      </c>
    </row>
    <row r="2583" spans="12:16" ht="15.75" customHeight="1" x14ac:dyDescent="0.3">
      <c r="L2583" s="6" t="s">
        <v>189</v>
      </c>
      <c r="M2583" s="6" t="s">
        <v>432</v>
      </c>
      <c r="N2583" s="6" t="s">
        <v>72</v>
      </c>
      <c r="O2583" s="6" t="s">
        <v>75</v>
      </c>
      <c r="P2583" s="19">
        <v>0</v>
      </c>
    </row>
    <row r="2584" spans="12:16" ht="15.75" customHeight="1" x14ac:dyDescent="0.3">
      <c r="L2584" s="6" t="s">
        <v>189</v>
      </c>
      <c r="M2584" s="6" t="s">
        <v>432</v>
      </c>
      <c r="N2584" s="6" t="s">
        <v>83</v>
      </c>
      <c r="O2584" s="6" t="s">
        <v>84</v>
      </c>
      <c r="P2584" s="19">
        <v>0</v>
      </c>
    </row>
    <row r="2585" spans="12:16" ht="15.75" customHeight="1" x14ac:dyDescent="0.3">
      <c r="L2585" s="6" t="s">
        <v>189</v>
      </c>
      <c r="M2585" s="6" t="s">
        <v>432</v>
      </c>
      <c r="N2585" s="6" t="s">
        <v>88</v>
      </c>
      <c r="O2585" s="6" t="s">
        <v>90</v>
      </c>
      <c r="P2585" s="19">
        <v>0</v>
      </c>
    </row>
    <row r="2586" spans="12:16" ht="15.75" customHeight="1" x14ac:dyDescent="0.3">
      <c r="L2586" s="6" t="s">
        <v>189</v>
      </c>
      <c r="M2586" s="6" t="s">
        <v>432</v>
      </c>
      <c r="N2586" s="6" t="s">
        <v>96</v>
      </c>
      <c r="O2586" s="6" t="s">
        <v>97</v>
      </c>
      <c r="P2586" s="19">
        <v>0</v>
      </c>
    </row>
    <row r="2587" spans="12:16" ht="15.75" customHeight="1" x14ac:dyDescent="0.3">
      <c r="L2587" s="6" t="s">
        <v>189</v>
      </c>
      <c r="M2587" s="6" t="s">
        <v>432</v>
      </c>
      <c r="N2587" s="6" t="s">
        <v>100</v>
      </c>
      <c r="O2587" s="6" t="s">
        <v>101</v>
      </c>
      <c r="P2587" s="19">
        <v>0</v>
      </c>
    </row>
    <row r="2588" spans="12:16" ht="15.75" customHeight="1" x14ac:dyDescent="0.3">
      <c r="L2588" s="6" t="s">
        <v>189</v>
      </c>
      <c r="M2588" s="6" t="s">
        <v>432</v>
      </c>
      <c r="N2588" s="6" t="s">
        <v>22</v>
      </c>
      <c r="O2588" s="6" t="s">
        <v>104</v>
      </c>
      <c r="P2588" s="19">
        <v>0</v>
      </c>
    </row>
    <row r="2589" spans="12:16" ht="15.75" customHeight="1" x14ac:dyDescent="0.3">
      <c r="L2589" s="6" t="s">
        <v>189</v>
      </c>
      <c r="M2589" s="6" t="s">
        <v>432</v>
      </c>
      <c r="N2589" s="6" t="s">
        <v>23</v>
      </c>
      <c r="O2589" s="6" t="s">
        <v>107</v>
      </c>
      <c r="P2589" s="19">
        <v>0</v>
      </c>
    </row>
    <row r="2590" spans="12:16" ht="15.75" customHeight="1" x14ac:dyDescent="0.3">
      <c r="L2590" s="6" t="s">
        <v>189</v>
      </c>
      <c r="M2590" s="6" t="s">
        <v>432</v>
      </c>
      <c r="N2590" s="6" t="s">
        <v>24</v>
      </c>
      <c r="O2590" s="6" t="s">
        <v>109</v>
      </c>
      <c r="P2590" s="19">
        <v>0</v>
      </c>
    </row>
    <row r="2591" spans="12:16" ht="15.75" customHeight="1" x14ac:dyDescent="0.3">
      <c r="L2591" s="6" t="s">
        <v>189</v>
      </c>
      <c r="M2591" s="6" t="s">
        <v>432</v>
      </c>
      <c r="N2591" s="6" t="s">
        <v>25</v>
      </c>
      <c r="O2591" s="6" t="s">
        <v>111</v>
      </c>
      <c r="P2591" s="19">
        <v>1</v>
      </c>
    </row>
    <row r="2592" spans="12:16" ht="15.75" customHeight="1" x14ac:dyDescent="0.3">
      <c r="L2592" s="6" t="s">
        <v>189</v>
      </c>
      <c r="M2592" s="6" t="s">
        <v>432</v>
      </c>
      <c r="N2592" s="6" t="s">
        <v>26</v>
      </c>
      <c r="O2592" s="6" t="s">
        <v>113</v>
      </c>
      <c r="P2592" s="19">
        <v>1</v>
      </c>
    </row>
    <row r="2593" spans="12:16" ht="15.75" customHeight="1" x14ac:dyDescent="0.3">
      <c r="L2593" s="6" t="s">
        <v>189</v>
      </c>
      <c r="M2593" s="6" t="s">
        <v>432</v>
      </c>
      <c r="N2593" s="6" t="s">
        <v>27</v>
      </c>
      <c r="O2593" s="6" t="s">
        <v>117</v>
      </c>
      <c r="P2593" s="19">
        <v>0</v>
      </c>
    </row>
    <row r="2594" spans="12:16" ht="15.75" customHeight="1" x14ac:dyDescent="0.3">
      <c r="L2594" s="6" t="s">
        <v>189</v>
      </c>
      <c r="M2594" s="6" t="s">
        <v>432</v>
      </c>
      <c r="N2594" s="6" t="s">
        <v>29</v>
      </c>
      <c r="O2594" s="6" t="s">
        <v>125</v>
      </c>
      <c r="P2594" s="19">
        <v>0</v>
      </c>
    </row>
    <row r="2595" spans="12:16" ht="15.75" customHeight="1" x14ac:dyDescent="0.3">
      <c r="L2595" s="6" t="s">
        <v>189</v>
      </c>
      <c r="M2595" s="6" t="s">
        <v>432</v>
      </c>
      <c r="N2595" s="6" t="s">
        <v>135</v>
      </c>
      <c r="O2595" s="6" t="s">
        <v>136</v>
      </c>
      <c r="P2595" s="19">
        <v>0</v>
      </c>
    </row>
    <row r="2596" spans="12:16" ht="15.75" customHeight="1" x14ac:dyDescent="0.3">
      <c r="L2596" s="6" t="s">
        <v>189</v>
      </c>
      <c r="M2596" s="6" t="s">
        <v>432</v>
      </c>
      <c r="N2596" s="6" t="s">
        <v>138</v>
      </c>
      <c r="O2596" s="6" t="s">
        <v>139</v>
      </c>
      <c r="P2596" s="19">
        <v>1</v>
      </c>
    </row>
    <row r="2597" spans="12:16" ht="15.75" customHeight="1" x14ac:dyDescent="0.3">
      <c r="L2597" s="6" t="s">
        <v>189</v>
      </c>
      <c r="M2597" s="6" t="s">
        <v>432</v>
      </c>
      <c r="N2597" s="6" t="s">
        <v>30</v>
      </c>
      <c r="O2597" s="6" t="s">
        <v>148</v>
      </c>
      <c r="P2597" s="19">
        <v>0</v>
      </c>
    </row>
    <row r="2598" spans="12:16" ht="15.75" customHeight="1" x14ac:dyDescent="0.3">
      <c r="L2598" s="6" t="s">
        <v>189</v>
      </c>
      <c r="M2598" s="6" t="s">
        <v>432</v>
      </c>
      <c r="N2598" s="6" t="s">
        <v>156</v>
      </c>
      <c r="O2598" s="6" t="s">
        <v>157</v>
      </c>
      <c r="P2598" s="25" t="s">
        <v>169</v>
      </c>
    </row>
    <row r="2599" spans="12:16" ht="15.75" customHeight="1" x14ac:dyDescent="0.3">
      <c r="L2599" s="6" t="s">
        <v>189</v>
      </c>
      <c r="M2599" s="6" t="s">
        <v>432</v>
      </c>
      <c r="N2599" s="6" t="s">
        <v>158</v>
      </c>
      <c r="O2599" s="6" t="s">
        <v>159</v>
      </c>
      <c r="P2599" s="19">
        <v>1</v>
      </c>
    </row>
    <row r="2600" spans="12:16" ht="15.75" customHeight="1" x14ac:dyDescent="0.3">
      <c r="L2600" s="6" t="s">
        <v>189</v>
      </c>
      <c r="M2600" s="6" t="s">
        <v>432</v>
      </c>
      <c r="N2600" s="6" t="s">
        <v>160</v>
      </c>
      <c r="O2600" s="6" t="s">
        <v>161</v>
      </c>
      <c r="P2600" s="25" t="s">
        <v>169</v>
      </c>
    </row>
    <row r="2601" spans="12:16" ht="15.75" customHeight="1" x14ac:dyDescent="0.3">
      <c r="L2601" s="6" t="s">
        <v>189</v>
      </c>
      <c r="M2601" s="6" t="s">
        <v>432</v>
      </c>
      <c r="N2601" s="6" t="s">
        <v>162</v>
      </c>
      <c r="O2601" s="6" t="s">
        <v>163</v>
      </c>
      <c r="P2601" s="19">
        <v>4</v>
      </c>
    </row>
    <row r="2602" spans="12:16" ht="15.75" customHeight="1" x14ac:dyDescent="0.3">
      <c r="L2602" s="6" t="s">
        <v>189</v>
      </c>
      <c r="M2602" s="6" t="s">
        <v>432</v>
      </c>
      <c r="N2602" s="6" t="s">
        <v>165</v>
      </c>
      <c r="O2602" s="6" t="s">
        <v>166</v>
      </c>
      <c r="P2602" s="19">
        <v>0</v>
      </c>
    </row>
    <row r="2603" spans="12:16" ht="15.75" customHeight="1" x14ac:dyDescent="0.3">
      <c r="L2603" s="6" t="s">
        <v>189</v>
      </c>
      <c r="M2603" s="6" t="s">
        <v>434</v>
      </c>
      <c r="N2603" s="6" t="s">
        <v>72</v>
      </c>
      <c r="O2603" s="6" t="s">
        <v>75</v>
      </c>
      <c r="P2603" s="19">
        <v>0</v>
      </c>
    </row>
    <row r="2604" spans="12:16" ht="15.75" customHeight="1" x14ac:dyDescent="0.3">
      <c r="L2604" s="6" t="s">
        <v>189</v>
      </c>
      <c r="M2604" s="6" t="s">
        <v>434</v>
      </c>
      <c r="N2604" s="6" t="s">
        <v>83</v>
      </c>
      <c r="O2604" s="6" t="s">
        <v>84</v>
      </c>
      <c r="P2604" s="19">
        <v>0</v>
      </c>
    </row>
    <row r="2605" spans="12:16" ht="15.75" customHeight="1" x14ac:dyDescent="0.3">
      <c r="L2605" s="6" t="s">
        <v>189</v>
      </c>
      <c r="M2605" s="6" t="s">
        <v>434</v>
      </c>
      <c r="N2605" s="6" t="s">
        <v>88</v>
      </c>
      <c r="O2605" s="6" t="s">
        <v>90</v>
      </c>
      <c r="P2605" s="19">
        <v>0</v>
      </c>
    </row>
    <row r="2606" spans="12:16" ht="15.75" customHeight="1" x14ac:dyDescent="0.3">
      <c r="L2606" s="6" t="s">
        <v>189</v>
      </c>
      <c r="M2606" s="6" t="s">
        <v>434</v>
      </c>
      <c r="N2606" s="6" t="s">
        <v>96</v>
      </c>
      <c r="O2606" s="6" t="s">
        <v>97</v>
      </c>
      <c r="P2606" s="19">
        <v>0</v>
      </c>
    </row>
    <row r="2607" spans="12:16" ht="15.75" customHeight="1" x14ac:dyDescent="0.3">
      <c r="L2607" s="6" t="s">
        <v>189</v>
      </c>
      <c r="M2607" s="6" t="s">
        <v>434</v>
      </c>
      <c r="N2607" s="6" t="s">
        <v>100</v>
      </c>
      <c r="O2607" s="6" t="s">
        <v>101</v>
      </c>
      <c r="P2607" s="19">
        <v>0</v>
      </c>
    </row>
    <row r="2608" spans="12:16" ht="15.75" customHeight="1" x14ac:dyDescent="0.3">
      <c r="L2608" s="6" t="s">
        <v>189</v>
      </c>
      <c r="M2608" s="6" t="s">
        <v>434</v>
      </c>
      <c r="N2608" s="6" t="s">
        <v>22</v>
      </c>
      <c r="O2608" s="6" t="s">
        <v>104</v>
      </c>
      <c r="P2608" s="19">
        <v>0</v>
      </c>
    </row>
    <row r="2609" spans="12:16" ht="15.75" customHeight="1" x14ac:dyDescent="0.3">
      <c r="L2609" s="6" t="s">
        <v>189</v>
      </c>
      <c r="M2609" s="6" t="s">
        <v>434</v>
      </c>
      <c r="N2609" s="6" t="s">
        <v>23</v>
      </c>
      <c r="O2609" s="6" t="s">
        <v>107</v>
      </c>
      <c r="P2609" s="19">
        <v>0</v>
      </c>
    </row>
    <row r="2610" spans="12:16" ht="15.75" customHeight="1" x14ac:dyDescent="0.3">
      <c r="L2610" s="6" t="s">
        <v>189</v>
      </c>
      <c r="M2610" s="6" t="s">
        <v>434</v>
      </c>
      <c r="N2610" s="6" t="s">
        <v>24</v>
      </c>
      <c r="O2610" s="6" t="s">
        <v>109</v>
      </c>
      <c r="P2610" s="19">
        <v>0</v>
      </c>
    </row>
    <row r="2611" spans="12:16" ht="15.75" customHeight="1" x14ac:dyDescent="0.3">
      <c r="L2611" s="6" t="s">
        <v>189</v>
      </c>
      <c r="M2611" s="6" t="s">
        <v>434</v>
      </c>
      <c r="N2611" s="6" t="s">
        <v>25</v>
      </c>
      <c r="O2611" s="6" t="s">
        <v>111</v>
      </c>
      <c r="P2611" s="19">
        <v>1</v>
      </c>
    </row>
    <row r="2612" spans="12:16" ht="15.75" customHeight="1" x14ac:dyDescent="0.3">
      <c r="L2612" s="6" t="s">
        <v>189</v>
      </c>
      <c r="M2612" s="6" t="s">
        <v>434</v>
      </c>
      <c r="N2612" s="6" t="s">
        <v>26</v>
      </c>
      <c r="O2612" s="6" t="s">
        <v>113</v>
      </c>
      <c r="P2612" s="19">
        <v>1</v>
      </c>
    </row>
    <row r="2613" spans="12:16" ht="15.75" customHeight="1" x14ac:dyDescent="0.3">
      <c r="L2613" s="6" t="s">
        <v>189</v>
      </c>
      <c r="M2613" s="6" t="s">
        <v>434</v>
      </c>
      <c r="N2613" s="6" t="s">
        <v>27</v>
      </c>
      <c r="O2613" s="6" t="s">
        <v>117</v>
      </c>
      <c r="P2613" s="19">
        <v>0</v>
      </c>
    </row>
    <row r="2614" spans="12:16" ht="15.75" customHeight="1" x14ac:dyDescent="0.3">
      <c r="L2614" s="6" t="s">
        <v>189</v>
      </c>
      <c r="M2614" s="6" t="s">
        <v>434</v>
      </c>
      <c r="N2614" s="6" t="s">
        <v>29</v>
      </c>
      <c r="O2614" s="6" t="s">
        <v>125</v>
      </c>
      <c r="P2614" s="19">
        <v>0</v>
      </c>
    </row>
    <row r="2615" spans="12:16" ht="15.75" customHeight="1" x14ac:dyDescent="0.3">
      <c r="L2615" s="6" t="s">
        <v>189</v>
      </c>
      <c r="M2615" s="6" t="s">
        <v>434</v>
      </c>
      <c r="N2615" s="6" t="s">
        <v>135</v>
      </c>
      <c r="O2615" s="6" t="s">
        <v>136</v>
      </c>
      <c r="P2615" s="19">
        <v>0</v>
      </c>
    </row>
    <row r="2616" spans="12:16" ht="15.75" customHeight="1" x14ac:dyDescent="0.3">
      <c r="L2616" s="6" t="s">
        <v>189</v>
      </c>
      <c r="M2616" s="6" t="s">
        <v>434</v>
      </c>
      <c r="N2616" s="6" t="s">
        <v>138</v>
      </c>
      <c r="O2616" s="6" t="s">
        <v>139</v>
      </c>
      <c r="P2616" s="19">
        <v>1</v>
      </c>
    </row>
    <row r="2617" spans="12:16" ht="15.75" customHeight="1" x14ac:dyDescent="0.3">
      <c r="L2617" s="6" t="s">
        <v>189</v>
      </c>
      <c r="M2617" s="6" t="s">
        <v>434</v>
      </c>
      <c r="N2617" s="6" t="s">
        <v>30</v>
      </c>
      <c r="O2617" s="6" t="s">
        <v>148</v>
      </c>
      <c r="P2617" s="19">
        <v>0</v>
      </c>
    </row>
    <row r="2618" spans="12:16" ht="15.75" customHeight="1" x14ac:dyDescent="0.3">
      <c r="L2618" s="6" t="s">
        <v>189</v>
      </c>
      <c r="M2618" s="6" t="s">
        <v>434</v>
      </c>
      <c r="N2618" s="6" t="s">
        <v>156</v>
      </c>
      <c r="O2618" s="6" t="s">
        <v>157</v>
      </c>
      <c r="P2618" s="25" t="s">
        <v>169</v>
      </c>
    </row>
    <row r="2619" spans="12:16" ht="15.75" customHeight="1" x14ac:dyDescent="0.3">
      <c r="L2619" s="6" t="s">
        <v>189</v>
      </c>
      <c r="M2619" s="6" t="s">
        <v>434</v>
      </c>
      <c r="N2619" s="6" t="s">
        <v>158</v>
      </c>
      <c r="O2619" s="6" t="s">
        <v>159</v>
      </c>
      <c r="P2619" s="19">
        <v>1</v>
      </c>
    </row>
    <row r="2620" spans="12:16" ht="15.75" customHeight="1" x14ac:dyDescent="0.3">
      <c r="L2620" s="6" t="s">
        <v>189</v>
      </c>
      <c r="M2620" s="6" t="s">
        <v>434</v>
      </c>
      <c r="N2620" s="6" t="s">
        <v>160</v>
      </c>
      <c r="O2620" s="6" t="s">
        <v>161</v>
      </c>
      <c r="P2620" s="25" t="s">
        <v>169</v>
      </c>
    </row>
    <row r="2621" spans="12:16" ht="15.75" customHeight="1" x14ac:dyDescent="0.3">
      <c r="L2621" s="6" t="s">
        <v>189</v>
      </c>
      <c r="M2621" s="6" t="s">
        <v>434</v>
      </c>
      <c r="N2621" s="6" t="s">
        <v>162</v>
      </c>
      <c r="O2621" s="6" t="s">
        <v>163</v>
      </c>
      <c r="P2621" s="19">
        <v>4</v>
      </c>
    </row>
    <row r="2622" spans="12:16" ht="15.75" customHeight="1" x14ac:dyDescent="0.3">
      <c r="L2622" s="6" t="s">
        <v>189</v>
      </c>
      <c r="M2622" s="6" t="s">
        <v>434</v>
      </c>
      <c r="N2622" s="6" t="s">
        <v>165</v>
      </c>
      <c r="O2622" s="6" t="s">
        <v>166</v>
      </c>
      <c r="P2622" s="19">
        <v>0</v>
      </c>
    </row>
    <row r="2623" spans="12:16" ht="15.75" customHeight="1" x14ac:dyDescent="0.3">
      <c r="L2623" s="6" t="s">
        <v>189</v>
      </c>
      <c r="M2623" s="6" t="s">
        <v>384</v>
      </c>
      <c r="N2623" s="6" t="s">
        <v>72</v>
      </c>
      <c r="O2623" s="6" t="s">
        <v>75</v>
      </c>
      <c r="P2623" s="19">
        <v>0</v>
      </c>
    </row>
    <row r="2624" spans="12:16" ht="15.75" customHeight="1" x14ac:dyDescent="0.3">
      <c r="L2624" s="6" t="s">
        <v>189</v>
      </c>
      <c r="M2624" s="6" t="s">
        <v>384</v>
      </c>
      <c r="N2624" s="6" t="s">
        <v>83</v>
      </c>
      <c r="O2624" s="6" t="s">
        <v>84</v>
      </c>
      <c r="P2624" s="19">
        <v>0</v>
      </c>
    </row>
    <row r="2625" spans="12:16" ht="15.75" customHeight="1" x14ac:dyDescent="0.3">
      <c r="L2625" s="6" t="s">
        <v>189</v>
      </c>
      <c r="M2625" s="6" t="s">
        <v>384</v>
      </c>
      <c r="N2625" s="6" t="s">
        <v>88</v>
      </c>
      <c r="O2625" s="6" t="s">
        <v>90</v>
      </c>
      <c r="P2625" s="19">
        <v>0</v>
      </c>
    </row>
    <row r="2626" spans="12:16" ht="15.75" customHeight="1" x14ac:dyDescent="0.3">
      <c r="L2626" s="6" t="s">
        <v>189</v>
      </c>
      <c r="M2626" s="6" t="s">
        <v>384</v>
      </c>
      <c r="N2626" s="6" t="s">
        <v>96</v>
      </c>
      <c r="O2626" s="6" t="s">
        <v>97</v>
      </c>
      <c r="P2626" s="19">
        <v>0</v>
      </c>
    </row>
    <row r="2627" spans="12:16" ht="15.75" customHeight="1" x14ac:dyDescent="0.3">
      <c r="L2627" s="6" t="s">
        <v>189</v>
      </c>
      <c r="M2627" s="6" t="s">
        <v>384</v>
      </c>
      <c r="N2627" s="6" t="s">
        <v>100</v>
      </c>
      <c r="O2627" s="6" t="s">
        <v>101</v>
      </c>
      <c r="P2627" s="19">
        <v>0</v>
      </c>
    </row>
    <row r="2628" spans="12:16" ht="15.75" customHeight="1" x14ac:dyDescent="0.3">
      <c r="L2628" s="6" t="s">
        <v>189</v>
      </c>
      <c r="M2628" s="6" t="s">
        <v>384</v>
      </c>
      <c r="N2628" s="6" t="s">
        <v>22</v>
      </c>
      <c r="O2628" s="6" t="s">
        <v>104</v>
      </c>
      <c r="P2628" s="19">
        <v>0</v>
      </c>
    </row>
    <row r="2629" spans="12:16" ht="15.75" customHeight="1" x14ac:dyDescent="0.3">
      <c r="L2629" s="6" t="s">
        <v>189</v>
      </c>
      <c r="M2629" s="6" t="s">
        <v>384</v>
      </c>
      <c r="N2629" s="6" t="s">
        <v>23</v>
      </c>
      <c r="O2629" s="6" t="s">
        <v>107</v>
      </c>
      <c r="P2629" s="19">
        <v>0</v>
      </c>
    </row>
    <row r="2630" spans="12:16" ht="15.75" customHeight="1" x14ac:dyDescent="0.3">
      <c r="L2630" s="6" t="s">
        <v>189</v>
      </c>
      <c r="M2630" s="6" t="s">
        <v>384</v>
      </c>
      <c r="N2630" s="6" t="s">
        <v>24</v>
      </c>
      <c r="O2630" s="6" t="s">
        <v>109</v>
      </c>
      <c r="P2630" s="19">
        <v>0</v>
      </c>
    </row>
    <row r="2631" spans="12:16" ht="15.75" customHeight="1" x14ac:dyDescent="0.3">
      <c r="L2631" s="6" t="s">
        <v>189</v>
      </c>
      <c r="M2631" s="6" t="s">
        <v>384</v>
      </c>
      <c r="N2631" s="6" t="s">
        <v>25</v>
      </c>
      <c r="O2631" s="6" t="s">
        <v>111</v>
      </c>
      <c r="P2631" s="19">
        <v>1</v>
      </c>
    </row>
    <row r="2632" spans="12:16" ht="15.75" customHeight="1" x14ac:dyDescent="0.3">
      <c r="L2632" s="6" t="s">
        <v>189</v>
      </c>
      <c r="M2632" s="6" t="s">
        <v>384</v>
      </c>
      <c r="N2632" s="6" t="s">
        <v>26</v>
      </c>
      <c r="O2632" s="6" t="s">
        <v>113</v>
      </c>
      <c r="P2632" s="19">
        <v>1</v>
      </c>
    </row>
    <row r="2633" spans="12:16" ht="15.75" customHeight="1" x14ac:dyDescent="0.3">
      <c r="L2633" s="6" t="s">
        <v>189</v>
      </c>
      <c r="M2633" s="6" t="s">
        <v>384</v>
      </c>
      <c r="N2633" s="6" t="s">
        <v>27</v>
      </c>
      <c r="O2633" s="6" t="s">
        <v>117</v>
      </c>
      <c r="P2633" s="19">
        <v>0</v>
      </c>
    </row>
    <row r="2634" spans="12:16" ht="15.75" customHeight="1" x14ac:dyDescent="0.3">
      <c r="L2634" s="6" t="s">
        <v>189</v>
      </c>
      <c r="M2634" s="6" t="s">
        <v>384</v>
      </c>
      <c r="N2634" s="6" t="s">
        <v>29</v>
      </c>
      <c r="O2634" s="6" t="s">
        <v>125</v>
      </c>
      <c r="P2634" s="19">
        <v>0</v>
      </c>
    </row>
    <row r="2635" spans="12:16" ht="15.75" customHeight="1" x14ac:dyDescent="0.3">
      <c r="L2635" s="6" t="s">
        <v>189</v>
      </c>
      <c r="M2635" s="6" t="s">
        <v>384</v>
      </c>
      <c r="N2635" s="6" t="s">
        <v>135</v>
      </c>
      <c r="O2635" s="6" t="s">
        <v>136</v>
      </c>
      <c r="P2635" s="19">
        <v>0</v>
      </c>
    </row>
    <row r="2636" spans="12:16" ht="15.75" customHeight="1" x14ac:dyDescent="0.3">
      <c r="L2636" s="6" t="s">
        <v>189</v>
      </c>
      <c r="M2636" s="6" t="s">
        <v>384</v>
      </c>
      <c r="N2636" s="6" t="s">
        <v>138</v>
      </c>
      <c r="O2636" s="6" t="s">
        <v>139</v>
      </c>
      <c r="P2636" s="19">
        <v>1</v>
      </c>
    </row>
    <row r="2637" spans="12:16" ht="15.75" customHeight="1" x14ac:dyDescent="0.3">
      <c r="L2637" s="6" t="s">
        <v>189</v>
      </c>
      <c r="M2637" s="6" t="s">
        <v>384</v>
      </c>
      <c r="N2637" s="6" t="s">
        <v>30</v>
      </c>
      <c r="O2637" s="6" t="s">
        <v>148</v>
      </c>
      <c r="P2637" s="19">
        <v>0</v>
      </c>
    </row>
    <row r="2638" spans="12:16" ht="15.75" customHeight="1" x14ac:dyDescent="0.3">
      <c r="L2638" s="6" t="s">
        <v>189</v>
      </c>
      <c r="M2638" s="6" t="s">
        <v>384</v>
      </c>
      <c r="N2638" s="6" t="s">
        <v>156</v>
      </c>
      <c r="O2638" s="6" t="s">
        <v>157</v>
      </c>
      <c r="P2638" s="25" t="s">
        <v>169</v>
      </c>
    </row>
    <row r="2639" spans="12:16" ht="15.75" customHeight="1" x14ac:dyDescent="0.3">
      <c r="L2639" s="6" t="s">
        <v>189</v>
      </c>
      <c r="M2639" s="6" t="s">
        <v>384</v>
      </c>
      <c r="N2639" s="6" t="s">
        <v>158</v>
      </c>
      <c r="O2639" s="6" t="s">
        <v>159</v>
      </c>
      <c r="P2639" s="19">
        <v>1</v>
      </c>
    </row>
    <row r="2640" spans="12:16" ht="15.75" customHeight="1" x14ac:dyDescent="0.3">
      <c r="L2640" s="6" t="s">
        <v>189</v>
      </c>
      <c r="M2640" s="6" t="s">
        <v>384</v>
      </c>
      <c r="N2640" s="6" t="s">
        <v>160</v>
      </c>
      <c r="O2640" s="6" t="s">
        <v>161</v>
      </c>
      <c r="P2640" s="25" t="s">
        <v>169</v>
      </c>
    </row>
    <row r="2641" spans="12:16" ht="15.75" customHeight="1" x14ac:dyDescent="0.3">
      <c r="L2641" s="6" t="s">
        <v>189</v>
      </c>
      <c r="M2641" s="6" t="s">
        <v>384</v>
      </c>
      <c r="N2641" s="6" t="s">
        <v>162</v>
      </c>
      <c r="O2641" s="6" t="s">
        <v>163</v>
      </c>
      <c r="P2641" s="19">
        <v>4</v>
      </c>
    </row>
    <row r="2642" spans="12:16" ht="15.75" customHeight="1" x14ac:dyDescent="0.3">
      <c r="L2642" s="6" t="s">
        <v>189</v>
      </c>
      <c r="M2642" s="6" t="s">
        <v>384</v>
      </c>
      <c r="N2642" s="6" t="s">
        <v>165</v>
      </c>
      <c r="O2642" s="6" t="s">
        <v>166</v>
      </c>
      <c r="P2642" s="19">
        <v>1</v>
      </c>
    </row>
    <row r="2643" spans="12:16" ht="15.75" customHeight="1" x14ac:dyDescent="0.3">
      <c r="L2643" s="6" t="s">
        <v>189</v>
      </c>
      <c r="M2643" s="6" t="s">
        <v>438</v>
      </c>
      <c r="N2643" s="6" t="s">
        <v>72</v>
      </c>
      <c r="O2643" s="6" t="s">
        <v>75</v>
      </c>
      <c r="P2643" s="19">
        <v>0</v>
      </c>
    </row>
    <row r="2644" spans="12:16" ht="15.75" customHeight="1" x14ac:dyDescent="0.3">
      <c r="L2644" s="6" t="s">
        <v>189</v>
      </c>
      <c r="M2644" s="6" t="s">
        <v>438</v>
      </c>
      <c r="N2644" s="6" t="s">
        <v>83</v>
      </c>
      <c r="O2644" s="6" t="s">
        <v>84</v>
      </c>
      <c r="P2644" s="19">
        <v>0</v>
      </c>
    </row>
    <row r="2645" spans="12:16" ht="15.75" customHeight="1" x14ac:dyDescent="0.3">
      <c r="L2645" s="6" t="s">
        <v>189</v>
      </c>
      <c r="M2645" s="6" t="s">
        <v>438</v>
      </c>
      <c r="N2645" s="6" t="s">
        <v>88</v>
      </c>
      <c r="O2645" s="6" t="s">
        <v>90</v>
      </c>
      <c r="P2645" s="19">
        <v>0</v>
      </c>
    </row>
    <row r="2646" spans="12:16" ht="15.75" customHeight="1" x14ac:dyDescent="0.3">
      <c r="L2646" s="6" t="s">
        <v>189</v>
      </c>
      <c r="M2646" s="6" t="s">
        <v>438</v>
      </c>
      <c r="N2646" s="6" t="s">
        <v>96</v>
      </c>
      <c r="O2646" s="6" t="s">
        <v>97</v>
      </c>
      <c r="P2646" s="19">
        <v>0</v>
      </c>
    </row>
    <row r="2647" spans="12:16" ht="15.75" customHeight="1" x14ac:dyDescent="0.3">
      <c r="L2647" s="6" t="s">
        <v>189</v>
      </c>
      <c r="M2647" s="6" t="s">
        <v>438</v>
      </c>
      <c r="N2647" s="6" t="s">
        <v>100</v>
      </c>
      <c r="O2647" s="6" t="s">
        <v>101</v>
      </c>
      <c r="P2647" s="19">
        <v>0</v>
      </c>
    </row>
    <row r="2648" spans="12:16" ht="15.75" customHeight="1" x14ac:dyDescent="0.3">
      <c r="L2648" s="6" t="s">
        <v>189</v>
      </c>
      <c r="M2648" s="6" t="s">
        <v>438</v>
      </c>
      <c r="N2648" s="6" t="s">
        <v>22</v>
      </c>
      <c r="O2648" s="6" t="s">
        <v>104</v>
      </c>
      <c r="P2648" s="19">
        <v>0</v>
      </c>
    </row>
    <row r="2649" spans="12:16" ht="15.75" customHeight="1" x14ac:dyDescent="0.3">
      <c r="L2649" s="6" t="s">
        <v>189</v>
      </c>
      <c r="M2649" s="6" t="s">
        <v>438</v>
      </c>
      <c r="N2649" s="6" t="s">
        <v>23</v>
      </c>
      <c r="O2649" s="6" t="s">
        <v>107</v>
      </c>
      <c r="P2649" s="19">
        <v>0</v>
      </c>
    </row>
    <row r="2650" spans="12:16" ht="15.75" customHeight="1" x14ac:dyDescent="0.3">
      <c r="L2650" s="6" t="s">
        <v>189</v>
      </c>
      <c r="M2650" s="6" t="s">
        <v>438</v>
      </c>
      <c r="N2650" s="6" t="s">
        <v>24</v>
      </c>
      <c r="O2650" s="6" t="s">
        <v>109</v>
      </c>
      <c r="P2650" s="19">
        <v>0</v>
      </c>
    </row>
    <row r="2651" spans="12:16" ht="15.75" customHeight="1" x14ac:dyDescent="0.3">
      <c r="L2651" s="6" t="s">
        <v>189</v>
      </c>
      <c r="M2651" s="6" t="s">
        <v>438</v>
      </c>
      <c r="N2651" s="6" t="s">
        <v>25</v>
      </c>
      <c r="O2651" s="6" t="s">
        <v>111</v>
      </c>
      <c r="P2651" s="19">
        <v>1</v>
      </c>
    </row>
    <row r="2652" spans="12:16" ht="15.75" customHeight="1" x14ac:dyDescent="0.3">
      <c r="L2652" s="6" t="s">
        <v>189</v>
      </c>
      <c r="M2652" s="6" t="s">
        <v>438</v>
      </c>
      <c r="N2652" s="6" t="s">
        <v>26</v>
      </c>
      <c r="O2652" s="6" t="s">
        <v>113</v>
      </c>
      <c r="P2652" s="19">
        <v>1</v>
      </c>
    </row>
    <row r="2653" spans="12:16" ht="15.75" customHeight="1" x14ac:dyDescent="0.3">
      <c r="L2653" s="6" t="s">
        <v>189</v>
      </c>
      <c r="M2653" s="6" t="s">
        <v>438</v>
      </c>
      <c r="N2653" s="6" t="s">
        <v>27</v>
      </c>
      <c r="O2653" s="6" t="s">
        <v>117</v>
      </c>
      <c r="P2653" s="19">
        <v>0</v>
      </c>
    </row>
    <row r="2654" spans="12:16" ht="15.75" customHeight="1" x14ac:dyDescent="0.3">
      <c r="L2654" s="6" t="s">
        <v>189</v>
      </c>
      <c r="M2654" s="6" t="s">
        <v>438</v>
      </c>
      <c r="N2654" s="6" t="s">
        <v>29</v>
      </c>
      <c r="O2654" s="6" t="s">
        <v>125</v>
      </c>
      <c r="P2654" s="19">
        <v>0</v>
      </c>
    </row>
    <row r="2655" spans="12:16" ht="15.75" customHeight="1" x14ac:dyDescent="0.3">
      <c r="L2655" s="6" t="s">
        <v>189</v>
      </c>
      <c r="M2655" s="6" t="s">
        <v>438</v>
      </c>
      <c r="N2655" s="6" t="s">
        <v>135</v>
      </c>
      <c r="O2655" s="6" t="s">
        <v>136</v>
      </c>
      <c r="P2655" s="19">
        <v>0</v>
      </c>
    </row>
    <row r="2656" spans="12:16" ht="15.75" customHeight="1" x14ac:dyDescent="0.3">
      <c r="L2656" s="6" t="s">
        <v>189</v>
      </c>
      <c r="M2656" s="6" t="s">
        <v>438</v>
      </c>
      <c r="N2656" s="6" t="s">
        <v>138</v>
      </c>
      <c r="O2656" s="6" t="s">
        <v>139</v>
      </c>
      <c r="P2656" s="19">
        <v>1</v>
      </c>
    </row>
    <row r="2657" spans="12:16" ht="15.75" customHeight="1" x14ac:dyDescent="0.3">
      <c r="L2657" s="6" t="s">
        <v>189</v>
      </c>
      <c r="M2657" s="6" t="s">
        <v>438</v>
      </c>
      <c r="N2657" s="6" t="s">
        <v>30</v>
      </c>
      <c r="O2657" s="6" t="s">
        <v>148</v>
      </c>
      <c r="P2657" s="19">
        <v>0</v>
      </c>
    </row>
    <row r="2658" spans="12:16" ht="15.75" customHeight="1" x14ac:dyDescent="0.3">
      <c r="L2658" s="6" t="s">
        <v>189</v>
      </c>
      <c r="M2658" s="6" t="s">
        <v>438</v>
      </c>
      <c r="N2658" s="6" t="s">
        <v>156</v>
      </c>
      <c r="O2658" s="6" t="s">
        <v>157</v>
      </c>
      <c r="P2658" s="25" t="s">
        <v>169</v>
      </c>
    </row>
    <row r="2659" spans="12:16" ht="15.75" customHeight="1" x14ac:dyDescent="0.3">
      <c r="L2659" s="6" t="s">
        <v>189</v>
      </c>
      <c r="M2659" s="6" t="s">
        <v>438</v>
      </c>
      <c r="N2659" s="6" t="s">
        <v>158</v>
      </c>
      <c r="O2659" s="6" t="s">
        <v>159</v>
      </c>
      <c r="P2659" s="19">
        <v>1</v>
      </c>
    </row>
    <row r="2660" spans="12:16" ht="15.75" customHeight="1" x14ac:dyDescent="0.3">
      <c r="L2660" s="6" t="s">
        <v>189</v>
      </c>
      <c r="M2660" s="6" t="s">
        <v>438</v>
      </c>
      <c r="N2660" s="6" t="s">
        <v>160</v>
      </c>
      <c r="O2660" s="6" t="s">
        <v>161</v>
      </c>
      <c r="P2660" s="25" t="s">
        <v>169</v>
      </c>
    </row>
    <row r="2661" spans="12:16" ht="15.75" customHeight="1" x14ac:dyDescent="0.3">
      <c r="L2661" s="6" t="s">
        <v>189</v>
      </c>
      <c r="M2661" s="6" t="s">
        <v>438</v>
      </c>
      <c r="N2661" s="6" t="s">
        <v>162</v>
      </c>
      <c r="O2661" s="6" t="s">
        <v>163</v>
      </c>
      <c r="P2661" s="19">
        <v>4</v>
      </c>
    </row>
    <row r="2662" spans="12:16" ht="15.75" customHeight="1" x14ac:dyDescent="0.3">
      <c r="L2662" s="6" t="s">
        <v>189</v>
      </c>
      <c r="M2662" s="6" t="s">
        <v>438</v>
      </c>
      <c r="N2662" s="6" t="s">
        <v>165</v>
      </c>
      <c r="O2662" s="6" t="s">
        <v>166</v>
      </c>
      <c r="P2662" s="19">
        <v>0</v>
      </c>
    </row>
    <row r="2663" spans="12:16" ht="15.75" customHeight="1" x14ac:dyDescent="0.3">
      <c r="L2663" s="6" t="s">
        <v>189</v>
      </c>
      <c r="M2663" s="6" t="s">
        <v>320</v>
      </c>
      <c r="N2663" s="6" t="s">
        <v>72</v>
      </c>
      <c r="O2663" s="6" t="s">
        <v>75</v>
      </c>
      <c r="P2663" s="19">
        <v>0</v>
      </c>
    </row>
    <row r="2664" spans="12:16" ht="15.75" customHeight="1" x14ac:dyDescent="0.3">
      <c r="L2664" s="6" t="s">
        <v>189</v>
      </c>
      <c r="M2664" s="6" t="s">
        <v>320</v>
      </c>
      <c r="N2664" s="6" t="s">
        <v>83</v>
      </c>
      <c r="O2664" s="6" t="s">
        <v>84</v>
      </c>
      <c r="P2664" s="19">
        <v>0</v>
      </c>
    </row>
    <row r="2665" spans="12:16" ht="15.75" customHeight="1" x14ac:dyDescent="0.3">
      <c r="L2665" s="6" t="s">
        <v>189</v>
      </c>
      <c r="M2665" s="6" t="s">
        <v>320</v>
      </c>
      <c r="N2665" s="6" t="s">
        <v>88</v>
      </c>
      <c r="O2665" s="6" t="s">
        <v>90</v>
      </c>
      <c r="P2665" s="19">
        <v>0</v>
      </c>
    </row>
    <row r="2666" spans="12:16" ht="15.75" customHeight="1" x14ac:dyDescent="0.3">
      <c r="L2666" s="6" t="s">
        <v>189</v>
      </c>
      <c r="M2666" s="6" t="s">
        <v>320</v>
      </c>
      <c r="N2666" s="6" t="s">
        <v>96</v>
      </c>
      <c r="O2666" s="6" t="s">
        <v>97</v>
      </c>
      <c r="P2666" s="19">
        <v>0</v>
      </c>
    </row>
    <row r="2667" spans="12:16" ht="15.75" customHeight="1" x14ac:dyDescent="0.3">
      <c r="L2667" s="6" t="s">
        <v>189</v>
      </c>
      <c r="M2667" s="6" t="s">
        <v>320</v>
      </c>
      <c r="N2667" s="6" t="s">
        <v>100</v>
      </c>
      <c r="O2667" s="6" t="s">
        <v>101</v>
      </c>
      <c r="P2667" s="19">
        <v>0</v>
      </c>
    </row>
    <row r="2668" spans="12:16" ht="15.75" customHeight="1" x14ac:dyDescent="0.3">
      <c r="L2668" s="6" t="s">
        <v>189</v>
      </c>
      <c r="M2668" s="6" t="s">
        <v>320</v>
      </c>
      <c r="N2668" s="6" t="s">
        <v>22</v>
      </c>
      <c r="O2668" s="6" t="s">
        <v>104</v>
      </c>
      <c r="P2668" s="19">
        <v>0</v>
      </c>
    </row>
    <row r="2669" spans="12:16" ht="15.75" customHeight="1" x14ac:dyDescent="0.3">
      <c r="L2669" s="6" t="s">
        <v>189</v>
      </c>
      <c r="M2669" s="6" t="s">
        <v>320</v>
      </c>
      <c r="N2669" s="6" t="s">
        <v>23</v>
      </c>
      <c r="O2669" s="6" t="s">
        <v>107</v>
      </c>
      <c r="P2669" s="19">
        <v>0</v>
      </c>
    </row>
    <row r="2670" spans="12:16" ht="15.75" customHeight="1" x14ac:dyDescent="0.3">
      <c r="L2670" s="6" t="s">
        <v>189</v>
      </c>
      <c r="M2670" s="6" t="s">
        <v>320</v>
      </c>
      <c r="N2670" s="6" t="s">
        <v>24</v>
      </c>
      <c r="O2670" s="6" t="s">
        <v>109</v>
      </c>
      <c r="P2670" s="19">
        <v>0</v>
      </c>
    </row>
    <row r="2671" spans="12:16" ht="15.75" customHeight="1" x14ac:dyDescent="0.3">
      <c r="L2671" s="6" t="s">
        <v>189</v>
      </c>
      <c r="M2671" s="6" t="s">
        <v>320</v>
      </c>
      <c r="N2671" s="6" t="s">
        <v>25</v>
      </c>
      <c r="O2671" s="6" t="s">
        <v>111</v>
      </c>
      <c r="P2671" s="19">
        <v>1</v>
      </c>
    </row>
    <row r="2672" spans="12:16" ht="15.75" customHeight="1" x14ac:dyDescent="0.3">
      <c r="L2672" s="6" t="s">
        <v>189</v>
      </c>
      <c r="M2672" s="6" t="s">
        <v>320</v>
      </c>
      <c r="N2672" s="6" t="s">
        <v>26</v>
      </c>
      <c r="O2672" s="6" t="s">
        <v>113</v>
      </c>
      <c r="P2672" s="19">
        <v>1</v>
      </c>
    </row>
    <row r="2673" spans="12:16" ht="15.75" customHeight="1" x14ac:dyDescent="0.3">
      <c r="L2673" s="6" t="s">
        <v>189</v>
      </c>
      <c r="M2673" s="6" t="s">
        <v>320</v>
      </c>
      <c r="N2673" s="6" t="s">
        <v>27</v>
      </c>
      <c r="O2673" s="6" t="s">
        <v>117</v>
      </c>
      <c r="P2673" s="19">
        <v>0</v>
      </c>
    </row>
    <row r="2674" spans="12:16" ht="15.75" customHeight="1" x14ac:dyDescent="0.3">
      <c r="L2674" s="6" t="s">
        <v>189</v>
      </c>
      <c r="M2674" s="6" t="s">
        <v>320</v>
      </c>
      <c r="N2674" s="6" t="s">
        <v>29</v>
      </c>
      <c r="O2674" s="6" t="s">
        <v>125</v>
      </c>
      <c r="P2674" s="19">
        <v>0</v>
      </c>
    </row>
    <row r="2675" spans="12:16" ht="15.75" customHeight="1" x14ac:dyDescent="0.3">
      <c r="L2675" s="6" t="s">
        <v>189</v>
      </c>
      <c r="M2675" s="6" t="s">
        <v>320</v>
      </c>
      <c r="N2675" s="6" t="s">
        <v>135</v>
      </c>
      <c r="O2675" s="6" t="s">
        <v>136</v>
      </c>
      <c r="P2675" s="19">
        <v>0</v>
      </c>
    </row>
    <row r="2676" spans="12:16" ht="15.75" customHeight="1" x14ac:dyDescent="0.3">
      <c r="L2676" s="6" t="s">
        <v>189</v>
      </c>
      <c r="M2676" s="6" t="s">
        <v>320</v>
      </c>
      <c r="N2676" s="6" t="s">
        <v>138</v>
      </c>
      <c r="O2676" s="6" t="s">
        <v>139</v>
      </c>
      <c r="P2676" s="19">
        <v>1</v>
      </c>
    </row>
    <row r="2677" spans="12:16" ht="15.75" customHeight="1" x14ac:dyDescent="0.3">
      <c r="L2677" s="6" t="s">
        <v>189</v>
      </c>
      <c r="M2677" s="6" t="s">
        <v>320</v>
      </c>
      <c r="N2677" s="6" t="s">
        <v>30</v>
      </c>
      <c r="O2677" s="6" t="s">
        <v>148</v>
      </c>
      <c r="P2677" s="19">
        <v>0</v>
      </c>
    </row>
    <row r="2678" spans="12:16" ht="15.75" customHeight="1" x14ac:dyDescent="0.3">
      <c r="L2678" s="6" t="s">
        <v>189</v>
      </c>
      <c r="M2678" s="6" t="s">
        <v>320</v>
      </c>
      <c r="N2678" s="6" t="s">
        <v>156</v>
      </c>
      <c r="O2678" s="6" t="s">
        <v>157</v>
      </c>
      <c r="P2678" s="25" t="s">
        <v>169</v>
      </c>
    </row>
    <row r="2679" spans="12:16" ht="15.75" customHeight="1" x14ac:dyDescent="0.3">
      <c r="L2679" s="6" t="s">
        <v>189</v>
      </c>
      <c r="M2679" s="6" t="s">
        <v>320</v>
      </c>
      <c r="N2679" s="6" t="s">
        <v>158</v>
      </c>
      <c r="O2679" s="6" t="s">
        <v>159</v>
      </c>
      <c r="P2679" s="19">
        <v>1</v>
      </c>
    </row>
    <row r="2680" spans="12:16" ht="15.75" customHeight="1" x14ac:dyDescent="0.3">
      <c r="L2680" s="6" t="s">
        <v>189</v>
      </c>
      <c r="M2680" s="6" t="s">
        <v>320</v>
      </c>
      <c r="N2680" s="6" t="s">
        <v>160</v>
      </c>
      <c r="O2680" s="6" t="s">
        <v>161</v>
      </c>
      <c r="P2680" s="25" t="s">
        <v>169</v>
      </c>
    </row>
    <row r="2681" spans="12:16" ht="15.75" customHeight="1" x14ac:dyDescent="0.3">
      <c r="L2681" s="6" t="s">
        <v>189</v>
      </c>
      <c r="M2681" s="6" t="s">
        <v>320</v>
      </c>
      <c r="N2681" s="6" t="s">
        <v>162</v>
      </c>
      <c r="O2681" s="6" t="s">
        <v>163</v>
      </c>
      <c r="P2681" s="19">
        <v>4</v>
      </c>
    </row>
    <row r="2682" spans="12:16" ht="15.75" customHeight="1" x14ac:dyDescent="0.3">
      <c r="L2682" s="6" t="s">
        <v>189</v>
      </c>
      <c r="M2682" s="6" t="s">
        <v>320</v>
      </c>
      <c r="N2682" s="6" t="s">
        <v>165</v>
      </c>
      <c r="O2682" s="6" t="s">
        <v>166</v>
      </c>
      <c r="P2682" s="19">
        <v>0</v>
      </c>
    </row>
    <row r="2683" spans="12:16" ht="15.75" customHeight="1" x14ac:dyDescent="0.3">
      <c r="L2683" s="6" t="s">
        <v>189</v>
      </c>
      <c r="M2683" s="6" t="s">
        <v>440</v>
      </c>
      <c r="N2683" s="6" t="s">
        <v>72</v>
      </c>
      <c r="O2683" s="6" t="s">
        <v>75</v>
      </c>
      <c r="P2683" s="19">
        <v>0</v>
      </c>
    </row>
    <row r="2684" spans="12:16" ht="15.75" customHeight="1" x14ac:dyDescent="0.3">
      <c r="L2684" s="6" t="s">
        <v>189</v>
      </c>
      <c r="M2684" s="6" t="s">
        <v>440</v>
      </c>
      <c r="N2684" s="6" t="s">
        <v>83</v>
      </c>
      <c r="O2684" s="6" t="s">
        <v>84</v>
      </c>
      <c r="P2684" s="19">
        <v>0</v>
      </c>
    </row>
    <row r="2685" spans="12:16" ht="15.75" customHeight="1" x14ac:dyDescent="0.3">
      <c r="L2685" s="6" t="s">
        <v>189</v>
      </c>
      <c r="M2685" s="6" t="s">
        <v>440</v>
      </c>
      <c r="N2685" s="6" t="s">
        <v>88</v>
      </c>
      <c r="O2685" s="6" t="s">
        <v>90</v>
      </c>
      <c r="P2685" s="19">
        <v>0</v>
      </c>
    </row>
    <row r="2686" spans="12:16" ht="15.75" customHeight="1" x14ac:dyDescent="0.3">
      <c r="L2686" s="6" t="s">
        <v>189</v>
      </c>
      <c r="M2686" s="6" t="s">
        <v>440</v>
      </c>
      <c r="N2686" s="6" t="s">
        <v>96</v>
      </c>
      <c r="O2686" s="6" t="s">
        <v>97</v>
      </c>
      <c r="P2686" s="19">
        <v>0</v>
      </c>
    </row>
    <row r="2687" spans="12:16" ht="15.75" customHeight="1" x14ac:dyDescent="0.3">
      <c r="L2687" s="6" t="s">
        <v>189</v>
      </c>
      <c r="M2687" s="6" t="s">
        <v>440</v>
      </c>
      <c r="N2687" s="6" t="s">
        <v>100</v>
      </c>
      <c r="O2687" s="6" t="s">
        <v>101</v>
      </c>
      <c r="P2687" s="19">
        <v>0</v>
      </c>
    </row>
    <row r="2688" spans="12:16" ht="15.75" customHeight="1" x14ac:dyDescent="0.3">
      <c r="L2688" s="6" t="s">
        <v>189</v>
      </c>
      <c r="M2688" s="6" t="s">
        <v>440</v>
      </c>
      <c r="N2688" s="6" t="s">
        <v>22</v>
      </c>
      <c r="O2688" s="6" t="s">
        <v>104</v>
      </c>
      <c r="P2688" s="19">
        <v>0</v>
      </c>
    </row>
    <row r="2689" spans="12:16" ht="15.75" customHeight="1" x14ac:dyDescent="0.3">
      <c r="L2689" s="6" t="s">
        <v>189</v>
      </c>
      <c r="M2689" s="6" t="s">
        <v>440</v>
      </c>
      <c r="N2689" s="6" t="s">
        <v>23</v>
      </c>
      <c r="O2689" s="6" t="s">
        <v>107</v>
      </c>
      <c r="P2689" s="19">
        <v>0</v>
      </c>
    </row>
    <row r="2690" spans="12:16" ht="15.75" customHeight="1" x14ac:dyDescent="0.3">
      <c r="L2690" s="6" t="s">
        <v>189</v>
      </c>
      <c r="M2690" s="6" t="s">
        <v>440</v>
      </c>
      <c r="N2690" s="6" t="s">
        <v>24</v>
      </c>
      <c r="O2690" s="6" t="s">
        <v>109</v>
      </c>
      <c r="P2690" s="19">
        <v>0</v>
      </c>
    </row>
    <row r="2691" spans="12:16" ht="15.75" customHeight="1" x14ac:dyDescent="0.3">
      <c r="L2691" s="6" t="s">
        <v>189</v>
      </c>
      <c r="M2691" s="6" t="s">
        <v>440</v>
      </c>
      <c r="N2691" s="6" t="s">
        <v>25</v>
      </c>
      <c r="O2691" s="6" t="s">
        <v>111</v>
      </c>
      <c r="P2691" s="19">
        <v>1</v>
      </c>
    </row>
    <row r="2692" spans="12:16" ht="15.75" customHeight="1" x14ac:dyDescent="0.3">
      <c r="L2692" s="6" t="s">
        <v>189</v>
      </c>
      <c r="M2692" s="6" t="s">
        <v>440</v>
      </c>
      <c r="N2692" s="6" t="s">
        <v>26</v>
      </c>
      <c r="O2692" s="6" t="s">
        <v>113</v>
      </c>
      <c r="P2692" s="19">
        <v>1</v>
      </c>
    </row>
    <row r="2693" spans="12:16" ht="15.75" customHeight="1" x14ac:dyDescent="0.3">
      <c r="L2693" s="6" t="s">
        <v>189</v>
      </c>
      <c r="M2693" s="6" t="s">
        <v>440</v>
      </c>
      <c r="N2693" s="6" t="s">
        <v>27</v>
      </c>
      <c r="O2693" s="6" t="s">
        <v>117</v>
      </c>
      <c r="P2693" s="19">
        <v>0</v>
      </c>
    </row>
    <row r="2694" spans="12:16" ht="15.75" customHeight="1" x14ac:dyDescent="0.3">
      <c r="L2694" s="6" t="s">
        <v>189</v>
      </c>
      <c r="M2694" s="6" t="s">
        <v>440</v>
      </c>
      <c r="N2694" s="6" t="s">
        <v>29</v>
      </c>
      <c r="O2694" s="6" t="s">
        <v>125</v>
      </c>
      <c r="P2694" s="19">
        <v>0</v>
      </c>
    </row>
    <row r="2695" spans="12:16" ht="15.75" customHeight="1" x14ac:dyDescent="0.3">
      <c r="L2695" s="6" t="s">
        <v>189</v>
      </c>
      <c r="M2695" s="6" t="s">
        <v>440</v>
      </c>
      <c r="N2695" s="6" t="s">
        <v>135</v>
      </c>
      <c r="O2695" s="6" t="s">
        <v>136</v>
      </c>
      <c r="P2695" s="19">
        <v>0</v>
      </c>
    </row>
    <row r="2696" spans="12:16" ht="15.75" customHeight="1" x14ac:dyDescent="0.3">
      <c r="L2696" s="6" t="s">
        <v>189</v>
      </c>
      <c r="M2696" s="6" t="s">
        <v>440</v>
      </c>
      <c r="N2696" s="6" t="s">
        <v>138</v>
      </c>
      <c r="O2696" s="6" t="s">
        <v>139</v>
      </c>
      <c r="P2696" s="19">
        <v>1</v>
      </c>
    </row>
    <row r="2697" spans="12:16" ht="15.75" customHeight="1" x14ac:dyDescent="0.3">
      <c r="L2697" s="6" t="s">
        <v>189</v>
      </c>
      <c r="M2697" s="6" t="s">
        <v>440</v>
      </c>
      <c r="N2697" s="6" t="s">
        <v>30</v>
      </c>
      <c r="O2697" s="6" t="s">
        <v>148</v>
      </c>
      <c r="P2697" s="19">
        <v>0</v>
      </c>
    </row>
    <row r="2698" spans="12:16" ht="15.75" customHeight="1" x14ac:dyDescent="0.3">
      <c r="L2698" s="6" t="s">
        <v>189</v>
      </c>
      <c r="M2698" s="6" t="s">
        <v>440</v>
      </c>
      <c r="N2698" s="6" t="s">
        <v>156</v>
      </c>
      <c r="O2698" s="6" t="s">
        <v>157</v>
      </c>
      <c r="P2698" s="25" t="s">
        <v>169</v>
      </c>
    </row>
    <row r="2699" spans="12:16" ht="15.75" customHeight="1" x14ac:dyDescent="0.3">
      <c r="L2699" s="6" t="s">
        <v>189</v>
      </c>
      <c r="M2699" s="6" t="s">
        <v>440</v>
      </c>
      <c r="N2699" s="6" t="s">
        <v>158</v>
      </c>
      <c r="O2699" s="6" t="s">
        <v>159</v>
      </c>
      <c r="P2699" s="19">
        <v>1</v>
      </c>
    </row>
    <row r="2700" spans="12:16" ht="15.75" customHeight="1" x14ac:dyDescent="0.3">
      <c r="L2700" s="6" t="s">
        <v>189</v>
      </c>
      <c r="M2700" s="6" t="s">
        <v>440</v>
      </c>
      <c r="N2700" s="6" t="s">
        <v>160</v>
      </c>
      <c r="O2700" s="6" t="s">
        <v>161</v>
      </c>
      <c r="P2700" s="25" t="s">
        <v>169</v>
      </c>
    </row>
    <row r="2701" spans="12:16" ht="15.75" customHeight="1" x14ac:dyDescent="0.3">
      <c r="L2701" s="6" t="s">
        <v>189</v>
      </c>
      <c r="M2701" s="6" t="s">
        <v>440</v>
      </c>
      <c r="N2701" s="6" t="s">
        <v>162</v>
      </c>
      <c r="O2701" s="6" t="s">
        <v>163</v>
      </c>
      <c r="P2701" s="19">
        <v>4</v>
      </c>
    </row>
    <row r="2702" spans="12:16" ht="15.75" customHeight="1" x14ac:dyDescent="0.3">
      <c r="L2702" s="6" t="s">
        <v>189</v>
      </c>
      <c r="M2702" s="6" t="s">
        <v>440</v>
      </c>
      <c r="N2702" s="6" t="s">
        <v>165</v>
      </c>
      <c r="O2702" s="6" t="s">
        <v>166</v>
      </c>
      <c r="P2702" s="19">
        <v>0</v>
      </c>
    </row>
    <row r="2703" spans="12:16" ht="15.75" customHeight="1" x14ac:dyDescent="0.3">
      <c r="L2703" s="6" t="s">
        <v>189</v>
      </c>
      <c r="M2703" s="6" t="s">
        <v>466</v>
      </c>
      <c r="N2703" s="6" t="s">
        <v>72</v>
      </c>
      <c r="O2703" s="6" t="s">
        <v>75</v>
      </c>
      <c r="P2703" s="19">
        <v>0</v>
      </c>
    </row>
    <row r="2704" spans="12:16" ht="15.75" customHeight="1" x14ac:dyDescent="0.3">
      <c r="L2704" s="6" t="s">
        <v>189</v>
      </c>
      <c r="M2704" s="6" t="s">
        <v>466</v>
      </c>
      <c r="N2704" s="6" t="s">
        <v>83</v>
      </c>
      <c r="O2704" s="6" t="s">
        <v>84</v>
      </c>
      <c r="P2704" s="19">
        <v>0</v>
      </c>
    </row>
    <row r="2705" spans="12:16" ht="15.75" customHeight="1" x14ac:dyDescent="0.3">
      <c r="L2705" s="6" t="s">
        <v>189</v>
      </c>
      <c r="M2705" s="6" t="s">
        <v>466</v>
      </c>
      <c r="N2705" s="6" t="s">
        <v>88</v>
      </c>
      <c r="O2705" s="6" t="s">
        <v>90</v>
      </c>
      <c r="P2705" s="19">
        <v>0</v>
      </c>
    </row>
    <row r="2706" spans="12:16" ht="15.75" customHeight="1" x14ac:dyDescent="0.3">
      <c r="L2706" s="6" t="s">
        <v>189</v>
      </c>
      <c r="M2706" s="6" t="s">
        <v>466</v>
      </c>
      <c r="N2706" s="6" t="s">
        <v>96</v>
      </c>
      <c r="O2706" s="6" t="s">
        <v>97</v>
      </c>
      <c r="P2706" s="19">
        <v>0</v>
      </c>
    </row>
    <row r="2707" spans="12:16" ht="15.75" customHeight="1" x14ac:dyDescent="0.3">
      <c r="L2707" s="6" t="s">
        <v>189</v>
      </c>
      <c r="M2707" s="6" t="s">
        <v>466</v>
      </c>
      <c r="N2707" s="6" t="s">
        <v>100</v>
      </c>
      <c r="O2707" s="6" t="s">
        <v>101</v>
      </c>
      <c r="P2707" s="19">
        <v>0</v>
      </c>
    </row>
    <row r="2708" spans="12:16" ht="15.75" customHeight="1" x14ac:dyDescent="0.3">
      <c r="L2708" s="6" t="s">
        <v>189</v>
      </c>
      <c r="M2708" s="6" t="s">
        <v>466</v>
      </c>
      <c r="N2708" s="6" t="s">
        <v>22</v>
      </c>
      <c r="O2708" s="6" t="s">
        <v>104</v>
      </c>
      <c r="P2708" s="19">
        <v>0</v>
      </c>
    </row>
    <row r="2709" spans="12:16" ht="15.75" customHeight="1" x14ac:dyDescent="0.3">
      <c r="L2709" s="6" t="s">
        <v>189</v>
      </c>
      <c r="M2709" s="6" t="s">
        <v>466</v>
      </c>
      <c r="N2709" s="6" t="s">
        <v>23</v>
      </c>
      <c r="O2709" s="6" t="s">
        <v>107</v>
      </c>
      <c r="P2709" s="19">
        <v>0</v>
      </c>
    </row>
    <row r="2710" spans="12:16" ht="15.75" customHeight="1" x14ac:dyDescent="0.3">
      <c r="L2710" s="6" t="s">
        <v>189</v>
      </c>
      <c r="M2710" s="6" t="s">
        <v>466</v>
      </c>
      <c r="N2710" s="6" t="s">
        <v>24</v>
      </c>
      <c r="O2710" s="6" t="s">
        <v>109</v>
      </c>
      <c r="P2710" s="19">
        <v>0</v>
      </c>
    </row>
    <row r="2711" spans="12:16" ht="15.75" customHeight="1" x14ac:dyDescent="0.3">
      <c r="L2711" s="6" t="s">
        <v>189</v>
      </c>
      <c r="M2711" s="6" t="s">
        <v>466</v>
      </c>
      <c r="N2711" s="6" t="s">
        <v>25</v>
      </c>
      <c r="O2711" s="6" t="s">
        <v>111</v>
      </c>
      <c r="P2711" s="19">
        <v>1</v>
      </c>
    </row>
    <row r="2712" spans="12:16" ht="15.75" customHeight="1" x14ac:dyDescent="0.3">
      <c r="L2712" s="6" t="s">
        <v>189</v>
      </c>
      <c r="M2712" s="6" t="s">
        <v>466</v>
      </c>
      <c r="N2712" s="6" t="s">
        <v>26</v>
      </c>
      <c r="O2712" s="6" t="s">
        <v>113</v>
      </c>
      <c r="P2712" s="19">
        <v>1</v>
      </c>
    </row>
    <row r="2713" spans="12:16" ht="15.75" customHeight="1" x14ac:dyDescent="0.3">
      <c r="L2713" s="6" t="s">
        <v>189</v>
      </c>
      <c r="M2713" s="6" t="s">
        <v>466</v>
      </c>
      <c r="N2713" s="6" t="s">
        <v>27</v>
      </c>
      <c r="O2713" s="6" t="s">
        <v>117</v>
      </c>
      <c r="P2713" s="19">
        <v>0</v>
      </c>
    </row>
    <row r="2714" spans="12:16" ht="15.75" customHeight="1" x14ac:dyDescent="0.3">
      <c r="L2714" s="6" t="s">
        <v>189</v>
      </c>
      <c r="M2714" s="6" t="s">
        <v>466</v>
      </c>
      <c r="N2714" s="6" t="s">
        <v>29</v>
      </c>
      <c r="O2714" s="6" t="s">
        <v>125</v>
      </c>
      <c r="P2714" s="19">
        <v>0</v>
      </c>
    </row>
    <row r="2715" spans="12:16" ht="15.75" customHeight="1" x14ac:dyDescent="0.3">
      <c r="L2715" s="6" t="s">
        <v>189</v>
      </c>
      <c r="M2715" s="6" t="s">
        <v>466</v>
      </c>
      <c r="N2715" s="6" t="s">
        <v>135</v>
      </c>
      <c r="O2715" s="6" t="s">
        <v>136</v>
      </c>
      <c r="P2715" s="19">
        <v>0</v>
      </c>
    </row>
    <row r="2716" spans="12:16" ht="15.75" customHeight="1" x14ac:dyDescent="0.3">
      <c r="L2716" s="6" t="s">
        <v>189</v>
      </c>
      <c r="M2716" s="6" t="s">
        <v>466</v>
      </c>
      <c r="N2716" s="6" t="s">
        <v>138</v>
      </c>
      <c r="O2716" s="6" t="s">
        <v>139</v>
      </c>
      <c r="P2716" s="19">
        <v>1</v>
      </c>
    </row>
    <row r="2717" spans="12:16" ht="15.75" customHeight="1" x14ac:dyDescent="0.3">
      <c r="L2717" s="6" t="s">
        <v>189</v>
      </c>
      <c r="M2717" s="6" t="s">
        <v>466</v>
      </c>
      <c r="N2717" s="6" t="s">
        <v>30</v>
      </c>
      <c r="O2717" s="6" t="s">
        <v>148</v>
      </c>
      <c r="P2717" s="19">
        <v>0</v>
      </c>
    </row>
    <row r="2718" spans="12:16" ht="15.75" customHeight="1" x14ac:dyDescent="0.3">
      <c r="L2718" s="6" t="s">
        <v>189</v>
      </c>
      <c r="M2718" s="6" t="s">
        <v>466</v>
      </c>
      <c r="N2718" s="6" t="s">
        <v>156</v>
      </c>
      <c r="O2718" s="6" t="s">
        <v>157</v>
      </c>
      <c r="P2718" s="25" t="s">
        <v>169</v>
      </c>
    </row>
    <row r="2719" spans="12:16" ht="15.75" customHeight="1" x14ac:dyDescent="0.3">
      <c r="L2719" s="6" t="s">
        <v>189</v>
      </c>
      <c r="M2719" s="6" t="s">
        <v>466</v>
      </c>
      <c r="N2719" s="6" t="s">
        <v>158</v>
      </c>
      <c r="O2719" s="6" t="s">
        <v>159</v>
      </c>
      <c r="P2719" s="19">
        <v>1</v>
      </c>
    </row>
    <row r="2720" spans="12:16" ht="15.75" customHeight="1" x14ac:dyDescent="0.3">
      <c r="L2720" s="6" t="s">
        <v>189</v>
      </c>
      <c r="M2720" s="6" t="s">
        <v>466</v>
      </c>
      <c r="N2720" s="6" t="s">
        <v>160</v>
      </c>
      <c r="O2720" s="6" t="s">
        <v>161</v>
      </c>
      <c r="P2720" s="25" t="s">
        <v>169</v>
      </c>
    </row>
    <row r="2721" spans="12:16" ht="15.75" customHeight="1" x14ac:dyDescent="0.3">
      <c r="L2721" s="6" t="s">
        <v>189</v>
      </c>
      <c r="M2721" s="6" t="s">
        <v>466</v>
      </c>
      <c r="N2721" s="6" t="s">
        <v>162</v>
      </c>
      <c r="O2721" s="6" t="s">
        <v>163</v>
      </c>
      <c r="P2721" s="19">
        <v>4</v>
      </c>
    </row>
    <row r="2722" spans="12:16" ht="15.75" customHeight="1" x14ac:dyDescent="0.3">
      <c r="L2722" s="6" t="s">
        <v>189</v>
      </c>
      <c r="M2722" s="6" t="s">
        <v>466</v>
      </c>
      <c r="N2722" s="6" t="s">
        <v>165</v>
      </c>
      <c r="O2722" s="6" t="s">
        <v>166</v>
      </c>
      <c r="P2722" s="19">
        <v>0</v>
      </c>
    </row>
    <row r="2723" spans="12:16" ht="15.75" customHeight="1" x14ac:dyDescent="0.3">
      <c r="L2723" s="6" t="s">
        <v>189</v>
      </c>
      <c r="M2723" s="6" t="s">
        <v>470</v>
      </c>
      <c r="N2723" s="6" t="s">
        <v>72</v>
      </c>
      <c r="O2723" s="6" t="s">
        <v>75</v>
      </c>
      <c r="P2723" s="19">
        <v>0</v>
      </c>
    </row>
    <row r="2724" spans="12:16" ht="15.75" customHeight="1" x14ac:dyDescent="0.3">
      <c r="L2724" s="6" t="s">
        <v>189</v>
      </c>
      <c r="M2724" s="6" t="s">
        <v>470</v>
      </c>
      <c r="N2724" s="6" t="s">
        <v>83</v>
      </c>
      <c r="O2724" s="6" t="s">
        <v>84</v>
      </c>
      <c r="P2724" s="19">
        <v>0</v>
      </c>
    </row>
    <row r="2725" spans="12:16" ht="15.75" customHeight="1" x14ac:dyDescent="0.3">
      <c r="L2725" s="6" t="s">
        <v>189</v>
      </c>
      <c r="M2725" s="6" t="s">
        <v>470</v>
      </c>
      <c r="N2725" s="6" t="s">
        <v>88</v>
      </c>
      <c r="O2725" s="6" t="s">
        <v>90</v>
      </c>
      <c r="P2725" s="19">
        <v>0</v>
      </c>
    </row>
    <row r="2726" spans="12:16" ht="15.75" customHeight="1" x14ac:dyDescent="0.3">
      <c r="L2726" s="6" t="s">
        <v>189</v>
      </c>
      <c r="M2726" s="6" t="s">
        <v>470</v>
      </c>
      <c r="N2726" s="6" t="s">
        <v>96</v>
      </c>
      <c r="O2726" s="6" t="s">
        <v>97</v>
      </c>
      <c r="P2726" s="19">
        <v>0</v>
      </c>
    </row>
    <row r="2727" spans="12:16" ht="15.75" customHeight="1" x14ac:dyDescent="0.3">
      <c r="L2727" s="6" t="s">
        <v>189</v>
      </c>
      <c r="M2727" s="6" t="s">
        <v>470</v>
      </c>
      <c r="N2727" s="6" t="s">
        <v>100</v>
      </c>
      <c r="O2727" s="6" t="s">
        <v>101</v>
      </c>
      <c r="P2727" s="19">
        <v>0</v>
      </c>
    </row>
    <row r="2728" spans="12:16" ht="15.75" customHeight="1" x14ac:dyDescent="0.3">
      <c r="L2728" s="6" t="s">
        <v>189</v>
      </c>
      <c r="M2728" s="6" t="s">
        <v>470</v>
      </c>
      <c r="N2728" s="6" t="s">
        <v>22</v>
      </c>
      <c r="O2728" s="6" t="s">
        <v>104</v>
      </c>
      <c r="P2728" s="19">
        <v>0</v>
      </c>
    </row>
    <row r="2729" spans="12:16" ht="15.75" customHeight="1" x14ac:dyDescent="0.3">
      <c r="L2729" s="6" t="s">
        <v>189</v>
      </c>
      <c r="M2729" s="6" t="s">
        <v>470</v>
      </c>
      <c r="N2729" s="6" t="s">
        <v>23</v>
      </c>
      <c r="O2729" s="6" t="s">
        <v>107</v>
      </c>
      <c r="P2729" s="19">
        <v>0</v>
      </c>
    </row>
    <row r="2730" spans="12:16" ht="15.75" customHeight="1" x14ac:dyDescent="0.3">
      <c r="L2730" s="6" t="s">
        <v>189</v>
      </c>
      <c r="M2730" s="6" t="s">
        <v>470</v>
      </c>
      <c r="N2730" s="6" t="s">
        <v>24</v>
      </c>
      <c r="O2730" s="6" t="s">
        <v>109</v>
      </c>
      <c r="P2730" s="19">
        <v>0</v>
      </c>
    </row>
    <row r="2731" spans="12:16" ht="15.75" customHeight="1" x14ac:dyDescent="0.3">
      <c r="L2731" s="6" t="s">
        <v>189</v>
      </c>
      <c r="M2731" s="6" t="s">
        <v>470</v>
      </c>
      <c r="N2731" s="6" t="s">
        <v>25</v>
      </c>
      <c r="O2731" s="6" t="s">
        <v>111</v>
      </c>
      <c r="P2731" s="19">
        <v>1</v>
      </c>
    </row>
    <row r="2732" spans="12:16" ht="15.75" customHeight="1" x14ac:dyDescent="0.3">
      <c r="L2732" s="6" t="s">
        <v>189</v>
      </c>
      <c r="M2732" s="6" t="s">
        <v>470</v>
      </c>
      <c r="N2732" s="6" t="s">
        <v>26</v>
      </c>
      <c r="O2732" s="6" t="s">
        <v>113</v>
      </c>
      <c r="P2732" s="19">
        <v>1</v>
      </c>
    </row>
    <row r="2733" spans="12:16" ht="15.75" customHeight="1" x14ac:dyDescent="0.3">
      <c r="L2733" s="6" t="s">
        <v>189</v>
      </c>
      <c r="M2733" s="6" t="s">
        <v>470</v>
      </c>
      <c r="N2733" s="6" t="s">
        <v>27</v>
      </c>
      <c r="O2733" s="6" t="s">
        <v>117</v>
      </c>
      <c r="P2733" s="19">
        <v>0</v>
      </c>
    </row>
    <row r="2734" spans="12:16" ht="15.75" customHeight="1" x14ac:dyDescent="0.3">
      <c r="L2734" s="6" t="s">
        <v>189</v>
      </c>
      <c r="M2734" s="6" t="s">
        <v>470</v>
      </c>
      <c r="N2734" s="6" t="s">
        <v>29</v>
      </c>
      <c r="O2734" s="6" t="s">
        <v>125</v>
      </c>
      <c r="P2734" s="19">
        <v>0</v>
      </c>
    </row>
    <row r="2735" spans="12:16" ht="15.75" customHeight="1" x14ac:dyDescent="0.3">
      <c r="L2735" s="6" t="s">
        <v>189</v>
      </c>
      <c r="M2735" s="6" t="s">
        <v>470</v>
      </c>
      <c r="N2735" s="6" t="s">
        <v>135</v>
      </c>
      <c r="O2735" s="6" t="s">
        <v>136</v>
      </c>
      <c r="P2735" s="19">
        <v>0</v>
      </c>
    </row>
    <row r="2736" spans="12:16" ht="15.75" customHeight="1" x14ac:dyDescent="0.3">
      <c r="L2736" s="6" t="s">
        <v>189</v>
      </c>
      <c r="M2736" s="6" t="s">
        <v>470</v>
      </c>
      <c r="N2736" s="6" t="s">
        <v>138</v>
      </c>
      <c r="O2736" s="6" t="s">
        <v>139</v>
      </c>
      <c r="P2736" s="19">
        <v>1</v>
      </c>
    </row>
    <row r="2737" spans="12:16" ht="15.75" customHeight="1" x14ac:dyDescent="0.3">
      <c r="L2737" s="6" t="s">
        <v>189</v>
      </c>
      <c r="M2737" s="6" t="s">
        <v>470</v>
      </c>
      <c r="N2737" s="6" t="s">
        <v>30</v>
      </c>
      <c r="O2737" s="6" t="s">
        <v>148</v>
      </c>
      <c r="P2737" s="19">
        <v>0</v>
      </c>
    </row>
    <row r="2738" spans="12:16" ht="15.75" customHeight="1" x14ac:dyDescent="0.3">
      <c r="L2738" s="6" t="s">
        <v>189</v>
      </c>
      <c r="M2738" s="6" t="s">
        <v>470</v>
      </c>
      <c r="N2738" s="6" t="s">
        <v>156</v>
      </c>
      <c r="O2738" s="6" t="s">
        <v>157</v>
      </c>
      <c r="P2738" s="25" t="s">
        <v>169</v>
      </c>
    </row>
    <row r="2739" spans="12:16" ht="15.75" customHeight="1" x14ac:dyDescent="0.3">
      <c r="L2739" s="6" t="s">
        <v>189</v>
      </c>
      <c r="M2739" s="6" t="s">
        <v>470</v>
      </c>
      <c r="N2739" s="6" t="s">
        <v>158</v>
      </c>
      <c r="O2739" s="6" t="s">
        <v>159</v>
      </c>
      <c r="P2739" s="19">
        <v>1</v>
      </c>
    </row>
    <row r="2740" spans="12:16" ht="15.75" customHeight="1" x14ac:dyDescent="0.3">
      <c r="L2740" s="6" t="s">
        <v>189</v>
      </c>
      <c r="M2740" s="6" t="s">
        <v>470</v>
      </c>
      <c r="N2740" s="6" t="s">
        <v>160</v>
      </c>
      <c r="O2740" s="6" t="s">
        <v>161</v>
      </c>
      <c r="P2740" s="25" t="s">
        <v>169</v>
      </c>
    </row>
    <row r="2741" spans="12:16" ht="15.75" customHeight="1" x14ac:dyDescent="0.3">
      <c r="L2741" s="6" t="s">
        <v>189</v>
      </c>
      <c r="M2741" s="6" t="s">
        <v>470</v>
      </c>
      <c r="N2741" s="6" t="s">
        <v>162</v>
      </c>
      <c r="O2741" s="6" t="s">
        <v>163</v>
      </c>
      <c r="P2741" s="19">
        <v>4</v>
      </c>
    </row>
    <row r="2742" spans="12:16" ht="15.75" customHeight="1" x14ac:dyDescent="0.3">
      <c r="L2742" s="6" t="s">
        <v>189</v>
      </c>
      <c r="M2742" s="6" t="s">
        <v>470</v>
      </c>
      <c r="N2742" s="6" t="s">
        <v>165</v>
      </c>
      <c r="O2742" s="6" t="s">
        <v>166</v>
      </c>
      <c r="P2742" s="19">
        <v>0</v>
      </c>
    </row>
    <row r="2743" spans="12:16" ht="15.75" customHeight="1" x14ac:dyDescent="0.3">
      <c r="L2743" s="6" t="s">
        <v>190</v>
      </c>
      <c r="M2743" s="6" t="s">
        <v>300</v>
      </c>
      <c r="N2743" s="6" t="s">
        <v>72</v>
      </c>
      <c r="O2743" s="6" t="s">
        <v>75</v>
      </c>
      <c r="P2743" s="19">
        <v>0</v>
      </c>
    </row>
    <row r="2744" spans="12:16" ht="15.75" customHeight="1" x14ac:dyDescent="0.3">
      <c r="L2744" s="6" t="s">
        <v>190</v>
      </c>
      <c r="M2744" s="6" t="s">
        <v>300</v>
      </c>
      <c r="N2744" s="6" t="s">
        <v>83</v>
      </c>
      <c r="O2744" s="6" t="s">
        <v>84</v>
      </c>
      <c r="P2744" s="19">
        <v>0</v>
      </c>
    </row>
    <row r="2745" spans="12:16" ht="15.75" customHeight="1" x14ac:dyDescent="0.3">
      <c r="L2745" s="6" t="s">
        <v>190</v>
      </c>
      <c r="M2745" s="6" t="s">
        <v>300</v>
      </c>
      <c r="N2745" s="6" t="s">
        <v>88</v>
      </c>
      <c r="O2745" s="6" t="s">
        <v>90</v>
      </c>
      <c r="P2745" s="19">
        <v>0</v>
      </c>
    </row>
    <row r="2746" spans="12:16" ht="15.75" customHeight="1" x14ac:dyDescent="0.3">
      <c r="L2746" s="6" t="s">
        <v>190</v>
      </c>
      <c r="M2746" s="6" t="s">
        <v>300</v>
      </c>
      <c r="N2746" s="6" t="s">
        <v>96</v>
      </c>
      <c r="O2746" s="6" t="s">
        <v>97</v>
      </c>
      <c r="P2746" s="19">
        <v>0</v>
      </c>
    </row>
    <row r="2747" spans="12:16" ht="15.75" customHeight="1" x14ac:dyDescent="0.3">
      <c r="L2747" s="6" t="s">
        <v>190</v>
      </c>
      <c r="M2747" s="6" t="s">
        <v>300</v>
      </c>
      <c r="N2747" s="6" t="s">
        <v>100</v>
      </c>
      <c r="O2747" s="6" t="s">
        <v>101</v>
      </c>
      <c r="P2747" s="19">
        <v>0</v>
      </c>
    </row>
    <row r="2748" spans="12:16" ht="15.75" customHeight="1" x14ac:dyDescent="0.3">
      <c r="L2748" s="6" t="s">
        <v>190</v>
      </c>
      <c r="M2748" s="6" t="s">
        <v>300</v>
      </c>
      <c r="N2748" s="6" t="s">
        <v>22</v>
      </c>
      <c r="O2748" s="6" t="s">
        <v>104</v>
      </c>
      <c r="P2748" s="19">
        <v>0</v>
      </c>
    </row>
    <row r="2749" spans="12:16" ht="15.75" customHeight="1" x14ac:dyDescent="0.3">
      <c r="L2749" s="6" t="s">
        <v>190</v>
      </c>
      <c r="M2749" s="6" t="s">
        <v>300</v>
      </c>
      <c r="N2749" s="6" t="s">
        <v>23</v>
      </c>
      <c r="O2749" s="6" t="s">
        <v>107</v>
      </c>
      <c r="P2749" s="25" t="s">
        <v>222</v>
      </c>
    </row>
    <row r="2750" spans="12:16" ht="15.75" customHeight="1" x14ac:dyDescent="0.3">
      <c r="L2750" s="6" t="s">
        <v>190</v>
      </c>
      <c r="M2750" s="6" t="s">
        <v>300</v>
      </c>
      <c r="N2750" s="6" t="s">
        <v>24</v>
      </c>
      <c r="O2750" s="6" t="s">
        <v>109</v>
      </c>
      <c r="P2750" s="25" t="s">
        <v>222</v>
      </c>
    </row>
    <row r="2751" spans="12:16" ht="15.75" customHeight="1" x14ac:dyDescent="0.3">
      <c r="L2751" s="6" t="s">
        <v>190</v>
      </c>
      <c r="M2751" s="6" t="s">
        <v>300</v>
      </c>
      <c r="N2751" s="6" t="s">
        <v>25</v>
      </c>
      <c r="O2751" s="6" t="s">
        <v>111</v>
      </c>
      <c r="P2751" s="19">
        <v>0</v>
      </c>
    </row>
    <row r="2752" spans="12:16" ht="15.75" customHeight="1" x14ac:dyDescent="0.3">
      <c r="L2752" s="6" t="s">
        <v>190</v>
      </c>
      <c r="M2752" s="6" t="s">
        <v>300</v>
      </c>
      <c r="N2752" s="6" t="s">
        <v>26</v>
      </c>
      <c r="O2752" s="6" t="s">
        <v>113</v>
      </c>
      <c r="P2752" s="19">
        <v>0</v>
      </c>
    </row>
    <row r="2753" spans="12:16" ht="15.75" customHeight="1" x14ac:dyDescent="0.3">
      <c r="L2753" s="6" t="s">
        <v>190</v>
      </c>
      <c r="M2753" s="6" t="s">
        <v>300</v>
      </c>
      <c r="N2753" s="6" t="s">
        <v>27</v>
      </c>
      <c r="O2753" s="6" t="s">
        <v>117</v>
      </c>
      <c r="P2753" s="25" t="s">
        <v>222</v>
      </c>
    </row>
    <row r="2754" spans="12:16" ht="15.75" customHeight="1" x14ac:dyDescent="0.3">
      <c r="L2754" s="6" t="s">
        <v>190</v>
      </c>
      <c r="M2754" s="6" t="s">
        <v>300</v>
      </c>
      <c r="N2754" s="6" t="s">
        <v>29</v>
      </c>
      <c r="O2754" s="6" t="s">
        <v>125</v>
      </c>
      <c r="P2754" s="19">
        <v>0</v>
      </c>
    </row>
    <row r="2755" spans="12:16" ht="15.75" customHeight="1" x14ac:dyDescent="0.3">
      <c r="L2755" s="6" t="s">
        <v>190</v>
      </c>
      <c r="M2755" s="6" t="s">
        <v>300</v>
      </c>
      <c r="N2755" s="6" t="s">
        <v>135</v>
      </c>
      <c r="O2755" s="6" t="s">
        <v>136</v>
      </c>
      <c r="P2755" s="19">
        <v>0</v>
      </c>
    </row>
    <row r="2756" spans="12:16" ht="15.75" customHeight="1" x14ac:dyDescent="0.3">
      <c r="L2756" s="6" t="s">
        <v>190</v>
      </c>
      <c r="M2756" s="6" t="s">
        <v>300</v>
      </c>
      <c r="N2756" s="6" t="s">
        <v>138</v>
      </c>
      <c r="O2756" s="6" t="s">
        <v>139</v>
      </c>
      <c r="P2756" s="19">
        <v>0</v>
      </c>
    </row>
    <row r="2757" spans="12:16" ht="15.75" customHeight="1" x14ac:dyDescent="0.3">
      <c r="L2757" s="6" t="s">
        <v>190</v>
      </c>
      <c r="M2757" s="6" t="s">
        <v>300</v>
      </c>
      <c r="N2757" s="6" t="s">
        <v>30</v>
      </c>
      <c r="O2757" s="6" t="s">
        <v>148</v>
      </c>
      <c r="P2757" s="19">
        <v>0</v>
      </c>
    </row>
    <row r="2758" spans="12:16" ht="15.75" customHeight="1" x14ac:dyDescent="0.3">
      <c r="L2758" s="6" t="s">
        <v>190</v>
      </c>
      <c r="M2758" s="6" t="s">
        <v>300</v>
      </c>
      <c r="N2758" s="6" t="s">
        <v>156</v>
      </c>
      <c r="O2758" s="6" t="s">
        <v>157</v>
      </c>
      <c r="P2758" s="25" t="s">
        <v>169</v>
      </c>
    </row>
    <row r="2759" spans="12:16" ht="15.75" customHeight="1" x14ac:dyDescent="0.3">
      <c r="L2759" s="6" t="s">
        <v>190</v>
      </c>
      <c r="M2759" s="6" t="s">
        <v>300</v>
      </c>
      <c r="N2759" s="6" t="s">
        <v>158</v>
      </c>
      <c r="O2759" s="6" t="s">
        <v>159</v>
      </c>
      <c r="P2759" s="19">
        <v>1</v>
      </c>
    </row>
    <row r="2760" spans="12:16" ht="15.75" customHeight="1" x14ac:dyDescent="0.3">
      <c r="L2760" s="6" t="s">
        <v>190</v>
      </c>
      <c r="M2760" s="6" t="s">
        <v>300</v>
      </c>
      <c r="N2760" s="6" t="s">
        <v>160</v>
      </c>
      <c r="O2760" s="6" t="s">
        <v>161</v>
      </c>
      <c r="P2760" s="25" t="s">
        <v>169</v>
      </c>
    </row>
    <row r="2761" spans="12:16" ht="15.75" customHeight="1" x14ac:dyDescent="0.3">
      <c r="L2761" s="6" t="s">
        <v>190</v>
      </c>
      <c r="M2761" s="6" t="s">
        <v>300</v>
      </c>
      <c r="N2761" s="6" t="s">
        <v>162</v>
      </c>
      <c r="O2761" s="6" t="s">
        <v>163</v>
      </c>
      <c r="P2761" s="19">
        <v>0</v>
      </c>
    </row>
    <row r="2762" spans="12:16" ht="15.75" customHeight="1" x14ac:dyDescent="0.3">
      <c r="L2762" s="6" t="s">
        <v>190</v>
      </c>
      <c r="M2762" s="6" t="s">
        <v>300</v>
      </c>
      <c r="N2762" s="6" t="s">
        <v>165</v>
      </c>
      <c r="O2762" s="6" t="s">
        <v>166</v>
      </c>
      <c r="P2762" s="19">
        <v>0</v>
      </c>
    </row>
    <row r="2763" spans="12:16" ht="15.75" customHeight="1" x14ac:dyDescent="0.3">
      <c r="L2763" s="6" t="s">
        <v>190</v>
      </c>
      <c r="M2763" s="6" t="s">
        <v>406</v>
      </c>
      <c r="N2763" s="6" t="s">
        <v>72</v>
      </c>
      <c r="O2763" s="6" t="s">
        <v>75</v>
      </c>
      <c r="P2763" s="19">
        <v>0</v>
      </c>
    </row>
    <row r="2764" spans="12:16" ht="15.75" customHeight="1" x14ac:dyDescent="0.3">
      <c r="L2764" s="6" t="s">
        <v>190</v>
      </c>
      <c r="M2764" s="6" t="s">
        <v>406</v>
      </c>
      <c r="N2764" s="6" t="s">
        <v>83</v>
      </c>
      <c r="O2764" s="6" t="s">
        <v>84</v>
      </c>
      <c r="P2764" s="19">
        <v>0</v>
      </c>
    </row>
    <row r="2765" spans="12:16" ht="15.75" customHeight="1" x14ac:dyDescent="0.3">
      <c r="L2765" s="6" t="s">
        <v>190</v>
      </c>
      <c r="M2765" s="6" t="s">
        <v>406</v>
      </c>
      <c r="N2765" s="6" t="s">
        <v>88</v>
      </c>
      <c r="O2765" s="6" t="s">
        <v>90</v>
      </c>
      <c r="P2765" s="19">
        <v>0</v>
      </c>
    </row>
    <row r="2766" spans="12:16" ht="15.75" customHeight="1" x14ac:dyDescent="0.3">
      <c r="L2766" s="6" t="s">
        <v>190</v>
      </c>
      <c r="M2766" s="6" t="s">
        <v>406</v>
      </c>
      <c r="N2766" s="6" t="s">
        <v>96</v>
      </c>
      <c r="O2766" s="6" t="s">
        <v>97</v>
      </c>
      <c r="P2766" s="19">
        <v>0</v>
      </c>
    </row>
    <row r="2767" spans="12:16" ht="15.75" customHeight="1" x14ac:dyDescent="0.3">
      <c r="L2767" s="6" t="s">
        <v>190</v>
      </c>
      <c r="M2767" s="6" t="s">
        <v>406</v>
      </c>
      <c r="N2767" s="6" t="s">
        <v>100</v>
      </c>
      <c r="O2767" s="6" t="s">
        <v>101</v>
      </c>
      <c r="P2767" s="19">
        <v>0</v>
      </c>
    </row>
    <row r="2768" spans="12:16" ht="15.75" customHeight="1" x14ac:dyDescent="0.3">
      <c r="L2768" s="6" t="s">
        <v>190</v>
      </c>
      <c r="M2768" s="6" t="s">
        <v>406</v>
      </c>
      <c r="N2768" s="6" t="s">
        <v>22</v>
      </c>
      <c r="O2768" s="6" t="s">
        <v>104</v>
      </c>
      <c r="P2768" s="19">
        <v>0</v>
      </c>
    </row>
    <row r="2769" spans="12:16" ht="15.75" customHeight="1" x14ac:dyDescent="0.3">
      <c r="L2769" s="6" t="s">
        <v>190</v>
      </c>
      <c r="M2769" s="6" t="s">
        <v>406</v>
      </c>
      <c r="N2769" s="6" t="s">
        <v>23</v>
      </c>
      <c r="O2769" s="6" t="s">
        <v>107</v>
      </c>
      <c r="P2769" s="25" t="s">
        <v>222</v>
      </c>
    </row>
    <row r="2770" spans="12:16" ht="15.75" customHeight="1" x14ac:dyDescent="0.3">
      <c r="L2770" s="6" t="s">
        <v>190</v>
      </c>
      <c r="M2770" s="6" t="s">
        <v>406</v>
      </c>
      <c r="N2770" s="6" t="s">
        <v>24</v>
      </c>
      <c r="O2770" s="6" t="s">
        <v>109</v>
      </c>
      <c r="P2770" s="25" t="s">
        <v>222</v>
      </c>
    </row>
    <row r="2771" spans="12:16" ht="15.75" customHeight="1" x14ac:dyDescent="0.3">
      <c r="L2771" s="6" t="s">
        <v>190</v>
      </c>
      <c r="M2771" s="6" t="s">
        <v>406</v>
      </c>
      <c r="N2771" s="6" t="s">
        <v>25</v>
      </c>
      <c r="O2771" s="6" t="s">
        <v>111</v>
      </c>
      <c r="P2771" s="19">
        <v>0</v>
      </c>
    </row>
    <row r="2772" spans="12:16" ht="15.75" customHeight="1" x14ac:dyDescent="0.3">
      <c r="L2772" s="6" t="s">
        <v>190</v>
      </c>
      <c r="M2772" s="6" t="s">
        <v>406</v>
      </c>
      <c r="N2772" s="6" t="s">
        <v>26</v>
      </c>
      <c r="O2772" s="6" t="s">
        <v>113</v>
      </c>
      <c r="P2772" s="19">
        <v>0</v>
      </c>
    </row>
    <row r="2773" spans="12:16" ht="15.75" customHeight="1" x14ac:dyDescent="0.3">
      <c r="L2773" s="6" t="s">
        <v>190</v>
      </c>
      <c r="M2773" s="6" t="s">
        <v>406</v>
      </c>
      <c r="N2773" s="6" t="s">
        <v>27</v>
      </c>
      <c r="O2773" s="6" t="s">
        <v>117</v>
      </c>
      <c r="P2773" s="25" t="s">
        <v>222</v>
      </c>
    </row>
    <row r="2774" spans="12:16" ht="15.75" customHeight="1" x14ac:dyDescent="0.3">
      <c r="L2774" s="6" t="s">
        <v>190</v>
      </c>
      <c r="M2774" s="6" t="s">
        <v>406</v>
      </c>
      <c r="N2774" s="6" t="s">
        <v>29</v>
      </c>
      <c r="O2774" s="6" t="s">
        <v>125</v>
      </c>
      <c r="P2774" s="19">
        <v>0</v>
      </c>
    </row>
    <row r="2775" spans="12:16" ht="15.75" customHeight="1" x14ac:dyDescent="0.3">
      <c r="L2775" s="6" t="s">
        <v>190</v>
      </c>
      <c r="M2775" s="6" t="s">
        <v>406</v>
      </c>
      <c r="N2775" s="6" t="s">
        <v>135</v>
      </c>
      <c r="O2775" s="6" t="s">
        <v>136</v>
      </c>
      <c r="P2775" s="19">
        <v>0</v>
      </c>
    </row>
    <row r="2776" spans="12:16" ht="15.75" customHeight="1" x14ac:dyDescent="0.3">
      <c r="L2776" s="6" t="s">
        <v>190</v>
      </c>
      <c r="M2776" s="6" t="s">
        <v>406</v>
      </c>
      <c r="N2776" s="6" t="s">
        <v>138</v>
      </c>
      <c r="O2776" s="6" t="s">
        <v>139</v>
      </c>
      <c r="P2776" s="19">
        <v>0</v>
      </c>
    </row>
    <row r="2777" spans="12:16" ht="15.75" customHeight="1" x14ac:dyDescent="0.3">
      <c r="L2777" s="6" t="s">
        <v>190</v>
      </c>
      <c r="M2777" s="6" t="s">
        <v>406</v>
      </c>
      <c r="N2777" s="6" t="s">
        <v>30</v>
      </c>
      <c r="O2777" s="6" t="s">
        <v>148</v>
      </c>
      <c r="P2777" s="19">
        <v>0</v>
      </c>
    </row>
    <row r="2778" spans="12:16" ht="15.75" customHeight="1" x14ac:dyDescent="0.3">
      <c r="L2778" s="6" t="s">
        <v>190</v>
      </c>
      <c r="M2778" s="6" t="s">
        <v>406</v>
      </c>
      <c r="N2778" s="6" t="s">
        <v>156</v>
      </c>
      <c r="O2778" s="6" t="s">
        <v>157</v>
      </c>
      <c r="P2778" s="25" t="s">
        <v>169</v>
      </c>
    </row>
    <row r="2779" spans="12:16" ht="15.75" customHeight="1" x14ac:dyDescent="0.3">
      <c r="L2779" s="6" t="s">
        <v>190</v>
      </c>
      <c r="M2779" s="6" t="s">
        <v>406</v>
      </c>
      <c r="N2779" s="6" t="s">
        <v>158</v>
      </c>
      <c r="O2779" s="6" t="s">
        <v>159</v>
      </c>
      <c r="P2779" s="19">
        <v>1</v>
      </c>
    </row>
    <row r="2780" spans="12:16" ht="15.75" customHeight="1" x14ac:dyDescent="0.3">
      <c r="L2780" s="6" t="s">
        <v>190</v>
      </c>
      <c r="M2780" s="6" t="s">
        <v>406</v>
      </c>
      <c r="N2780" s="6" t="s">
        <v>160</v>
      </c>
      <c r="O2780" s="6" t="s">
        <v>161</v>
      </c>
      <c r="P2780" s="25" t="s">
        <v>169</v>
      </c>
    </row>
    <row r="2781" spans="12:16" ht="15.75" customHeight="1" x14ac:dyDescent="0.3">
      <c r="L2781" s="6" t="s">
        <v>190</v>
      </c>
      <c r="M2781" s="6" t="s">
        <v>406</v>
      </c>
      <c r="N2781" s="6" t="s">
        <v>162</v>
      </c>
      <c r="O2781" s="6" t="s">
        <v>163</v>
      </c>
      <c r="P2781" s="19">
        <v>0</v>
      </c>
    </row>
    <row r="2782" spans="12:16" ht="15.75" customHeight="1" x14ac:dyDescent="0.3">
      <c r="L2782" s="6" t="s">
        <v>190</v>
      </c>
      <c r="M2782" s="6" t="s">
        <v>406</v>
      </c>
      <c r="N2782" s="6" t="s">
        <v>165</v>
      </c>
      <c r="O2782" s="6" t="s">
        <v>166</v>
      </c>
      <c r="P2782" s="19">
        <v>0</v>
      </c>
    </row>
    <row r="2783" spans="12:16" ht="15.75" customHeight="1" x14ac:dyDescent="0.3">
      <c r="L2783" s="6" t="s">
        <v>190</v>
      </c>
      <c r="M2783" s="6" t="s">
        <v>350</v>
      </c>
      <c r="N2783" s="6" t="s">
        <v>72</v>
      </c>
      <c r="O2783" s="6" t="s">
        <v>75</v>
      </c>
      <c r="P2783" s="19">
        <v>0</v>
      </c>
    </row>
    <row r="2784" spans="12:16" ht="15.75" customHeight="1" x14ac:dyDescent="0.3">
      <c r="L2784" s="6" t="s">
        <v>190</v>
      </c>
      <c r="M2784" s="6" t="s">
        <v>350</v>
      </c>
      <c r="N2784" s="6" t="s">
        <v>83</v>
      </c>
      <c r="O2784" s="6" t="s">
        <v>84</v>
      </c>
      <c r="P2784" s="19">
        <v>0</v>
      </c>
    </row>
    <row r="2785" spans="12:16" ht="15.75" customHeight="1" x14ac:dyDescent="0.3">
      <c r="L2785" s="6" t="s">
        <v>190</v>
      </c>
      <c r="M2785" s="6" t="s">
        <v>350</v>
      </c>
      <c r="N2785" s="6" t="s">
        <v>88</v>
      </c>
      <c r="O2785" s="6" t="s">
        <v>90</v>
      </c>
      <c r="P2785" s="19">
        <v>0</v>
      </c>
    </row>
    <row r="2786" spans="12:16" ht="15.75" customHeight="1" x14ac:dyDescent="0.3">
      <c r="L2786" s="6" t="s">
        <v>190</v>
      </c>
      <c r="M2786" s="6" t="s">
        <v>350</v>
      </c>
      <c r="N2786" s="6" t="s">
        <v>96</v>
      </c>
      <c r="O2786" s="6" t="s">
        <v>97</v>
      </c>
      <c r="P2786" s="19">
        <v>0</v>
      </c>
    </row>
    <row r="2787" spans="12:16" ht="15.75" customHeight="1" x14ac:dyDescent="0.3">
      <c r="L2787" s="6" t="s">
        <v>190</v>
      </c>
      <c r="M2787" s="6" t="s">
        <v>350</v>
      </c>
      <c r="N2787" s="6" t="s">
        <v>100</v>
      </c>
      <c r="O2787" s="6" t="s">
        <v>101</v>
      </c>
      <c r="P2787" s="19">
        <v>0</v>
      </c>
    </row>
    <row r="2788" spans="12:16" ht="15.75" customHeight="1" x14ac:dyDescent="0.3">
      <c r="L2788" s="6" t="s">
        <v>190</v>
      </c>
      <c r="M2788" s="6" t="s">
        <v>350</v>
      </c>
      <c r="N2788" s="6" t="s">
        <v>22</v>
      </c>
      <c r="O2788" s="6" t="s">
        <v>104</v>
      </c>
      <c r="P2788" s="19">
        <v>0</v>
      </c>
    </row>
    <row r="2789" spans="12:16" ht="15.75" customHeight="1" x14ac:dyDescent="0.3">
      <c r="L2789" s="6" t="s">
        <v>190</v>
      </c>
      <c r="M2789" s="6" t="s">
        <v>350</v>
      </c>
      <c r="N2789" s="6" t="s">
        <v>23</v>
      </c>
      <c r="O2789" s="6" t="s">
        <v>107</v>
      </c>
      <c r="P2789" s="19">
        <v>0</v>
      </c>
    </row>
    <row r="2790" spans="12:16" ht="15.75" customHeight="1" x14ac:dyDescent="0.3">
      <c r="L2790" s="6" t="s">
        <v>190</v>
      </c>
      <c r="M2790" s="6" t="s">
        <v>350</v>
      </c>
      <c r="N2790" s="6" t="s">
        <v>24</v>
      </c>
      <c r="O2790" s="6" t="s">
        <v>109</v>
      </c>
      <c r="P2790" s="19">
        <v>0</v>
      </c>
    </row>
    <row r="2791" spans="12:16" ht="15.75" customHeight="1" x14ac:dyDescent="0.3">
      <c r="L2791" s="6" t="s">
        <v>190</v>
      </c>
      <c r="M2791" s="6" t="s">
        <v>350</v>
      </c>
      <c r="N2791" s="6" t="s">
        <v>25</v>
      </c>
      <c r="O2791" s="6" t="s">
        <v>111</v>
      </c>
      <c r="P2791" s="19">
        <v>1</v>
      </c>
    </row>
    <row r="2792" spans="12:16" ht="15.75" customHeight="1" x14ac:dyDescent="0.3">
      <c r="L2792" s="6" t="s">
        <v>190</v>
      </c>
      <c r="M2792" s="6" t="s">
        <v>350</v>
      </c>
      <c r="N2792" s="6" t="s">
        <v>26</v>
      </c>
      <c r="O2792" s="6" t="s">
        <v>113</v>
      </c>
      <c r="P2792" s="19">
        <v>1</v>
      </c>
    </row>
    <row r="2793" spans="12:16" ht="15.75" customHeight="1" x14ac:dyDescent="0.3">
      <c r="L2793" s="6" t="s">
        <v>190</v>
      </c>
      <c r="M2793" s="6" t="s">
        <v>350</v>
      </c>
      <c r="N2793" s="6" t="s">
        <v>27</v>
      </c>
      <c r="O2793" s="6" t="s">
        <v>117</v>
      </c>
      <c r="P2793" s="19">
        <v>0</v>
      </c>
    </row>
    <row r="2794" spans="12:16" ht="15.75" customHeight="1" x14ac:dyDescent="0.3">
      <c r="L2794" s="6" t="s">
        <v>190</v>
      </c>
      <c r="M2794" s="6" t="s">
        <v>350</v>
      </c>
      <c r="N2794" s="6" t="s">
        <v>29</v>
      </c>
      <c r="O2794" s="6" t="s">
        <v>125</v>
      </c>
      <c r="P2794" s="19">
        <v>0</v>
      </c>
    </row>
    <row r="2795" spans="12:16" ht="15.75" customHeight="1" x14ac:dyDescent="0.3">
      <c r="L2795" s="6" t="s">
        <v>190</v>
      </c>
      <c r="M2795" s="6" t="s">
        <v>350</v>
      </c>
      <c r="N2795" s="6" t="s">
        <v>135</v>
      </c>
      <c r="O2795" s="6" t="s">
        <v>136</v>
      </c>
      <c r="P2795" s="19">
        <v>0</v>
      </c>
    </row>
    <row r="2796" spans="12:16" ht="15.75" customHeight="1" x14ac:dyDescent="0.3">
      <c r="L2796" s="6" t="s">
        <v>190</v>
      </c>
      <c r="M2796" s="6" t="s">
        <v>350</v>
      </c>
      <c r="N2796" s="6" t="s">
        <v>138</v>
      </c>
      <c r="O2796" s="6" t="s">
        <v>139</v>
      </c>
      <c r="P2796" s="19">
        <v>0</v>
      </c>
    </row>
    <row r="2797" spans="12:16" ht="15.75" customHeight="1" x14ac:dyDescent="0.3">
      <c r="L2797" s="6" t="s">
        <v>190</v>
      </c>
      <c r="M2797" s="6" t="s">
        <v>350</v>
      </c>
      <c r="N2797" s="6" t="s">
        <v>30</v>
      </c>
      <c r="O2797" s="6" t="s">
        <v>148</v>
      </c>
      <c r="P2797" s="19">
        <v>0</v>
      </c>
    </row>
    <row r="2798" spans="12:16" ht="15.75" customHeight="1" x14ac:dyDescent="0.3">
      <c r="L2798" s="6" t="s">
        <v>190</v>
      </c>
      <c r="M2798" s="6" t="s">
        <v>350</v>
      </c>
      <c r="N2798" s="6" t="s">
        <v>156</v>
      </c>
      <c r="O2798" s="6" t="s">
        <v>157</v>
      </c>
      <c r="P2798" s="25" t="s">
        <v>169</v>
      </c>
    </row>
    <row r="2799" spans="12:16" ht="15.75" customHeight="1" x14ac:dyDescent="0.3">
      <c r="L2799" s="6" t="s">
        <v>190</v>
      </c>
      <c r="M2799" s="6" t="s">
        <v>350</v>
      </c>
      <c r="N2799" s="6" t="s">
        <v>158</v>
      </c>
      <c r="O2799" s="6" t="s">
        <v>159</v>
      </c>
      <c r="P2799" s="19">
        <v>1</v>
      </c>
    </row>
    <row r="2800" spans="12:16" ht="15.75" customHeight="1" x14ac:dyDescent="0.3">
      <c r="L2800" s="6" t="s">
        <v>190</v>
      </c>
      <c r="M2800" s="6" t="s">
        <v>350</v>
      </c>
      <c r="N2800" s="6" t="s">
        <v>160</v>
      </c>
      <c r="O2800" s="6" t="s">
        <v>161</v>
      </c>
      <c r="P2800" s="25" t="s">
        <v>169</v>
      </c>
    </row>
    <row r="2801" spans="12:16" ht="15.75" customHeight="1" x14ac:dyDescent="0.3">
      <c r="L2801" s="6" t="s">
        <v>190</v>
      </c>
      <c r="M2801" s="6" t="s">
        <v>350</v>
      </c>
      <c r="N2801" s="6" t="s">
        <v>162</v>
      </c>
      <c r="O2801" s="6" t="s">
        <v>163</v>
      </c>
      <c r="P2801" s="19">
        <v>0</v>
      </c>
    </row>
    <row r="2802" spans="12:16" ht="15.75" customHeight="1" x14ac:dyDescent="0.3">
      <c r="L2802" s="6" t="s">
        <v>190</v>
      </c>
      <c r="M2802" s="6" t="s">
        <v>350</v>
      </c>
      <c r="N2802" s="6" t="s">
        <v>165</v>
      </c>
      <c r="O2802" s="6" t="s">
        <v>166</v>
      </c>
      <c r="P2802" s="19">
        <v>0</v>
      </c>
    </row>
    <row r="2803" spans="12:16" ht="15.75" customHeight="1" x14ac:dyDescent="0.3">
      <c r="L2803" s="6" t="s">
        <v>190</v>
      </c>
      <c r="M2803" s="6" t="s">
        <v>409</v>
      </c>
      <c r="N2803" s="6" t="s">
        <v>72</v>
      </c>
      <c r="O2803" s="6" t="s">
        <v>75</v>
      </c>
      <c r="P2803" s="19">
        <v>0</v>
      </c>
    </row>
    <row r="2804" spans="12:16" ht="15.75" customHeight="1" x14ac:dyDescent="0.3">
      <c r="L2804" s="6" t="s">
        <v>190</v>
      </c>
      <c r="M2804" s="6" t="s">
        <v>409</v>
      </c>
      <c r="N2804" s="6" t="s">
        <v>83</v>
      </c>
      <c r="O2804" s="6" t="s">
        <v>84</v>
      </c>
      <c r="P2804" s="19">
        <v>0</v>
      </c>
    </row>
    <row r="2805" spans="12:16" ht="15.75" customHeight="1" x14ac:dyDescent="0.3">
      <c r="L2805" s="6" t="s">
        <v>190</v>
      </c>
      <c r="M2805" s="6" t="s">
        <v>409</v>
      </c>
      <c r="N2805" s="6" t="s">
        <v>88</v>
      </c>
      <c r="O2805" s="6" t="s">
        <v>90</v>
      </c>
      <c r="P2805" s="19">
        <v>0</v>
      </c>
    </row>
    <row r="2806" spans="12:16" ht="15.75" customHeight="1" x14ac:dyDescent="0.3">
      <c r="L2806" s="6" t="s">
        <v>190</v>
      </c>
      <c r="M2806" s="6" t="s">
        <v>409</v>
      </c>
      <c r="N2806" s="6" t="s">
        <v>96</v>
      </c>
      <c r="O2806" s="6" t="s">
        <v>97</v>
      </c>
      <c r="P2806" s="19">
        <v>0</v>
      </c>
    </row>
    <row r="2807" spans="12:16" ht="15.75" customHeight="1" x14ac:dyDescent="0.3">
      <c r="L2807" s="6" t="s">
        <v>190</v>
      </c>
      <c r="M2807" s="6" t="s">
        <v>409</v>
      </c>
      <c r="N2807" s="6" t="s">
        <v>100</v>
      </c>
      <c r="O2807" s="6" t="s">
        <v>101</v>
      </c>
      <c r="P2807" s="19">
        <v>0</v>
      </c>
    </row>
    <row r="2808" spans="12:16" ht="15.75" customHeight="1" x14ac:dyDescent="0.3">
      <c r="L2808" s="6" t="s">
        <v>190</v>
      </c>
      <c r="M2808" s="6" t="s">
        <v>409</v>
      </c>
      <c r="N2808" s="6" t="s">
        <v>22</v>
      </c>
      <c r="O2808" s="6" t="s">
        <v>104</v>
      </c>
      <c r="P2808" s="19">
        <v>0</v>
      </c>
    </row>
    <row r="2809" spans="12:16" ht="15.75" customHeight="1" x14ac:dyDescent="0.3">
      <c r="L2809" s="6" t="s">
        <v>190</v>
      </c>
      <c r="M2809" s="6" t="s">
        <v>409</v>
      </c>
      <c r="N2809" s="6" t="s">
        <v>23</v>
      </c>
      <c r="O2809" s="6" t="s">
        <v>107</v>
      </c>
      <c r="P2809" s="25" t="s">
        <v>222</v>
      </c>
    </row>
    <row r="2810" spans="12:16" ht="15.75" customHeight="1" x14ac:dyDescent="0.3">
      <c r="L2810" s="6" t="s">
        <v>190</v>
      </c>
      <c r="M2810" s="6" t="s">
        <v>409</v>
      </c>
      <c r="N2810" s="6" t="s">
        <v>24</v>
      </c>
      <c r="O2810" s="6" t="s">
        <v>109</v>
      </c>
      <c r="P2810" s="25" t="s">
        <v>222</v>
      </c>
    </row>
    <row r="2811" spans="12:16" ht="15.75" customHeight="1" x14ac:dyDescent="0.3">
      <c r="L2811" s="6" t="s">
        <v>190</v>
      </c>
      <c r="M2811" s="6" t="s">
        <v>409</v>
      </c>
      <c r="N2811" s="6" t="s">
        <v>25</v>
      </c>
      <c r="O2811" s="6" t="s">
        <v>111</v>
      </c>
      <c r="P2811" s="19">
        <v>0</v>
      </c>
    </row>
    <row r="2812" spans="12:16" ht="15.75" customHeight="1" x14ac:dyDescent="0.3">
      <c r="L2812" s="6" t="s">
        <v>190</v>
      </c>
      <c r="M2812" s="6" t="s">
        <v>409</v>
      </c>
      <c r="N2812" s="6" t="s">
        <v>26</v>
      </c>
      <c r="O2812" s="6" t="s">
        <v>113</v>
      </c>
      <c r="P2812" s="19">
        <v>0</v>
      </c>
    </row>
    <row r="2813" spans="12:16" ht="15.75" customHeight="1" x14ac:dyDescent="0.3">
      <c r="L2813" s="6" t="s">
        <v>190</v>
      </c>
      <c r="M2813" s="6" t="s">
        <v>409</v>
      </c>
      <c r="N2813" s="6" t="s">
        <v>27</v>
      </c>
      <c r="O2813" s="6" t="s">
        <v>117</v>
      </c>
      <c r="P2813" s="25" t="s">
        <v>222</v>
      </c>
    </row>
    <row r="2814" spans="12:16" ht="15.75" customHeight="1" x14ac:dyDescent="0.3">
      <c r="L2814" s="6" t="s">
        <v>190</v>
      </c>
      <c r="M2814" s="6" t="s">
        <v>409</v>
      </c>
      <c r="N2814" s="6" t="s">
        <v>29</v>
      </c>
      <c r="O2814" s="6" t="s">
        <v>125</v>
      </c>
      <c r="P2814" s="19">
        <v>0</v>
      </c>
    </row>
    <row r="2815" spans="12:16" ht="15.75" customHeight="1" x14ac:dyDescent="0.3">
      <c r="L2815" s="6" t="s">
        <v>190</v>
      </c>
      <c r="M2815" s="6" t="s">
        <v>409</v>
      </c>
      <c r="N2815" s="6" t="s">
        <v>135</v>
      </c>
      <c r="O2815" s="6" t="s">
        <v>136</v>
      </c>
      <c r="P2815" s="19">
        <v>0</v>
      </c>
    </row>
    <row r="2816" spans="12:16" ht="15.75" customHeight="1" x14ac:dyDescent="0.3">
      <c r="L2816" s="6" t="s">
        <v>190</v>
      </c>
      <c r="M2816" s="6" t="s">
        <v>409</v>
      </c>
      <c r="N2816" s="6" t="s">
        <v>138</v>
      </c>
      <c r="O2816" s="6" t="s">
        <v>139</v>
      </c>
      <c r="P2816" s="19">
        <v>0</v>
      </c>
    </row>
    <row r="2817" spans="12:16" ht="15.75" customHeight="1" x14ac:dyDescent="0.3">
      <c r="L2817" s="6" t="s">
        <v>190</v>
      </c>
      <c r="M2817" s="6" t="s">
        <v>409</v>
      </c>
      <c r="N2817" s="6" t="s">
        <v>30</v>
      </c>
      <c r="O2817" s="6" t="s">
        <v>148</v>
      </c>
      <c r="P2817" s="19">
        <v>0</v>
      </c>
    </row>
    <row r="2818" spans="12:16" ht="15.75" customHeight="1" x14ac:dyDescent="0.3">
      <c r="L2818" s="6" t="s">
        <v>190</v>
      </c>
      <c r="M2818" s="6" t="s">
        <v>409</v>
      </c>
      <c r="N2818" s="6" t="s">
        <v>156</v>
      </c>
      <c r="O2818" s="6" t="s">
        <v>157</v>
      </c>
      <c r="P2818" s="25" t="s">
        <v>169</v>
      </c>
    </row>
    <row r="2819" spans="12:16" ht="15.75" customHeight="1" x14ac:dyDescent="0.3">
      <c r="L2819" s="6" t="s">
        <v>190</v>
      </c>
      <c r="M2819" s="6" t="s">
        <v>409</v>
      </c>
      <c r="N2819" s="6" t="s">
        <v>158</v>
      </c>
      <c r="O2819" s="6" t="s">
        <v>159</v>
      </c>
      <c r="P2819" s="19">
        <v>1</v>
      </c>
    </row>
    <row r="2820" spans="12:16" ht="15.75" customHeight="1" x14ac:dyDescent="0.3">
      <c r="L2820" s="6" t="s">
        <v>190</v>
      </c>
      <c r="M2820" s="6" t="s">
        <v>409</v>
      </c>
      <c r="N2820" s="6" t="s">
        <v>160</v>
      </c>
      <c r="O2820" s="6" t="s">
        <v>161</v>
      </c>
      <c r="P2820" s="25" t="s">
        <v>169</v>
      </c>
    </row>
    <row r="2821" spans="12:16" ht="15.75" customHeight="1" x14ac:dyDescent="0.3">
      <c r="L2821" s="6" t="s">
        <v>190</v>
      </c>
      <c r="M2821" s="6" t="s">
        <v>409</v>
      </c>
      <c r="N2821" s="6" t="s">
        <v>162</v>
      </c>
      <c r="O2821" s="6" t="s">
        <v>163</v>
      </c>
      <c r="P2821" s="19">
        <v>0</v>
      </c>
    </row>
    <row r="2822" spans="12:16" ht="15.75" customHeight="1" x14ac:dyDescent="0.3">
      <c r="L2822" s="6" t="s">
        <v>190</v>
      </c>
      <c r="M2822" s="6" t="s">
        <v>409</v>
      </c>
      <c r="N2822" s="6" t="s">
        <v>165</v>
      </c>
      <c r="O2822" s="6" t="s">
        <v>166</v>
      </c>
      <c r="P2822" s="19">
        <v>0</v>
      </c>
    </row>
    <row r="2823" spans="12:16" ht="15.75" customHeight="1" x14ac:dyDescent="0.3">
      <c r="L2823" s="6" t="s">
        <v>190</v>
      </c>
      <c r="M2823" s="6" t="s">
        <v>352</v>
      </c>
      <c r="N2823" s="6" t="s">
        <v>72</v>
      </c>
      <c r="O2823" s="6" t="s">
        <v>75</v>
      </c>
      <c r="P2823" s="19">
        <v>0</v>
      </c>
    </row>
    <row r="2824" spans="12:16" ht="15.75" customHeight="1" x14ac:dyDescent="0.3">
      <c r="L2824" s="6" t="s">
        <v>190</v>
      </c>
      <c r="M2824" s="6" t="s">
        <v>352</v>
      </c>
      <c r="N2824" s="6" t="s">
        <v>83</v>
      </c>
      <c r="O2824" s="6" t="s">
        <v>84</v>
      </c>
      <c r="P2824" s="19">
        <v>0</v>
      </c>
    </row>
    <row r="2825" spans="12:16" ht="15.75" customHeight="1" x14ac:dyDescent="0.3">
      <c r="L2825" s="6" t="s">
        <v>190</v>
      </c>
      <c r="M2825" s="6" t="s">
        <v>352</v>
      </c>
      <c r="N2825" s="6" t="s">
        <v>88</v>
      </c>
      <c r="O2825" s="6" t="s">
        <v>90</v>
      </c>
      <c r="P2825" s="19">
        <v>0</v>
      </c>
    </row>
    <row r="2826" spans="12:16" ht="15.75" customHeight="1" x14ac:dyDescent="0.3">
      <c r="L2826" s="6" t="s">
        <v>190</v>
      </c>
      <c r="M2826" s="6" t="s">
        <v>352</v>
      </c>
      <c r="N2826" s="6" t="s">
        <v>96</v>
      </c>
      <c r="O2826" s="6" t="s">
        <v>97</v>
      </c>
      <c r="P2826" s="19">
        <v>0</v>
      </c>
    </row>
    <row r="2827" spans="12:16" ht="15.75" customHeight="1" x14ac:dyDescent="0.3">
      <c r="L2827" s="6" t="s">
        <v>190</v>
      </c>
      <c r="M2827" s="6" t="s">
        <v>352</v>
      </c>
      <c r="N2827" s="6" t="s">
        <v>100</v>
      </c>
      <c r="O2827" s="6" t="s">
        <v>101</v>
      </c>
      <c r="P2827" s="19">
        <v>0</v>
      </c>
    </row>
    <row r="2828" spans="12:16" ht="15.75" customHeight="1" x14ac:dyDescent="0.3">
      <c r="L2828" s="6" t="s">
        <v>190</v>
      </c>
      <c r="M2828" s="6" t="s">
        <v>352</v>
      </c>
      <c r="N2828" s="6" t="s">
        <v>22</v>
      </c>
      <c r="O2828" s="6" t="s">
        <v>104</v>
      </c>
      <c r="P2828" s="19">
        <v>0</v>
      </c>
    </row>
    <row r="2829" spans="12:16" ht="15.75" customHeight="1" x14ac:dyDescent="0.3">
      <c r="L2829" s="6" t="s">
        <v>190</v>
      </c>
      <c r="M2829" s="6" t="s">
        <v>352</v>
      </c>
      <c r="N2829" s="6" t="s">
        <v>23</v>
      </c>
      <c r="O2829" s="6" t="s">
        <v>107</v>
      </c>
      <c r="P2829" s="19">
        <v>0</v>
      </c>
    </row>
    <row r="2830" spans="12:16" ht="15.75" customHeight="1" x14ac:dyDescent="0.3">
      <c r="L2830" s="6" t="s">
        <v>190</v>
      </c>
      <c r="M2830" s="6" t="s">
        <v>352</v>
      </c>
      <c r="N2830" s="6" t="s">
        <v>24</v>
      </c>
      <c r="O2830" s="6" t="s">
        <v>109</v>
      </c>
      <c r="P2830" s="19">
        <v>0</v>
      </c>
    </row>
    <row r="2831" spans="12:16" ht="15.75" customHeight="1" x14ac:dyDescent="0.3">
      <c r="L2831" s="6" t="s">
        <v>190</v>
      </c>
      <c r="M2831" s="6" t="s">
        <v>352</v>
      </c>
      <c r="N2831" s="6" t="s">
        <v>25</v>
      </c>
      <c r="O2831" s="6" t="s">
        <v>111</v>
      </c>
      <c r="P2831" s="19">
        <v>1</v>
      </c>
    </row>
    <row r="2832" spans="12:16" ht="15.75" customHeight="1" x14ac:dyDescent="0.3">
      <c r="L2832" s="6" t="s">
        <v>190</v>
      </c>
      <c r="M2832" s="6" t="s">
        <v>352</v>
      </c>
      <c r="N2832" s="6" t="s">
        <v>26</v>
      </c>
      <c r="O2832" s="6" t="s">
        <v>113</v>
      </c>
      <c r="P2832" s="19">
        <v>1</v>
      </c>
    </row>
    <row r="2833" spans="12:16" ht="15.75" customHeight="1" x14ac:dyDescent="0.3">
      <c r="L2833" s="6" t="s">
        <v>190</v>
      </c>
      <c r="M2833" s="6" t="s">
        <v>352</v>
      </c>
      <c r="N2833" s="6" t="s">
        <v>27</v>
      </c>
      <c r="O2833" s="6" t="s">
        <v>117</v>
      </c>
      <c r="P2833" s="19">
        <v>0</v>
      </c>
    </row>
    <row r="2834" spans="12:16" ht="15.75" customHeight="1" x14ac:dyDescent="0.3">
      <c r="L2834" s="6" t="s">
        <v>190</v>
      </c>
      <c r="M2834" s="6" t="s">
        <v>352</v>
      </c>
      <c r="N2834" s="6" t="s">
        <v>29</v>
      </c>
      <c r="O2834" s="6" t="s">
        <v>125</v>
      </c>
      <c r="P2834" s="19">
        <v>0</v>
      </c>
    </row>
    <row r="2835" spans="12:16" ht="15.75" customHeight="1" x14ac:dyDescent="0.3">
      <c r="L2835" s="6" t="s">
        <v>190</v>
      </c>
      <c r="M2835" s="6" t="s">
        <v>352</v>
      </c>
      <c r="N2835" s="6" t="s">
        <v>135</v>
      </c>
      <c r="O2835" s="6" t="s">
        <v>136</v>
      </c>
      <c r="P2835" s="19">
        <v>0</v>
      </c>
    </row>
    <row r="2836" spans="12:16" ht="15.75" customHeight="1" x14ac:dyDescent="0.3">
      <c r="L2836" s="6" t="s">
        <v>190</v>
      </c>
      <c r="M2836" s="6" t="s">
        <v>352</v>
      </c>
      <c r="N2836" s="6" t="s">
        <v>138</v>
      </c>
      <c r="O2836" s="6" t="s">
        <v>139</v>
      </c>
      <c r="P2836" s="19">
        <v>0</v>
      </c>
    </row>
    <row r="2837" spans="12:16" ht="15.75" customHeight="1" x14ac:dyDescent="0.3">
      <c r="L2837" s="6" t="s">
        <v>190</v>
      </c>
      <c r="M2837" s="6" t="s">
        <v>352</v>
      </c>
      <c r="N2837" s="6" t="s">
        <v>30</v>
      </c>
      <c r="O2837" s="6" t="s">
        <v>148</v>
      </c>
      <c r="P2837" s="19">
        <v>0</v>
      </c>
    </row>
    <row r="2838" spans="12:16" ht="15.75" customHeight="1" x14ac:dyDescent="0.3">
      <c r="L2838" s="6" t="s">
        <v>190</v>
      </c>
      <c r="M2838" s="6" t="s">
        <v>352</v>
      </c>
      <c r="N2838" s="6" t="s">
        <v>156</v>
      </c>
      <c r="O2838" s="6" t="s">
        <v>157</v>
      </c>
      <c r="P2838" s="25" t="s">
        <v>169</v>
      </c>
    </row>
    <row r="2839" spans="12:16" ht="15.75" customHeight="1" x14ac:dyDescent="0.3">
      <c r="L2839" s="6" t="s">
        <v>190</v>
      </c>
      <c r="M2839" s="6" t="s">
        <v>352</v>
      </c>
      <c r="N2839" s="6" t="s">
        <v>158</v>
      </c>
      <c r="O2839" s="6" t="s">
        <v>159</v>
      </c>
      <c r="P2839" s="19">
        <v>1</v>
      </c>
    </row>
    <row r="2840" spans="12:16" ht="15.75" customHeight="1" x14ac:dyDescent="0.3">
      <c r="L2840" s="6" t="s">
        <v>190</v>
      </c>
      <c r="M2840" s="6" t="s">
        <v>352</v>
      </c>
      <c r="N2840" s="6" t="s">
        <v>160</v>
      </c>
      <c r="O2840" s="6" t="s">
        <v>161</v>
      </c>
      <c r="P2840" s="25" t="s">
        <v>169</v>
      </c>
    </row>
    <row r="2841" spans="12:16" ht="15.75" customHeight="1" x14ac:dyDescent="0.3">
      <c r="L2841" s="6" t="s">
        <v>190</v>
      </c>
      <c r="M2841" s="6" t="s">
        <v>352</v>
      </c>
      <c r="N2841" s="6" t="s">
        <v>162</v>
      </c>
      <c r="O2841" s="6" t="s">
        <v>163</v>
      </c>
      <c r="P2841" s="19">
        <v>0</v>
      </c>
    </row>
    <row r="2842" spans="12:16" ht="15.75" customHeight="1" x14ac:dyDescent="0.3">
      <c r="L2842" s="6" t="s">
        <v>190</v>
      </c>
      <c r="M2842" s="6" t="s">
        <v>352</v>
      </c>
      <c r="N2842" s="6" t="s">
        <v>165</v>
      </c>
      <c r="O2842" s="6" t="s">
        <v>166</v>
      </c>
      <c r="P2842" s="19">
        <v>0</v>
      </c>
    </row>
    <row r="2843" spans="12:16" ht="15.75" customHeight="1" x14ac:dyDescent="0.3">
      <c r="L2843" s="6" t="s">
        <v>190</v>
      </c>
      <c r="M2843" s="6" t="s">
        <v>411</v>
      </c>
      <c r="N2843" s="6" t="s">
        <v>72</v>
      </c>
      <c r="O2843" s="6" t="s">
        <v>75</v>
      </c>
      <c r="P2843" s="19">
        <v>0</v>
      </c>
    </row>
    <row r="2844" spans="12:16" ht="15.75" customHeight="1" x14ac:dyDescent="0.3">
      <c r="L2844" s="6" t="s">
        <v>190</v>
      </c>
      <c r="M2844" s="6" t="s">
        <v>411</v>
      </c>
      <c r="N2844" s="6" t="s">
        <v>83</v>
      </c>
      <c r="O2844" s="6" t="s">
        <v>84</v>
      </c>
      <c r="P2844" s="19">
        <v>0</v>
      </c>
    </row>
    <row r="2845" spans="12:16" ht="15.75" customHeight="1" x14ac:dyDescent="0.3">
      <c r="L2845" s="6" t="s">
        <v>190</v>
      </c>
      <c r="M2845" s="6" t="s">
        <v>411</v>
      </c>
      <c r="N2845" s="6" t="s">
        <v>88</v>
      </c>
      <c r="O2845" s="6" t="s">
        <v>90</v>
      </c>
      <c r="P2845" s="19">
        <v>0</v>
      </c>
    </row>
    <row r="2846" spans="12:16" ht="15.75" customHeight="1" x14ac:dyDescent="0.3">
      <c r="L2846" s="6" t="s">
        <v>190</v>
      </c>
      <c r="M2846" s="6" t="s">
        <v>411</v>
      </c>
      <c r="N2846" s="6" t="s">
        <v>96</v>
      </c>
      <c r="O2846" s="6" t="s">
        <v>97</v>
      </c>
      <c r="P2846" s="19">
        <v>0</v>
      </c>
    </row>
    <row r="2847" spans="12:16" ht="15.75" customHeight="1" x14ac:dyDescent="0.3">
      <c r="L2847" s="6" t="s">
        <v>190</v>
      </c>
      <c r="M2847" s="6" t="s">
        <v>411</v>
      </c>
      <c r="N2847" s="6" t="s">
        <v>100</v>
      </c>
      <c r="O2847" s="6" t="s">
        <v>101</v>
      </c>
      <c r="P2847" s="19">
        <v>0</v>
      </c>
    </row>
    <row r="2848" spans="12:16" ht="15.75" customHeight="1" x14ac:dyDescent="0.3">
      <c r="L2848" s="6" t="s">
        <v>190</v>
      </c>
      <c r="M2848" s="6" t="s">
        <v>411</v>
      </c>
      <c r="N2848" s="6" t="s">
        <v>22</v>
      </c>
      <c r="O2848" s="6" t="s">
        <v>104</v>
      </c>
      <c r="P2848" s="19">
        <v>0</v>
      </c>
    </row>
    <row r="2849" spans="12:16" ht="15.75" customHeight="1" x14ac:dyDescent="0.3">
      <c r="L2849" s="6" t="s">
        <v>190</v>
      </c>
      <c r="M2849" s="6" t="s">
        <v>411</v>
      </c>
      <c r="N2849" s="6" t="s">
        <v>23</v>
      </c>
      <c r="O2849" s="6" t="s">
        <v>107</v>
      </c>
      <c r="P2849" s="25" t="s">
        <v>222</v>
      </c>
    </row>
    <row r="2850" spans="12:16" ht="15.75" customHeight="1" x14ac:dyDescent="0.3">
      <c r="L2850" s="6" t="s">
        <v>190</v>
      </c>
      <c r="M2850" s="6" t="s">
        <v>411</v>
      </c>
      <c r="N2850" s="6" t="s">
        <v>24</v>
      </c>
      <c r="O2850" s="6" t="s">
        <v>109</v>
      </c>
      <c r="P2850" s="25" t="s">
        <v>222</v>
      </c>
    </row>
    <row r="2851" spans="12:16" ht="15.75" customHeight="1" x14ac:dyDescent="0.3">
      <c r="L2851" s="6" t="s">
        <v>190</v>
      </c>
      <c r="M2851" s="6" t="s">
        <v>411</v>
      </c>
      <c r="N2851" s="6" t="s">
        <v>25</v>
      </c>
      <c r="O2851" s="6" t="s">
        <v>111</v>
      </c>
      <c r="P2851" s="19">
        <v>0</v>
      </c>
    </row>
    <row r="2852" spans="12:16" ht="15.75" customHeight="1" x14ac:dyDescent="0.3">
      <c r="L2852" s="6" t="s">
        <v>190</v>
      </c>
      <c r="M2852" s="6" t="s">
        <v>411</v>
      </c>
      <c r="N2852" s="6" t="s">
        <v>26</v>
      </c>
      <c r="O2852" s="6" t="s">
        <v>113</v>
      </c>
      <c r="P2852" s="19">
        <v>0</v>
      </c>
    </row>
    <row r="2853" spans="12:16" ht="15.75" customHeight="1" x14ac:dyDescent="0.3">
      <c r="L2853" s="6" t="s">
        <v>190</v>
      </c>
      <c r="M2853" s="6" t="s">
        <v>411</v>
      </c>
      <c r="N2853" s="6" t="s">
        <v>27</v>
      </c>
      <c r="O2853" s="6" t="s">
        <v>117</v>
      </c>
      <c r="P2853" s="25" t="s">
        <v>222</v>
      </c>
    </row>
    <row r="2854" spans="12:16" ht="15.75" customHeight="1" x14ac:dyDescent="0.3">
      <c r="L2854" s="6" t="s">
        <v>190</v>
      </c>
      <c r="M2854" s="6" t="s">
        <v>411</v>
      </c>
      <c r="N2854" s="6" t="s">
        <v>29</v>
      </c>
      <c r="O2854" s="6" t="s">
        <v>125</v>
      </c>
      <c r="P2854" s="19">
        <v>0</v>
      </c>
    </row>
    <row r="2855" spans="12:16" ht="15.75" customHeight="1" x14ac:dyDescent="0.3">
      <c r="L2855" s="6" t="s">
        <v>190</v>
      </c>
      <c r="M2855" s="6" t="s">
        <v>411</v>
      </c>
      <c r="N2855" s="6" t="s">
        <v>135</v>
      </c>
      <c r="O2855" s="6" t="s">
        <v>136</v>
      </c>
      <c r="P2855" s="19">
        <v>0</v>
      </c>
    </row>
    <row r="2856" spans="12:16" ht="15.75" customHeight="1" x14ac:dyDescent="0.3">
      <c r="L2856" s="6" t="s">
        <v>190</v>
      </c>
      <c r="M2856" s="6" t="s">
        <v>411</v>
      </c>
      <c r="N2856" s="6" t="s">
        <v>138</v>
      </c>
      <c r="O2856" s="6" t="s">
        <v>139</v>
      </c>
      <c r="P2856" s="19">
        <v>0</v>
      </c>
    </row>
    <row r="2857" spans="12:16" ht="15.75" customHeight="1" x14ac:dyDescent="0.3">
      <c r="L2857" s="6" t="s">
        <v>190</v>
      </c>
      <c r="M2857" s="6" t="s">
        <v>411</v>
      </c>
      <c r="N2857" s="6" t="s">
        <v>30</v>
      </c>
      <c r="O2857" s="6" t="s">
        <v>148</v>
      </c>
      <c r="P2857" s="19">
        <v>0</v>
      </c>
    </row>
    <row r="2858" spans="12:16" ht="15.75" customHeight="1" x14ac:dyDescent="0.3">
      <c r="L2858" s="6" t="s">
        <v>190</v>
      </c>
      <c r="M2858" s="6" t="s">
        <v>411</v>
      </c>
      <c r="N2858" s="6" t="s">
        <v>156</v>
      </c>
      <c r="O2858" s="6" t="s">
        <v>157</v>
      </c>
      <c r="P2858" s="25" t="s">
        <v>169</v>
      </c>
    </row>
    <row r="2859" spans="12:16" ht="15.75" customHeight="1" x14ac:dyDescent="0.3">
      <c r="L2859" s="6" t="s">
        <v>190</v>
      </c>
      <c r="M2859" s="6" t="s">
        <v>411</v>
      </c>
      <c r="N2859" s="6" t="s">
        <v>158</v>
      </c>
      <c r="O2859" s="6" t="s">
        <v>159</v>
      </c>
      <c r="P2859" s="19">
        <v>1</v>
      </c>
    </row>
    <row r="2860" spans="12:16" ht="15.75" customHeight="1" x14ac:dyDescent="0.3">
      <c r="L2860" s="6" t="s">
        <v>190</v>
      </c>
      <c r="M2860" s="6" t="s">
        <v>411</v>
      </c>
      <c r="N2860" s="6" t="s">
        <v>160</v>
      </c>
      <c r="O2860" s="6" t="s">
        <v>161</v>
      </c>
      <c r="P2860" s="25" t="s">
        <v>169</v>
      </c>
    </row>
    <row r="2861" spans="12:16" ht="15.75" customHeight="1" x14ac:dyDescent="0.3">
      <c r="L2861" s="6" t="s">
        <v>190</v>
      </c>
      <c r="M2861" s="6" t="s">
        <v>411</v>
      </c>
      <c r="N2861" s="6" t="s">
        <v>162</v>
      </c>
      <c r="O2861" s="6" t="s">
        <v>163</v>
      </c>
      <c r="P2861" s="19">
        <v>0</v>
      </c>
    </row>
    <row r="2862" spans="12:16" ht="15.75" customHeight="1" x14ac:dyDescent="0.3">
      <c r="L2862" s="6" t="s">
        <v>190</v>
      </c>
      <c r="M2862" s="6" t="s">
        <v>411</v>
      </c>
      <c r="N2862" s="6" t="s">
        <v>165</v>
      </c>
      <c r="O2862" s="6" t="s">
        <v>166</v>
      </c>
      <c r="P2862" s="19">
        <v>0</v>
      </c>
    </row>
    <row r="2863" spans="12:16" ht="15.75" customHeight="1" x14ac:dyDescent="0.3">
      <c r="L2863" s="6" t="s">
        <v>190</v>
      </c>
      <c r="M2863" s="6" t="s">
        <v>442</v>
      </c>
      <c r="N2863" s="6" t="s">
        <v>72</v>
      </c>
      <c r="O2863" s="6" t="s">
        <v>75</v>
      </c>
      <c r="P2863" s="19">
        <v>0</v>
      </c>
    </row>
    <row r="2864" spans="12:16" ht="15.75" customHeight="1" x14ac:dyDescent="0.3">
      <c r="L2864" s="6" t="s">
        <v>190</v>
      </c>
      <c r="M2864" s="6" t="s">
        <v>442</v>
      </c>
      <c r="N2864" s="6" t="s">
        <v>83</v>
      </c>
      <c r="O2864" s="6" t="s">
        <v>84</v>
      </c>
      <c r="P2864" s="19">
        <v>0</v>
      </c>
    </row>
    <row r="2865" spans="12:16" ht="15.75" customHeight="1" x14ac:dyDescent="0.3">
      <c r="L2865" s="6" t="s">
        <v>190</v>
      </c>
      <c r="M2865" s="6" t="s">
        <v>442</v>
      </c>
      <c r="N2865" s="6" t="s">
        <v>88</v>
      </c>
      <c r="O2865" s="6" t="s">
        <v>90</v>
      </c>
      <c r="P2865" s="19">
        <v>0</v>
      </c>
    </row>
    <row r="2866" spans="12:16" ht="15.75" customHeight="1" x14ac:dyDescent="0.3">
      <c r="L2866" s="6" t="s">
        <v>190</v>
      </c>
      <c r="M2866" s="6" t="s">
        <v>442</v>
      </c>
      <c r="N2866" s="6" t="s">
        <v>96</v>
      </c>
      <c r="O2866" s="6" t="s">
        <v>97</v>
      </c>
      <c r="P2866" s="19">
        <v>0</v>
      </c>
    </row>
    <row r="2867" spans="12:16" ht="15.75" customHeight="1" x14ac:dyDescent="0.3">
      <c r="L2867" s="6" t="s">
        <v>190</v>
      </c>
      <c r="M2867" s="6" t="s">
        <v>442</v>
      </c>
      <c r="N2867" s="6" t="s">
        <v>100</v>
      </c>
      <c r="O2867" s="6" t="s">
        <v>101</v>
      </c>
      <c r="P2867" s="19">
        <v>0</v>
      </c>
    </row>
    <row r="2868" spans="12:16" ht="15.75" customHeight="1" x14ac:dyDescent="0.3">
      <c r="L2868" s="6" t="s">
        <v>190</v>
      </c>
      <c r="M2868" s="6" t="s">
        <v>442</v>
      </c>
      <c r="N2868" s="6" t="s">
        <v>22</v>
      </c>
      <c r="O2868" s="6" t="s">
        <v>104</v>
      </c>
      <c r="P2868" s="19">
        <v>0</v>
      </c>
    </row>
    <row r="2869" spans="12:16" ht="15.75" customHeight="1" x14ac:dyDescent="0.3">
      <c r="L2869" s="6" t="s">
        <v>190</v>
      </c>
      <c r="M2869" s="6" t="s">
        <v>442</v>
      </c>
      <c r="N2869" s="6" t="s">
        <v>23</v>
      </c>
      <c r="O2869" s="6" t="s">
        <v>107</v>
      </c>
      <c r="P2869" s="25" t="s">
        <v>222</v>
      </c>
    </row>
    <row r="2870" spans="12:16" ht="15.75" customHeight="1" x14ac:dyDescent="0.3">
      <c r="L2870" s="6" t="s">
        <v>190</v>
      </c>
      <c r="M2870" s="6" t="s">
        <v>442</v>
      </c>
      <c r="N2870" s="6" t="s">
        <v>24</v>
      </c>
      <c r="O2870" s="6" t="s">
        <v>109</v>
      </c>
      <c r="P2870" s="25" t="s">
        <v>222</v>
      </c>
    </row>
    <row r="2871" spans="12:16" ht="15.75" customHeight="1" x14ac:dyDescent="0.3">
      <c r="L2871" s="6" t="s">
        <v>190</v>
      </c>
      <c r="M2871" s="6" t="s">
        <v>442</v>
      </c>
      <c r="N2871" s="6" t="s">
        <v>25</v>
      </c>
      <c r="O2871" s="6" t="s">
        <v>111</v>
      </c>
      <c r="P2871" s="19">
        <v>0</v>
      </c>
    </row>
    <row r="2872" spans="12:16" ht="15.75" customHeight="1" x14ac:dyDescent="0.3">
      <c r="L2872" s="6" t="s">
        <v>190</v>
      </c>
      <c r="M2872" s="6" t="s">
        <v>442</v>
      </c>
      <c r="N2872" s="6" t="s">
        <v>26</v>
      </c>
      <c r="O2872" s="6" t="s">
        <v>113</v>
      </c>
      <c r="P2872" s="19">
        <v>0</v>
      </c>
    </row>
    <row r="2873" spans="12:16" ht="15.75" customHeight="1" x14ac:dyDescent="0.3">
      <c r="L2873" s="6" t="s">
        <v>190</v>
      </c>
      <c r="M2873" s="6" t="s">
        <v>442</v>
      </c>
      <c r="N2873" s="6" t="s">
        <v>27</v>
      </c>
      <c r="O2873" s="6" t="s">
        <v>117</v>
      </c>
      <c r="P2873" s="25" t="s">
        <v>222</v>
      </c>
    </row>
    <row r="2874" spans="12:16" ht="15.75" customHeight="1" x14ac:dyDescent="0.3">
      <c r="L2874" s="6" t="s">
        <v>190</v>
      </c>
      <c r="M2874" s="6" t="s">
        <v>442</v>
      </c>
      <c r="N2874" s="6" t="s">
        <v>29</v>
      </c>
      <c r="O2874" s="6" t="s">
        <v>125</v>
      </c>
      <c r="P2874" s="19">
        <v>0</v>
      </c>
    </row>
    <row r="2875" spans="12:16" ht="15.75" customHeight="1" x14ac:dyDescent="0.3">
      <c r="L2875" s="6" t="s">
        <v>190</v>
      </c>
      <c r="M2875" s="6" t="s">
        <v>442</v>
      </c>
      <c r="N2875" s="6" t="s">
        <v>135</v>
      </c>
      <c r="O2875" s="6" t="s">
        <v>136</v>
      </c>
      <c r="P2875" s="19">
        <v>0</v>
      </c>
    </row>
    <row r="2876" spans="12:16" ht="15.75" customHeight="1" x14ac:dyDescent="0.3">
      <c r="L2876" s="6" t="s">
        <v>190</v>
      </c>
      <c r="M2876" s="6" t="s">
        <v>442</v>
      </c>
      <c r="N2876" s="6" t="s">
        <v>138</v>
      </c>
      <c r="O2876" s="6" t="s">
        <v>139</v>
      </c>
      <c r="P2876" s="19">
        <v>0</v>
      </c>
    </row>
    <row r="2877" spans="12:16" ht="15.75" customHeight="1" x14ac:dyDescent="0.3">
      <c r="L2877" s="6" t="s">
        <v>190</v>
      </c>
      <c r="M2877" s="6" t="s">
        <v>442</v>
      </c>
      <c r="N2877" s="6" t="s">
        <v>30</v>
      </c>
      <c r="O2877" s="6" t="s">
        <v>148</v>
      </c>
      <c r="P2877" s="19">
        <v>0</v>
      </c>
    </row>
    <row r="2878" spans="12:16" ht="15.75" customHeight="1" x14ac:dyDescent="0.3">
      <c r="L2878" s="6" t="s">
        <v>190</v>
      </c>
      <c r="M2878" s="6" t="s">
        <v>442</v>
      </c>
      <c r="N2878" s="6" t="s">
        <v>156</v>
      </c>
      <c r="O2878" s="6" t="s">
        <v>157</v>
      </c>
      <c r="P2878" s="25" t="s">
        <v>169</v>
      </c>
    </row>
    <row r="2879" spans="12:16" ht="15.75" customHeight="1" x14ac:dyDescent="0.3">
      <c r="L2879" s="6" t="s">
        <v>190</v>
      </c>
      <c r="M2879" s="6" t="s">
        <v>442</v>
      </c>
      <c r="N2879" s="6" t="s">
        <v>158</v>
      </c>
      <c r="O2879" s="6" t="s">
        <v>159</v>
      </c>
      <c r="P2879" s="19">
        <v>1</v>
      </c>
    </row>
    <row r="2880" spans="12:16" ht="15.75" customHeight="1" x14ac:dyDescent="0.3">
      <c r="L2880" s="6" t="s">
        <v>190</v>
      </c>
      <c r="M2880" s="6" t="s">
        <v>442</v>
      </c>
      <c r="N2880" s="6" t="s">
        <v>160</v>
      </c>
      <c r="O2880" s="6" t="s">
        <v>161</v>
      </c>
      <c r="P2880" s="25" t="s">
        <v>169</v>
      </c>
    </row>
    <row r="2881" spans="12:16" ht="15.75" customHeight="1" x14ac:dyDescent="0.3">
      <c r="L2881" s="6" t="s">
        <v>190</v>
      </c>
      <c r="M2881" s="6" t="s">
        <v>442</v>
      </c>
      <c r="N2881" s="6" t="s">
        <v>162</v>
      </c>
      <c r="O2881" s="6" t="s">
        <v>163</v>
      </c>
      <c r="P2881" s="19">
        <v>0</v>
      </c>
    </row>
    <row r="2882" spans="12:16" ht="15.75" customHeight="1" x14ac:dyDescent="0.3">
      <c r="L2882" s="6" t="s">
        <v>190</v>
      </c>
      <c r="M2882" s="6" t="s">
        <v>442</v>
      </c>
      <c r="N2882" s="6" t="s">
        <v>165</v>
      </c>
      <c r="O2882" s="6" t="s">
        <v>166</v>
      </c>
      <c r="P2882" s="19">
        <v>0</v>
      </c>
    </row>
    <row r="2883" spans="12:16" ht="15.75" customHeight="1" x14ac:dyDescent="0.3">
      <c r="L2883" s="6" t="s">
        <v>190</v>
      </c>
      <c r="M2883" s="6" t="s">
        <v>354</v>
      </c>
      <c r="N2883" s="6" t="s">
        <v>72</v>
      </c>
      <c r="O2883" s="6" t="s">
        <v>75</v>
      </c>
      <c r="P2883" s="19">
        <v>0</v>
      </c>
    </row>
    <row r="2884" spans="12:16" ht="15.75" customHeight="1" x14ac:dyDescent="0.3">
      <c r="L2884" s="6" t="s">
        <v>190</v>
      </c>
      <c r="M2884" s="6" t="s">
        <v>354</v>
      </c>
      <c r="N2884" s="6" t="s">
        <v>83</v>
      </c>
      <c r="O2884" s="6" t="s">
        <v>84</v>
      </c>
      <c r="P2884" s="19">
        <v>0</v>
      </c>
    </row>
    <row r="2885" spans="12:16" ht="15.75" customHeight="1" x14ac:dyDescent="0.3">
      <c r="L2885" s="6" t="s">
        <v>190</v>
      </c>
      <c r="M2885" s="6" t="s">
        <v>354</v>
      </c>
      <c r="N2885" s="6" t="s">
        <v>88</v>
      </c>
      <c r="O2885" s="6" t="s">
        <v>90</v>
      </c>
      <c r="P2885" s="19">
        <v>0</v>
      </c>
    </row>
    <row r="2886" spans="12:16" ht="15.75" customHeight="1" x14ac:dyDescent="0.3">
      <c r="L2886" s="6" t="s">
        <v>190</v>
      </c>
      <c r="M2886" s="6" t="s">
        <v>354</v>
      </c>
      <c r="N2886" s="6" t="s">
        <v>96</v>
      </c>
      <c r="O2886" s="6" t="s">
        <v>97</v>
      </c>
      <c r="P2886" s="19">
        <v>0</v>
      </c>
    </row>
    <row r="2887" spans="12:16" ht="15.75" customHeight="1" x14ac:dyDescent="0.3">
      <c r="L2887" s="6" t="s">
        <v>190</v>
      </c>
      <c r="M2887" s="6" t="s">
        <v>354</v>
      </c>
      <c r="N2887" s="6" t="s">
        <v>100</v>
      </c>
      <c r="O2887" s="6" t="s">
        <v>101</v>
      </c>
      <c r="P2887" s="19">
        <v>0</v>
      </c>
    </row>
    <row r="2888" spans="12:16" ht="15.75" customHeight="1" x14ac:dyDescent="0.3">
      <c r="L2888" s="6" t="s">
        <v>190</v>
      </c>
      <c r="M2888" s="6" t="s">
        <v>354</v>
      </c>
      <c r="N2888" s="6" t="s">
        <v>22</v>
      </c>
      <c r="O2888" s="6" t="s">
        <v>104</v>
      </c>
      <c r="P2888" s="19">
        <v>0</v>
      </c>
    </row>
    <row r="2889" spans="12:16" ht="15.75" customHeight="1" x14ac:dyDescent="0.3">
      <c r="L2889" s="6" t="s">
        <v>190</v>
      </c>
      <c r="M2889" s="6" t="s">
        <v>354</v>
      </c>
      <c r="N2889" s="6" t="s">
        <v>23</v>
      </c>
      <c r="O2889" s="6" t="s">
        <v>107</v>
      </c>
      <c r="P2889" s="19">
        <v>0</v>
      </c>
    </row>
    <row r="2890" spans="12:16" ht="15.75" customHeight="1" x14ac:dyDescent="0.3">
      <c r="L2890" s="6" t="s">
        <v>190</v>
      </c>
      <c r="M2890" s="6" t="s">
        <v>354</v>
      </c>
      <c r="N2890" s="6" t="s">
        <v>24</v>
      </c>
      <c r="O2890" s="6" t="s">
        <v>109</v>
      </c>
      <c r="P2890" s="19">
        <v>0</v>
      </c>
    </row>
    <row r="2891" spans="12:16" ht="15.75" customHeight="1" x14ac:dyDescent="0.3">
      <c r="L2891" s="6" t="s">
        <v>190</v>
      </c>
      <c r="M2891" s="6" t="s">
        <v>354</v>
      </c>
      <c r="N2891" s="6" t="s">
        <v>25</v>
      </c>
      <c r="O2891" s="6" t="s">
        <v>111</v>
      </c>
      <c r="P2891" s="19">
        <v>1</v>
      </c>
    </row>
    <row r="2892" spans="12:16" ht="15.75" customHeight="1" x14ac:dyDescent="0.3">
      <c r="L2892" s="6" t="s">
        <v>190</v>
      </c>
      <c r="M2892" s="6" t="s">
        <v>354</v>
      </c>
      <c r="N2892" s="6" t="s">
        <v>26</v>
      </c>
      <c r="O2892" s="6" t="s">
        <v>113</v>
      </c>
      <c r="P2892" s="19">
        <v>1</v>
      </c>
    </row>
    <row r="2893" spans="12:16" ht="15.75" customHeight="1" x14ac:dyDescent="0.3">
      <c r="L2893" s="6" t="s">
        <v>190</v>
      </c>
      <c r="M2893" s="6" t="s">
        <v>354</v>
      </c>
      <c r="N2893" s="6" t="s">
        <v>27</v>
      </c>
      <c r="O2893" s="6" t="s">
        <v>117</v>
      </c>
      <c r="P2893" s="19">
        <v>0</v>
      </c>
    </row>
    <row r="2894" spans="12:16" ht="15.75" customHeight="1" x14ac:dyDescent="0.3">
      <c r="L2894" s="6" t="s">
        <v>190</v>
      </c>
      <c r="M2894" s="6" t="s">
        <v>354</v>
      </c>
      <c r="N2894" s="6" t="s">
        <v>29</v>
      </c>
      <c r="O2894" s="6" t="s">
        <v>125</v>
      </c>
      <c r="P2894" s="19">
        <v>0</v>
      </c>
    </row>
    <row r="2895" spans="12:16" ht="15.75" customHeight="1" x14ac:dyDescent="0.3">
      <c r="L2895" s="6" t="s">
        <v>190</v>
      </c>
      <c r="M2895" s="6" t="s">
        <v>354</v>
      </c>
      <c r="N2895" s="6" t="s">
        <v>135</v>
      </c>
      <c r="O2895" s="6" t="s">
        <v>136</v>
      </c>
      <c r="P2895" s="19">
        <v>0</v>
      </c>
    </row>
    <row r="2896" spans="12:16" ht="15.75" customHeight="1" x14ac:dyDescent="0.3">
      <c r="L2896" s="6" t="s">
        <v>190</v>
      </c>
      <c r="M2896" s="6" t="s">
        <v>354</v>
      </c>
      <c r="N2896" s="6" t="s">
        <v>138</v>
      </c>
      <c r="O2896" s="6" t="s">
        <v>139</v>
      </c>
      <c r="P2896" s="19">
        <v>0</v>
      </c>
    </row>
    <row r="2897" spans="12:16" ht="15.75" customHeight="1" x14ac:dyDescent="0.3">
      <c r="L2897" s="6" t="s">
        <v>190</v>
      </c>
      <c r="M2897" s="6" t="s">
        <v>354</v>
      </c>
      <c r="N2897" s="6" t="s">
        <v>30</v>
      </c>
      <c r="O2897" s="6" t="s">
        <v>148</v>
      </c>
      <c r="P2897" s="19">
        <v>0</v>
      </c>
    </row>
    <row r="2898" spans="12:16" ht="15.75" customHeight="1" x14ac:dyDescent="0.3">
      <c r="L2898" s="6" t="s">
        <v>190</v>
      </c>
      <c r="M2898" s="6" t="s">
        <v>354</v>
      </c>
      <c r="N2898" s="6" t="s">
        <v>156</v>
      </c>
      <c r="O2898" s="6" t="s">
        <v>157</v>
      </c>
      <c r="P2898" s="25" t="s">
        <v>169</v>
      </c>
    </row>
    <row r="2899" spans="12:16" ht="15.75" customHeight="1" x14ac:dyDescent="0.3">
      <c r="L2899" s="6" t="s">
        <v>190</v>
      </c>
      <c r="M2899" s="6" t="s">
        <v>354</v>
      </c>
      <c r="N2899" s="6" t="s">
        <v>158</v>
      </c>
      <c r="O2899" s="6" t="s">
        <v>159</v>
      </c>
      <c r="P2899" s="19">
        <v>1</v>
      </c>
    </row>
    <row r="2900" spans="12:16" ht="15.75" customHeight="1" x14ac:dyDescent="0.3">
      <c r="L2900" s="6" t="s">
        <v>190</v>
      </c>
      <c r="M2900" s="6" t="s">
        <v>354</v>
      </c>
      <c r="N2900" s="6" t="s">
        <v>160</v>
      </c>
      <c r="O2900" s="6" t="s">
        <v>161</v>
      </c>
      <c r="P2900" s="25" t="s">
        <v>169</v>
      </c>
    </row>
    <row r="2901" spans="12:16" ht="15.75" customHeight="1" x14ac:dyDescent="0.3">
      <c r="L2901" s="6" t="s">
        <v>190</v>
      </c>
      <c r="M2901" s="6" t="s">
        <v>354</v>
      </c>
      <c r="N2901" s="6" t="s">
        <v>162</v>
      </c>
      <c r="O2901" s="6" t="s">
        <v>163</v>
      </c>
      <c r="P2901" s="19">
        <v>0</v>
      </c>
    </row>
    <row r="2902" spans="12:16" ht="15.75" customHeight="1" x14ac:dyDescent="0.3">
      <c r="L2902" s="6" t="s">
        <v>190</v>
      </c>
      <c r="M2902" s="6" t="s">
        <v>354</v>
      </c>
      <c r="N2902" s="6" t="s">
        <v>165</v>
      </c>
      <c r="O2902" s="6" t="s">
        <v>166</v>
      </c>
      <c r="P2902" s="19">
        <v>0</v>
      </c>
    </row>
    <row r="2903" spans="12:16" ht="15.75" customHeight="1" x14ac:dyDescent="0.3">
      <c r="L2903" s="6" t="s">
        <v>190</v>
      </c>
      <c r="M2903" s="6" t="s">
        <v>444</v>
      </c>
      <c r="N2903" s="6" t="s">
        <v>72</v>
      </c>
      <c r="O2903" s="6" t="s">
        <v>75</v>
      </c>
      <c r="P2903" s="19">
        <v>0</v>
      </c>
    </row>
    <row r="2904" spans="12:16" ht="15.75" customHeight="1" x14ac:dyDescent="0.3">
      <c r="L2904" s="6" t="s">
        <v>190</v>
      </c>
      <c r="M2904" s="6" t="s">
        <v>444</v>
      </c>
      <c r="N2904" s="6" t="s">
        <v>83</v>
      </c>
      <c r="O2904" s="6" t="s">
        <v>84</v>
      </c>
      <c r="P2904" s="19">
        <v>0</v>
      </c>
    </row>
    <row r="2905" spans="12:16" ht="15.75" customHeight="1" x14ac:dyDescent="0.3">
      <c r="L2905" s="6" t="s">
        <v>190</v>
      </c>
      <c r="M2905" s="6" t="s">
        <v>444</v>
      </c>
      <c r="N2905" s="6" t="s">
        <v>88</v>
      </c>
      <c r="O2905" s="6" t="s">
        <v>90</v>
      </c>
      <c r="P2905" s="19">
        <v>0</v>
      </c>
    </row>
    <row r="2906" spans="12:16" ht="15.75" customHeight="1" x14ac:dyDescent="0.3">
      <c r="L2906" s="6" t="s">
        <v>190</v>
      </c>
      <c r="M2906" s="6" t="s">
        <v>444</v>
      </c>
      <c r="N2906" s="6" t="s">
        <v>96</v>
      </c>
      <c r="O2906" s="6" t="s">
        <v>97</v>
      </c>
      <c r="P2906" s="19">
        <v>0</v>
      </c>
    </row>
    <row r="2907" spans="12:16" ht="15.75" customHeight="1" x14ac:dyDescent="0.3">
      <c r="L2907" s="6" t="s">
        <v>190</v>
      </c>
      <c r="M2907" s="6" t="s">
        <v>444</v>
      </c>
      <c r="N2907" s="6" t="s">
        <v>100</v>
      </c>
      <c r="O2907" s="6" t="s">
        <v>101</v>
      </c>
      <c r="P2907" s="19">
        <v>0</v>
      </c>
    </row>
    <row r="2908" spans="12:16" ht="15.75" customHeight="1" x14ac:dyDescent="0.3">
      <c r="L2908" s="6" t="s">
        <v>190</v>
      </c>
      <c r="M2908" s="6" t="s">
        <v>444</v>
      </c>
      <c r="N2908" s="6" t="s">
        <v>22</v>
      </c>
      <c r="O2908" s="6" t="s">
        <v>104</v>
      </c>
      <c r="P2908" s="19">
        <v>0</v>
      </c>
    </row>
    <row r="2909" spans="12:16" ht="15.75" customHeight="1" x14ac:dyDescent="0.3">
      <c r="L2909" s="6" t="s">
        <v>190</v>
      </c>
      <c r="M2909" s="6" t="s">
        <v>444</v>
      </c>
      <c r="N2909" s="6" t="s">
        <v>23</v>
      </c>
      <c r="O2909" s="6" t="s">
        <v>107</v>
      </c>
      <c r="P2909" s="25" t="s">
        <v>222</v>
      </c>
    </row>
    <row r="2910" spans="12:16" ht="15.75" customHeight="1" x14ac:dyDescent="0.3">
      <c r="L2910" s="6" t="s">
        <v>190</v>
      </c>
      <c r="M2910" s="6" t="s">
        <v>444</v>
      </c>
      <c r="N2910" s="6" t="s">
        <v>24</v>
      </c>
      <c r="O2910" s="6" t="s">
        <v>109</v>
      </c>
      <c r="P2910" s="25" t="s">
        <v>222</v>
      </c>
    </row>
    <row r="2911" spans="12:16" ht="15.75" customHeight="1" x14ac:dyDescent="0.3">
      <c r="L2911" s="6" t="s">
        <v>190</v>
      </c>
      <c r="M2911" s="6" t="s">
        <v>444</v>
      </c>
      <c r="N2911" s="6" t="s">
        <v>25</v>
      </c>
      <c r="O2911" s="6" t="s">
        <v>111</v>
      </c>
      <c r="P2911" s="19">
        <v>0</v>
      </c>
    </row>
    <row r="2912" spans="12:16" ht="15.75" customHeight="1" x14ac:dyDescent="0.3">
      <c r="L2912" s="6" t="s">
        <v>190</v>
      </c>
      <c r="M2912" s="6" t="s">
        <v>444</v>
      </c>
      <c r="N2912" s="6" t="s">
        <v>26</v>
      </c>
      <c r="O2912" s="6" t="s">
        <v>113</v>
      </c>
      <c r="P2912" s="19">
        <v>0</v>
      </c>
    </row>
    <row r="2913" spans="12:16" ht="15.75" customHeight="1" x14ac:dyDescent="0.3">
      <c r="L2913" s="6" t="s">
        <v>190</v>
      </c>
      <c r="M2913" s="6" t="s">
        <v>444</v>
      </c>
      <c r="N2913" s="6" t="s">
        <v>27</v>
      </c>
      <c r="O2913" s="6" t="s">
        <v>117</v>
      </c>
      <c r="P2913" s="25" t="s">
        <v>222</v>
      </c>
    </row>
    <row r="2914" spans="12:16" ht="15.75" customHeight="1" x14ac:dyDescent="0.3">
      <c r="L2914" s="6" t="s">
        <v>190</v>
      </c>
      <c r="M2914" s="6" t="s">
        <v>444</v>
      </c>
      <c r="N2914" s="6" t="s">
        <v>29</v>
      </c>
      <c r="O2914" s="6" t="s">
        <v>125</v>
      </c>
      <c r="P2914" s="19">
        <v>0</v>
      </c>
    </row>
    <row r="2915" spans="12:16" ht="15.75" customHeight="1" x14ac:dyDescent="0.3">
      <c r="L2915" s="6" t="s">
        <v>190</v>
      </c>
      <c r="M2915" s="6" t="s">
        <v>444</v>
      </c>
      <c r="N2915" s="6" t="s">
        <v>135</v>
      </c>
      <c r="O2915" s="6" t="s">
        <v>136</v>
      </c>
      <c r="P2915" s="19">
        <v>0</v>
      </c>
    </row>
    <row r="2916" spans="12:16" ht="15.75" customHeight="1" x14ac:dyDescent="0.3">
      <c r="L2916" s="6" t="s">
        <v>190</v>
      </c>
      <c r="M2916" s="6" t="s">
        <v>444</v>
      </c>
      <c r="N2916" s="6" t="s">
        <v>138</v>
      </c>
      <c r="O2916" s="6" t="s">
        <v>139</v>
      </c>
      <c r="P2916" s="19">
        <v>0</v>
      </c>
    </row>
    <row r="2917" spans="12:16" ht="15.75" customHeight="1" x14ac:dyDescent="0.3">
      <c r="L2917" s="6" t="s">
        <v>190</v>
      </c>
      <c r="M2917" s="6" t="s">
        <v>444</v>
      </c>
      <c r="N2917" s="6" t="s">
        <v>30</v>
      </c>
      <c r="O2917" s="6" t="s">
        <v>148</v>
      </c>
      <c r="P2917" s="19">
        <v>0</v>
      </c>
    </row>
    <row r="2918" spans="12:16" ht="15.75" customHeight="1" x14ac:dyDescent="0.3">
      <c r="L2918" s="6" t="s">
        <v>190</v>
      </c>
      <c r="M2918" s="6" t="s">
        <v>444</v>
      </c>
      <c r="N2918" s="6" t="s">
        <v>156</v>
      </c>
      <c r="O2918" s="6" t="s">
        <v>157</v>
      </c>
      <c r="P2918" s="25" t="s">
        <v>169</v>
      </c>
    </row>
    <row r="2919" spans="12:16" ht="15.75" customHeight="1" x14ac:dyDescent="0.3">
      <c r="L2919" s="6" t="s">
        <v>190</v>
      </c>
      <c r="M2919" s="6" t="s">
        <v>444</v>
      </c>
      <c r="N2919" s="6" t="s">
        <v>158</v>
      </c>
      <c r="O2919" s="6" t="s">
        <v>159</v>
      </c>
      <c r="P2919" s="19">
        <v>1</v>
      </c>
    </row>
    <row r="2920" spans="12:16" ht="15.75" customHeight="1" x14ac:dyDescent="0.3">
      <c r="L2920" s="6" t="s">
        <v>190</v>
      </c>
      <c r="M2920" s="6" t="s">
        <v>444</v>
      </c>
      <c r="N2920" s="6" t="s">
        <v>160</v>
      </c>
      <c r="O2920" s="6" t="s">
        <v>161</v>
      </c>
      <c r="P2920" s="25" t="s">
        <v>169</v>
      </c>
    </row>
    <row r="2921" spans="12:16" ht="15.75" customHeight="1" x14ac:dyDescent="0.3">
      <c r="L2921" s="6" t="s">
        <v>190</v>
      </c>
      <c r="M2921" s="6" t="s">
        <v>444</v>
      </c>
      <c r="N2921" s="6" t="s">
        <v>162</v>
      </c>
      <c r="O2921" s="6" t="s">
        <v>163</v>
      </c>
      <c r="P2921" s="19">
        <v>0</v>
      </c>
    </row>
    <row r="2922" spans="12:16" ht="15.75" customHeight="1" x14ac:dyDescent="0.3">
      <c r="L2922" s="6" t="s">
        <v>190</v>
      </c>
      <c r="M2922" s="6" t="s">
        <v>444</v>
      </c>
      <c r="N2922" s="6" t="s">
        <v>165</v>
      </c>
      <c r="O2922" s="6" t="s">
        <v>166</v>
      </c>
      <c r="P2922" s="19">
        <v>0</v>
      </c>
    </row>
    <row r="2923" spans="12:16" ht="15.75" customHeight="1" x14ac:dyDescent="0.3">
      <c r="L2923" s="6" t="s">
        <v>190</v>
      </c>
      <c r="M2923" s="6" t="s">
        <v>356</v>
      </c>
      <c r="N2923" s="6" t="s">
        <v>72</v>
      </c>
      <c r="O2923" s="6" t="s">
        <v>75</v>
      </c>
      <c r="P2923" s="19">
        <v>0</v>
      </c>
    </row>
    <row r="2924" spans="12:16" ht="15.75" customHeight="1" x14ac:dyDescent="0.3">
      <c r="L2924" s="6" t="s">
        <v>190</v>
      </c>
      <c r="M2924" s="6" t="s">
        <v>356</v>
      </c>
      <c r="N2924" s="6" t="s">
        <v>83</v>
      </c>
      <c r="O2924" s="6" t="s">
        <v>84</v>
      </c>
      <c r="P2924" s="19">
        <v>0</v>
      </c>
    </row>
    <row r="2925" spans="12:16" ht="15.75" customHeight="1" x14ac:dyDescent="0.3">
      <c r="L2925" s="6" t="s">
        <v>190</v>
      </c>
      <c r="M2925" s="6" t="s">
        <v>356</v>
      </c>
      <c r="N2925" s="6" t="s">
        <v>88</v>
      </c>
      <c r="O2925" s="6" t="s">
        <v>90</v>
      </c>
      <c r="P2925" s="19">
        <v>0</v>
      </c>
    </row>
    <row r="2926" spans="12:16" ht="15.75" customHeight="1" x14ac:dyDescent="0.3">
      <c r="L2926" s="6" t="s">
        <v>190</v>
      </c>
      <c r="M2926" s="6" t="s">
        <v>356</v>
      </c>
      <c r="N2926" s="6" t="s">
        <v>96</v>
      </c>
      <c r="O2926" s="6" t="s">
        <v>97</v>
      </c>
      <c r="P2926" s="19">
        <v>0</v>
      </c>
    </row>
    <row r="2927" spans="12:16" ht="15.75" customHeight="1" x14ac:dyDescent="0.3">
      <c r="L2927" s="6" t="s">
        <v>190</v>
      </c>
      <c r="M2927" s="6" t="s">
        <v>356</v>
      </c>
      <c r="N2927" s="6" t="s">
        <v>100</v>
      </c>
      <c r="O2927" s="6" t="s">
        <v>101</v>
      </c>
      <c r="P2927" s="19">
        <v>0</v>
      </c>
    </row>
    <row r="2928" spans="12:16" ht="15.75" customHeight="1" x14ac:dyDescent="0.3">
      <c r="L2928" s="6" t="s">
        <v>190</v>
      </c>
      <c r="M2928" s="6" t="s">
        <v>356</v>
      </c>
      <c r="N2928" s="6" t="s">
        <v>22</v>
      </c>
      <c r="O2928" s="6" t="s">
        <v>104</v>
      </c>
      <c r="P2928" s="19">
        <v>0</v>
      </c>
    </row>
    <row r="2929" spans="12:16" ht="15.75" customHeight="1" x14ac:dyDescent="0.3">
      <c r="L2929" s="6" t="s">
        <v>190</v>
      </c>
      <c r="M2929" s="6" t="s">
        <v>356</v>
      </c>
      <c r="N2929" s="6" t="s">
        <v>23</v>
      </c>
      <c r="O2929" s="6" t="s">
        <v>107</v>
      </c>
      <c r="P2929" s="19">
        <v>0</v>
      </c>
    </row>
    <row r="2930" spans="12:16" ht="15.75" customHeight="1" x14ac:dyDescent="0.3">
      <c r="L2930" s="6" t="s">
        <v>190</v>
      </c>
      <c r="M2930" s="6" t="s">
        <v>356</v>
      </c>
      <c r="N2930" s="6" t="s">
        <v>24</v>
      </c>
      <c r="O2930" s="6" t="s">
        <v>109</v>
      </c>
      <c r="P2930" s="19">
        <v>0</v>
      </c>
    </row>
    <row r="2931" spans="12:16" ht="15.75" customHeight="1" x14ac:dyDescent="0.3">
      <c r="L2931" s="6" t="s">
        <v>190</v>
      </c>
      <c r="M2931" s="6" t="s">
        <v>356</v>
      </c>
      <c r="N2931" s="6" t="s">
        <v>25</v>
      </c>
      <c r="O2931" s="6" t="s">
        <v>111</v>
      </c>
      <c r="P2931" s="19">
        <v>1</v>
      </c>
    </row>
    <row r="2932" spans="12:16" ht="15.75" customHeight="1" x14ac:dyDescent="0.3">
      <c r="L2932" s="6" t="s">
        <v>190</v>
      </c>
      <c r="M2932" s="6" t="s">
        <v>356</v>
      </c>
      <c r="N2932" s="6" t="s">
        <v>26</v>
      </c>
      <c r="O2932" s="6" t="s">
        <v>113</v>
      </c>
      <c r="P2932" s="19">
        <v>1</v>
      </c>
    </row>
    <row r="2933" spans="12:16" ht="15.75" customHeight="1" x14ac:dyDescent="0.3">
      <c r="L2933" s="6" t="s">
        <v>190</v>
      </c>
      <c r="M2933" s="6" t="s">
        <v>356</v>
      </c>
      <c r="N2933" s="6" t="s">
        <v>27</v>
      </c>
      <c r="O2933" s="6" t="s">
        <v>117</v>
      </c>
      <c r="P2933" s="19">
        <v>0</v>
      </c>
    </row>
    <row r="2934" spans="12:16" ht="15.75" customHeight="1" x14ac:dyDescent="0.3">
      <c r="L2934" s="6" t="s">
        <v>190</v>
      </c>
      <c r="M2934" s="6" t="s">
        <v>356</v>
      </c>
      <c r="N2934" s="6" t="s">
        <v>29</v>
      </c>
      <c r="O2934" s="6" t="s">
        <v>125</v>
      </c>
      <c r="P2934" s="19">
        <v>0</v>
      </c>
    </row>
    <row r="2935" spans="12:16" ht="15.75" customHeight="1" x14ac:dyDescent="0.3">
      <c r="L2935" s="6" t="s">
        <v>190</v>
      </c>
      <c r="M2935" s="6" t="s">
        <v>356</v>
      </c>
      <c r="N2935" s="6" t="s">
        <v>135</v>
      </c>
      <c r="O2935" s="6" t="s">
        <v>136</v>
      </c>
      <c r="P2935" s="19">
        <v>0</v>
      </c>
    </row>
    <row r="2936" spans="12:16" ht="15.75" customHeight="1" x14ac:dyDescent="0.3">
      <c r="L2936" s="6" t="s">
        <v>190</v>
      </c>
      <c r="M2936" s="6" t="s">
        <v>356</v>
      </c>
      <c r="N2936" s="6" t="s">
        <v>138</v>
      </c>
      <c r="O2936" s="6" t="s">
        <v>139</v>
      </c>
      <c r="P2936" s="19">
        <v>0</v>
      </c>
    </row>
    <row r="2937" spans="12:16" ht="15.75" customHeight="1" x14ac:dyDescent="0.3">
      <c r="L2937" s="6" t="s">
        <v>190</v>
      </c>
      <c r="M2937" s="6" t="s">
        <v>356</v>
      </c>
      <c r="N2937" s="6" t="s">
        <v>30</v>
      </c>
      <c r="O2937" s="6" t="s">
        <v>148</v>
      </c>
      <c r="P2937" s="19">
        <v>0</v>
      </c>
    </row>
    <row r="2938" spans="12:16" ht="15.75" customHeight="1" x14ac:dyDescent="0.3">
      <c r="L2938" s="6" t="s">
        <v>190</v>
      </c>
      <c r="M2938" s="6" t="s">
        <v>356</v>
      </c>
      <c r="N2938" s="6" t="s">
        <v>156</v>
      </c>
      <c r="O2938" s="6" t="s">
        <v>157</v>
      </c>
      <c r="P2938" s="25" t="s">
        <v>169</v>
      </c>
    </row>
    <row r="2939" spans="12:16" ht="15.75" customHeight="1" x14ac:dyDescent="0.3">
      <c r="L2939" s="6" t="s">
        <v>190</v>
      </c>
      <c r="M2939" s="6" t="s">
        <v>356</v>
      </c>
      <c r="N2939" s="6" t="s">
        <v>158</v>
      </c>
      <c r="O2939" s="6" t="s">
        <v>159</v>
      </c>
      <c r="P2939" s="19">
        <v>1</v>
      </c>
    </row>
    <row r="2940" spans="12:16" ht="15.75" customHeight="1" x14ac:dyDescent="0.3">
      <c r="L2940" s="6" t="s">
        <v>190</v>
      </c>
      <c r="M2940" s="6" t="s">
        <v>356</v>
      </c>
      <c r="N2940" s="6" t="s">
        <v>160</v>
      </c>
      <c r="O2940" s="6" t="s">
        <v>161</v>
      </c>
      <c r="P2940" s="25" t="s">
        <v>169</v>
      </c>
    </row>
    <row r="2941" spans="12:16" ht="15.75" customHeight="1" x14ac:dyDescent="0.3">
      <c r="L2941" s="6" t="s">
        <v>190</v>
      </c>
      <c r="M2941" s="6" t="s">
        <v>356</v>
      </c>
      <c r="N2941" s="6" t="s">
        <v>162</v>
      </c>
      <c r="O2941" s="6" t="s">
        <v>163</v>
      </c>
      <c r="P2941" s="19">
        <v>0</v>
      </c>
    </row>
    <row r="2942" spans="12:16" ht="15.75" customHeight="1" x14ac:dyDescent="0.3">
      <c r="L2942" s="6" t="s">
        <v>190</v>
      </c>
      <c r="M2942" s="6" t="s">
        <v>356</v>
      </c>
      <c r="N2942" s="6" t="s">
        <v>165</v>
      </c>
      <c r="O2942" s="6" t="s">
        <v>166</v>
      </c>
      <c r="P2942" s="19">
        <v>0</v>
      </c>
    </row>
    <row r="2943" spans="12:16" ht="15.75" customHeight="1" x14ac:dyDescent="0.3">
      <c r="L2943" s="6" t="s">
        <v>190</v>
      </c>
      <c r="M2943" s="6" t="s">
        <v>323</v>
      </c>
      <c r="N2943" s="6" t="s">
        <v>72</v>
      </c>
      <c r="O2943" s="6" t="s">
        <v>75</v>
      </c>
      <c r="P2943" s="19">
        <v>0</v>
      </c>
    </row>
    <row r="2944" spans="12:16" ht="15.75" customHeight="1" x14ac:dyDescent="0.3">
      <c r="L2944" s="6" t="s">
        <v>190</v>
      </c>
      <c r="M2944" s="6" t="s">
        <v>323</v>
      </c>
      <c r="N2944" s="6" t="s">
        <v>83</v>
      </c>
      <c r="O2944" s="6" t="s">
        <v>84</v>
      </c>
      <c r="P2944" s="19">
        <v>0</v>
      </c>
    </row>
    <row r="2945" spans="12:16" ht="15.75" customHeight="1" x14ac:dyDescent="0.3">
      <c r="L2945" s="6" t="s">
        <v>190</v>
      </c>
      <c r="M2945" s="6" t="s">
        <v>323</v>
      </c>
      <c r="N2945" s="6" t="s">
        <v>88</v>
      </c>
      <c r="O2945" s="6" t="s">
        <v>90</v>
      </c>
      <c r="P2945" s="19">
        <v>0</v>
      </c>
    </row>
    <row r="2946" spans="12:16" ht="15.75" customHeight="1" x14ac:dyDescent="0.3">
      <c r="L2946" s="6" t="s">
        <v>190</v>
      </c>
      <c r="M2946" s="6" t="s">
        <v>323</v>
      </c>
      <c r="N2946" s="6" t="s">
        <v>96</v>
      </c>
      <c r="O2946" s="6" t="s">
        <v>97</v>
      </c>
      <c r="P2946" s="19">
        <v>0</v>
      </c>
    </row>
    <row r="2947" spans="12:16" ht="15.75" customHeight="1" x14ac:dyDescent="0.3">
      <c r="L2947" s="6" t="s">
        <v>190</v>
      </c>
      <c r="M2947" s="6" t="s">
        <v>323</v>
      </c>
      <c r="N2947" s="6" t="s">
        <v>100</v>
      </c>
      <c r="O2947" s="6" t="s">
        <v>101</v>
      </c>
      <c r="P2947" s="19">
        <v>0</v>
      </c>
    </row>
    <row r="2948" spans="12:16" ht="15.75" customHeight="1" x14ac:dyDescent="0.3">
      <c r="L2948" s="6" t="s">
        <v>190</v>
      </c>
      <c r="M2948" s="6" t="s">
        <v>323</v>
      </c>
      <c r="N2948" s="6" t="s">
        <v>22</v>
      </c>
      <c r="O2948" s="6" t="s">
        <v>104</v>
      </c>
      <c r="P2948" s="19">
        <v>0</v>
      </c>
    </row>
    <row r="2949" spans="12:16" ht="15.75" customHeight="1" x14ac:dyDescent="0.3">
      <c r="L2949" s="6" t="s">
        <v>190</v>
      </c>
      <c r="M2949" s="6" t="s">
        <v>323</v>
      </c>
      <c r="N2949" s="6" t="s">
        <v>23</v>
      </c>
      <c r="O2949" s="6" t="s">
        <v>107</v>
      </c>
      <c r="P2949" s="19">
        <v>0</v>
      </c>
    </row>
    <row r="2950" spans="12:16" ht="15.75" customHeight="1" x14ac:dyDescent="0.3">
      <c r="L2950" s="6" t="s">
        <v>190</v>
      </c>
      <c r="M2950" s="6" t="s">
        <v>323</v>
      </c>
      <c r="N2950" s="6" t="s">
        <v>24</v>
      </c>
      <c r="O2950" s="6" t="s">
        <v>109</v>
      </c>
      <c r="P2950" s="19">
        <v>0</v>
      </c>
    </row>
    <row r="2951" spans="12:16" ht="15.75" customHeight="1" x14ac:dyDescent="0.3">
      <c r="L2951" s="6" t="s">
        <v>190</v>
      </c>
      <c r="M2951" s="6" t="s">
        <v>323</v>
      </c>
      <c r="N2951" s="6" t="s">
        <v>25</v>
      </c>
      <c r="O2951" s="6" t="s">
        <v>111</v>
      </c>
      <c r="P2951" s="19">
        <v>1</v>
      </c>
    </row>
    <row r="2952" spans="12:16" ht="15.75" customHeight="1" x14ac:dyDescent="0.3">
      <c r="L2952" s="6" t="s">
        <v>190</v>
      </c>
      <c r="M2952" s="6" t="s">
        <v>323</v>
      </c>
      <c r="N2952" s="6" t="s">
        <v>26</v>
      </c>
      <c r="O2952" s="6" t="s">
        <v>113</v>
      </c>
      <c r="P2952" s="19">
        <v>1</v>
      </c>
    </row>
    <row r="2953" spans="12:16" ht="15.75" customHeight="1" x14ac:dyDescent="0.3">
      <c r="L2953" s="6" t="s">
        <v>190</v>
      </c>
      <c r="M2953" s="6" t="s">
        <v>323</v>
      </c>
      <c r="N2953" s="6" t="s">
        <v>27</v>
      </c>
      <c r="O2953" s="6" t="s">
        <v>117</v>
      </c>
      <c r="P2953" s="19">
        <v>0</v>
      </c>
    </row>
    <row r="2954" spans="12:16" ht="15.75" customHeight="1" x14ac:dyDescent="0.3">
      <c r="L2954" s="6" t="s">
        <v>190</v>
      </c>
      <c r="M2954" s="6" t="s">
        <v>323</v>
      </c>
      <c r="N2954" s="6" t="s">
        <v>29</v>
      </c>
      <c r="O2954" s="6" t="s">
        <v>125</v>
      </c>
      <c r="P2954" s="19">
        <v>0</v>
      </c>
    </row>
    <row r="2955" spans="12:16" ht="15.75" customHeight="1" x14ac:dyDescent="0.3">
      <c r="L2955" s="6" t="s">
        <v>190</v>
      </c>
      <c r="M2955" s="6" t="s">
        <v>323</v>
      </c>
      <c r="N2955" s="6" t="s">
        <v>135</v>
      </c>
      <c r="O2955" s="6" t="s">
        <v>136</v>
      </c>
      <c r="P2955" s="19">
        <v>0</v>
      </c>
    </row>
    <row r="2956" spans="12:16" ht="15.75" customHeight="1" x14ac:dyDescent="0.3">
      <c r="L2956" s="6" t="s">
        <v>190</v>
      </c>
      <c r="M2956" s="6" t="s">
        <v>323</v>
      </c>
      <c r="N2956" s="6" t="s">
        <v>138</v>
      </c>
      <c r="O2956" s="6" t="s">
        <v>139</v>
      </c>
      <c r="P2956" s="19">
        <v>0</v>
      </c>
    </row>
    <row r="2957" spans="12:16" ht="15.75" customHeight="1" x14ac:dyDescent="0.3">
      <c r="L2957" s="6" t="s">
        <v>190</v>
      </c>
      <c r="M2957" s="6" t="s">
        <v>323</v>
      </c>
      <c r="N2957" s="6" t="s">
        <v>30</v>
      </c>
      <c r="O2957" s="6" t="s">
        <v>148</v>
      </c>
      <c r="P2957" s="19">
        <v>0</v>
      </c>
    </row>
    <row r="2958" spans="12:16" ht="15.75" customHeight="1" x14ac:dyDescent="0.3">
      <c r="L2958" s="6" t="s">
        <v>190</v>
      </c>
      <c r="M2958" s="6" t="s">
        <v>323</v>
      </c>
      <c r="N2958" s="6" t="s">
        <v>156</v>
      </c>
      <c r="O2958" s="6" t="s">
        <v>157</v>
      </c>
      <c r="P2958" s="25" t="s">
        <v>169</v>
      </c>
    </row>
    <row r="2959" spans="12:16" ht="15.75" customHeight="1" x14ac:dyDescent="0.3">
      <c r="L2959" s="6" t="s">
        <v>190</v>
      </c>
      <c r="M2959" s="6" t="s">
        <v>323</v>
      </c>
      <c r="N2959" s="6" t="s">
        <v>158</v>
      </c>
      <c r="O2959" s="6" t="s">
        <v>159</v>
      </c>
      <c r="P2959" s="19">
        <v>1</v>
      </c>
    </row>
    <row r="2960" spans="12:16" ht="15.75" customHeight="1" x14ac:dyDescent="0.3">
      <c r="L2960" s="6" t="s">
        <v>190</v>
      </c>
      <c r="M2960" s="6" t="s">
        <v>323</v>
      </c>
      <c r="N2960" s="6" t="s">
        <v>160</v>
      </c>
      <c r="O2960" s="6" t="s">
        <v>161</v>
      </c>
      <c r="P2960" s="25" t="s">
        <v>169</v>
      </c>
    </row>
    <row r="2961" spans="12:16" ht="15.75" customHeight="1" x14ac:dyDescent="0.3">
      <c r="L2961" s="6" t="s">
        <v>190</v>
      </c>
      <c r="M2961" s="6" t="s">
        <v>323</v>
      </c>
      <c r="N2961" s="6" t="s">
        <v>162</v>
      </c>
      <c r="O2961" s="6" t="s">
        <v>163</v>
      </c>
      <c r="P2961" s="19">
        <v>0</v>
      </c>
    </row>
    <row r="2962" spans="12:16" ht="15.75" customHeight="1" x14ac:dyDescent="0.3">
      <c r="L2962" s="6" t="s">
        <v>190</v>
      </c>
      <c r="M2962" s="6" t="s">
        <v>323</v>
      </c>
      <c r="N2962" s="6" t="s">
        <v>165</v>
      </c>
      <c r="O2962" s="6" t="s">
        <v>166</v>
      </c>
      <c r="P2962" s="19">
        <v>0</v>
      </c>
    </row>
    <row r="2963" spans="12:16" ht="15.75" customHeight="1" x14ac:dyDescent="0.3">
      <c r="L2963" s="6" t="s">
        <v>190</v>
      </c>
      <c r="M2963" s="6" t="s">
        <v>343</v>
      </c>
      <c r="N2963" s="6" t="s">
        <v>72</v>
      </c>
      <c r="O2963" s="6" t="s">
        <v>75</v>
      </c>
      <c r="P2963" s="19">
        <v>0</v>
      </c>
    </row>
    <row r="2964" spans="12:16" ht="15.75" customHeight="1" x14ac:dyDescent="0.3">
      <c r="L2964" s="6" t="s">
        <v>190</v>
      </c>
      <c r="M2964" s="6" t="s">
        <v>343</v>
      </c>
      <c r="N2964" s="6" t="s">
        <v>83</v>
      </c>
      <c r="O2964" s="6" t="s">
        <v>84</v>
      </c>
      <c r="P2964" s="19">
        <v>0</v>
      </c>
    </row>
    <row r="2965" spans="12:16" ht="15.75" customHeight="1" x14ac:dyDescent="0.3">
      <c r="L2965" s="6" t="s">
        <v>190</v>
      </c>
      <c r="M2965" s="6" t="s">
        <v>343</v>
      </c>
      <c r="N2965" s="6" t="s">
        <v>88</v>
      </c>
      <c r="O2965" s="6" t="s">
        <v>90</v>
      </c>
      <c r="P2965" s="19">
        <v>0</v>
      </c>
    </row>
    <row r="2966" spans="12:16" ht="15.75" customHeight="1" x14ac:dyDescent="0.3">
      <c r="L2966" s="6" t="s">
        <v>190</v>
      </c>
      <c r="M2966" s="6" t="s">
        <v>343</v>
      </c>
      <c r="N2966" s="6" t="s">
        <v>96</v>
      </c>
      <c r="O2966" s="6" t="s">
        <v>97</v>
      </c>
      <c r="P2966" s="19">
        <v>0</v>
      </c>
    </row>
    <row r="2967" spans="12:16" ht="15.75" customHeight="1" x14ac:dyDescent="0.3">
      <c r="L2967" s="6" t="s">
        <v>190</v>
      </c>
      <c r="M2967" s="6" t="s">
        <v>343</v>
      </c>
      <c r="N2967" s="6" t="s">
        <v>100</v>
      </c>
      <c r="O2967" s="6" t="s">
        <v>101</v>
      </c>
      <c r="P2967" s="19">
        <v>0</v>
      </c>
    </row>
    <row r="2968" spans="12:16" ht="15.75" customHeight="1" x14ac:dyDescent="0.3">
      <c r="L2968" s="6" t="s">
        <v>190</v>
      </c>
      <c r="M2968" s="6" t="s">
        <v>343</v>
      </c>
      <c r="N2968" s="6" t="s">
        <v>22</v>
      </c>
      <c r="O2968" s="6" t="s">
        <v>104</v>
      </c>
      <c r="P2968" s="19">
        <v>0</v>
      </c>
    </row>
    <row r="2969" spans="12:16" ht="15.75" customHeight="1" x14ac:dyDescent="0.3">
      <c r="L2969" s="6" t="s">
        <v>190</v>
      </c>
      <c r="M2969" s="6" t="s">
        <v>343</v>
      </c>
      <c r="N2969" s="6" t="s">
        <v>23</v>
      </c>
      <c r="O2969" s="6" t="s">
        <v>107</v>
      </c>
      <c r="P2969" s="19">
        <v>0</v>
      </c>
    </row>
    <row r="2970" spans="12:16" ht="15.75" customHeight="1" x14ac:dyDescent="0.3">
      <c r="L2970" s="6" t="s">
        <v>190</v>
      </c>
      <c r="M2970" s="6" t="s">
        <v>343</v>
      </c>
      <c r="N2970" s="6" t="s">
        <v>24</v>
      </c>
      <c r="O2970" s="6" t="s">
        <v>109</v>
      </c>
      <c r="P2970" s="19">
        <v>0</v>
      </c>
    </row>
    <row r="2971" spans="12:16" ht="15.75" customHeight="1" x14ac:dyDescent="0.3">
      <c r="L2971" s="6" t="s">
        <v>190</v>
      </c>
      <c r="M2971" s="6" t="s">
        <v>343</v>
      </c>
      <c r="N2971" s="6" t="s">
        <v>25</v>
      </c>
      <c r="O2971" s="6" t="s">
        <v>111</v>
      </c>
      <c r="P2971" s="19">
        <v>1</v>
      </c>
    </row>
    <row r="2972" spans="12:16" ht="15.75" customHeight="1" x14ac:dyDescent="0.3">
      <c r="L2972" s="6" t="s">
        <v>190</v>
      </c>
      <c r="M2972" s="6" t="s">
        <v>343</v>
      </c>
      <c r="N2972" s="6" t="s">
        <v>26</v>
      </c>
      <c r="O2972" s="6" t="s">
        <v>113</v>
      </c>
      <c r="P2972" s="19">
        <v>1</v>
      </c>
    </row>
    <row r="2973" spans="12:16" ht="15.75" customHeight="1" x14ac:dyDescent="0.3">
      <c r="L2973" s="6" t="s">
        <v>190</v>
      </c>
      <c r="M2973" s="6" t="s">
        <v>343</v>
      </c>
      <c r="N2973" s="6" t="s">
        <v>27</v>
      </c>
      <c r="O2973" s="6" t="s">
        <v>117</v>
      </c>
      <c r="P2973" s="19">
        <v>0</v>
      </c>
    </row>
    <row r="2974" spans="12:16" ht="15.75" customHeight="1" x14ac:dyDescent="0.3">
      <c r="L2974" s="6" t="s">
        <v>190</v>
      </c>
      <c r="M2974" s="6" t="s">
        <v>343</v>
      </c>
      <c r="N2974" s="6" t="s">
        <v>29</v>
      </c>
      <c r="O2974" s="6" t="s">
        <v>125</v>
      </c>
      <c r="P2974" s="19">
        <v>0</v>
      </c>
    </row>
    <row r="2975" spans="12:16" ht="15.75" customHeight="1" x14ac:dyDescent="0.3">
      <c r="L2975" s="6" t="s">
        <v>190</v>
      </c>
      <c r="M2975" s="6" t="s">
        <v>343</v>
      </c>
      <c r="N2975" s="6" t="s">
        <v>135</v>
      </c>
      <c r="O2975" s="6" t="s">
        <v>136</v>
      </c>
      <c r="P2975" s="19">
        <v>0</v>
      </c>
    </row>
    <row r="2976" spans="12:16" ht="15.75" customHeight="1" x14ac:dyDescent="0.3">
      <c r="L2976" s="6" t="s">
        <v>190</v>
      </c>
      <c r="M2976" s="6" t="s">
        <v>343</v>
      </c>
      <c r="N2976" s="6" t="s">
        <v>138</v>
      </c>
      <c r="O2976" s="6" t="s">
        <v>139</v>
      </c>
      <c r="P2976" s="19">
        <v>0</v>
      </c>
    </row>
    <row r="2977" spans="12:16" ht="15.75" customHeight="1" x14ac:dyDescent="0.3">
      <c r="L2977" s="6" t="s">
        <v>190</v>
      </c>
      <c r="M2977" s="6" t="s">
        <v>343</v>
      </c>
      <c r="N2977" s="6" t="s">
        <v>30</v>
      </c>
      <c r="O2977" s="6" t="s">
        <v>148</v>
      </c>
      <c r="P2977" s="19">
        <v>0</v>
      </c>
    </row>
    <row r="2978" spans="12:16" ht="15.75" customHeight="1" x14ac:dyDescent="0.3">
      <c r="L2978" s="6" t="s">
        <v>190</v>
      </c>
      <c r="M2978" s="6" t="s">
        <v>343</v>
      </c>
      <c r="N2978" s="6" t="s">
        <v>156</v>
      </c>
      <c r="O2978" s="6" t="s">
        <v>157</v>
      </c>
      <c r="P2978" s="25" t="s">
        <v>169</v>
      </c>
    </row>
    <row r="2979" spans="12:16" ht="15.75" customHeight="1" x14ac:dyDescent="0.3">
      <c r="L2979" s="6" t="s">
        <v>190</v>
      </c>
      <c r="M2979" s="6" t="s">
        <v>343</v>
      </c>
      <c r="N2979" s="6" t="s">
        <v>158</v>
      </c>
      <c r="O2979" s="6" t="s">
        <v>159</v>
      </c>
      <c r="P2979" s="19">
        <v>1</v>
      </c>
    </row>
    <row r="2980" spans="12:16" ht="15.75" customHeight="1" x14ac:dyDescent="0.3">
      <c r="L2980" s="6" t="s">
        <v>190</v>
      </c>
      <c r="M2980" s="6" t="s">
        <v>343</v>
      </c>
      <c r="N2980" s="6" t="s">
        <v>160</v>
      </c>
      <c r="O2980" s="6" t="s">
        <v>161</v>
      </c>
      <c r="P2980" s="25" t="s">
        <v>169</v>
      </c>
    </row>
    <row r="2981" spans="12:16" ht="15.75" customHeight="1" x14ac:dyDescent="0.3">
      <c r="L2981" s="6" t="s">
        <v>190</v>
      </c>
      <c r="M2981" s="6" t="s">
        <v>343</v>
      </c>
      <c r="N2981" s="6" t="s">
        <v>162</v>
      </c>
      <c r="O2981" s="6" t="s">
        <v>163</v>
      </c>
      <c r="P2981" s="19">
        <v>0</v>
      </c>
    </row>
    <row r="2982" spans="12:16" ht="15.75" customHeight="1" x14ac:dyDescent="0.3">
      <c r="L2982" s="6" t="s">
        <v>190</v>
      </c>
      <c r="M2982" s="6" t="s">
        <v>343</v>
      </c>
      <c r="N2982" s="6" t="s">
        <v>165</v>
      </c>
      <c r="O2982" s="6" t="s">
        <v>166</v>
      </c>
      <c r="P2982" s="19">
        <v>1</v>
      </c>
    </row>
    <row r="2983" spans="12:16" ht="15.75" customHeight="1" x14ac:dyDescent="0.3">
      <c r="L2983" s="6" t="s">
        <v>190</v>
      </c>
      <c r="M2983" s="6" t="s">
        <v>337</v>
      </c>
      <c r="N2983" s="6" t="s">
        <v>72</v>
      </c>
      <c r="O2983" s="6" t="s">
        <v>75</v>
      </c>
      <c r="P2983" s="19">
        <v>0</v>
      </c>
    </row>
    <row r="2984" spans="12:16" ht="15.75" customHeight="1" x14ac:dyDescent="0.3">
      <c r="L2984" s="6" t="s">
        <v>190</v>
      </c>
      <c r="M2984" s="6" t="s">
        <v>337</v>
      </c>
      <c r="N2984" s="6" t="s">
        <v>83</v>
      </c>
      <c r="O2984" s="6" t="s">
        <v>84</v>
      </c>
      <c r="P2984" s="19">
        <v>0</v>
      </c>
    </row>
    <row r="2985" spans="12:16" ht="15.75" customHeight="1" x14ac:dyDescent="0.3">
      <c r="L2985" s="6" t="s">
        <v>190</v>
      </c>
      <c r="M2985" s="6" t="s">
        <v>337</v>
      </c>
      <c r="N2985" s="6" t="s">
        <v>88</v>
      </c>
      <c r="O2985" s="6" t="s">
        <v>90</v>
      </c>
      <c r="P2985" s="19">
        <v>0</v>
      </c>
    </row>
    <row r="2986" spans="12:16" ht="15.75" customHeight="1" x14ac:dyDescent="0.3">
      <c r="L2986" s="6" t="s">
        <v>190</v>
      </c>
      <c r="M2986" s="6" t="s">
        <v>337</v>
      </c>
      <c r="N2986" s="6" t="s">
        <v>96</v>
      </c>
      <c r="O2986" s="6" t="s">
        <v>97</v>
      </c>
      <c r="P2986" s="19">
        <v>0</v>
      </c>
    </row>
    <row r="2987" spans="12:16" ht="15.75" customHeight="1" x14ac:dyDescent="0.3">
      <c r="L2987" s="6" t="s">
        <v>190</v>
      </c>
      <c r="M2987" s="6" t="s">
        <v>337</v>
      </c>
      <c r="N2987" s="6" t="s">
        <v>100</v>
      </c>
      <c r="O2987" s="6" t="s">
        <v>101</v>
      </c>
      <c r="P2987" s="19">
        <v>0</v>
      </c>
    </row>
    <row r="2988" spans="12:16" ht="15.75" customHeight="1" x14ac:dyDescent="0.3">
      <c r="L2988" s="6" t="s">
        <v>190</v>
      </c>
      <c r="M2988" s="6" t="s">
        <v>337</v>
      </c>
      <c r="N2988" s="6" t="s">
        <v>22</v>
      </c>
      <c r="O2988" s="6" t="s">
        <v>104</v>
      </c>
      <c r="P2988" s="19">
        <v>0</v>
      </c>
    </row>
    <row r="2989" spans="12:16" ht="15.75" customHeight="1" x14ac:dyDescent="0.3">
      <c r="L2989" s="6" t="s">
        <v>190</v>
      </c>
      <c r="M2989" s="6" t="s">
        <v>337</v>
      </c>
      <c r="N2989" s="6" t="s">
        <v>23</v>
      </c>
      <c r="O2989" s="6" t="s">
        <v>107</v>
      </c>
      <c r="P2989" s="19">
        <v>0</v>
      </c>
    </row>
    <row r="2990" spans="12:16" ht="15.75" customHeight="1" x14ac:dyDescent="0.3">
      <c r="L2990" s="6" t="s">
        <v>190</v>
      </c>
      <c r="M2990" s="6" t="s">
        <v>337</v>
      </c>
      <c r="N2990" s="6" t="s">
        <v>24</v>
      </c>
      <c r="O2990" s="6" t="s">
        <v>109</v>
      </c>
      <c r="P2990" s="19">
        <v>0</v>
      </c>
    </row>
    <row r="2991" spans="12:16" ht="15.75" customHeight="1" x14ac:dyDescent="0.3">
      <c r="L2991" s="6" t="s">
        <v>190</v>
      </c>
      <c r="M2991" s="6" t="s">
        <v>337</v>
      </c>
      <c r="N2991" s="6" t="s">
        <v>25</v>
      </c>
      <c r="O2991" s="6" t="s">
        <v>111</v>
      </c>
      <c r="P2991" s="19">
        <v>1</v>
      </c>
    </row>
    <row r="2992" spans="12:16" ht="15.75" customHeight="1" x14ac:dyDescent="0.3">
      <c r="L2992" s="6" t="s">
        <v>190</v>
      </c>
      <c r="M2992" s="6" t="s">
        <v>337</v>
      </c>
      <c r="N2992" s="6" t="s">
        <v>26</v>
      </c>
      <c r="O2992" s="6" t="s">
        <v>113</v>
      </c>
      <c r="P2992" s="19">
        <v>1</v>
      </c>
    </row>
    <row r="2993" spans="12:16" ht="15.75" customHeight="1" x14ac:dyDescent="0.3">
      <c r="L2993" s="6" t="s">
        <v>190</v>
      </c>
      <c r="M2993" s="6" t="s">
        <v>337</v>
      </c>
      <c r="N2993" s="6" t="s">
        <v>27</v>
      </c>
      <c r="O2993" s="6" t="s">
        <v>117</v>
      </c>
      <c r="P2993" s="19">
        <v>0</v>
      </c>
    </row>
    <row r="2994" spans="12:16" ht="15.75" customHeight="1" x14ac:dyDescent="0.3">
      <c r="L2994" s="6" t="s">
        <v>190</v>
      </c>
      <c r="M2994" s="6" t="s">
        <v>337</v>
      </c>
      <c r="N2994" s="6" t="s">
        <v>29</v>
      </c>
      <c r="O2994" s="6" t="s">
        <v>125</v>
      </c>
      <c r="P2994" s="19">
        <v>0</v>
      </c>
    </row>
    <row r="2995" spans="12:16" ht="15.75" customHeight="1" x14ac:dyDescent="0.3">
      <c r="L2995" s="6" t="s">
        <v>190</v>
      </c>
      <c r="M2995" s="6" t="s">
        <v>337</v>
      </c>
      <c r="N2995" s="6" t="s">
        <v>135</v>
      </c>
      <c r="O2995" s="6" t="s">
        <v>136</v>
      </c>
      <c r="P2995" s="19">
        <v>0</v>
      </c>
    </row>
    <row r="2996" spans="12:16" ht="15.75" customHeight="1" x14ac:dyDescent="0.3">
      <c r="L2996" s="6" t="s">
        <v>190</v>
      </c>
      <c r="M2996" s="6" t="s">
        <v>337</v>
      </c>
      <c r="N2996" s="6" t="s">
        <v>138</v>
      </c>
      <c r="O2996" s="6" t="s">
        <v>139</v>
      </c>
      <c r="P2996" s="19">
        <v>0</v>
      </c>
    </row>
    <row r="2997" spans="12:16" ht="15.75" customHeight="1" x14ac:dyDescent="0.3">
      <c r="L2997" s="6" t="s">
        <v>190</v>
      </c>
      <c r="M2997" s="6" t="s">
        <v>337</v>
      </c>
      <c r="N2997" s="6" t="s">
        <v>30</v>
      </c>
      <c r="O2997" s="6" t="s">
        <v>148</v>
      </c>
      <c r="P2997" s="19">
        <v>0</v>
      </c>
    </row>
    <row r="2998" spans="12:16" ht="15.75" customHeight="1" x14ac:dyDescent="0.3">
      <c r="L2998" s="6" t="s">
        <v>190</v>
      </c>
      <c r="M2998" s="6" t="s">
        <v>337</v>
      </c>
      <c r="N2998" s="6" t="s">
        <v>156</v>
      </c>
      <c r="O2998" s="6" t="s">
        <v>157</v>
      </c>
      <c r="P2998" s="25" t="s">
        <v>169</v>
      </c>
    </row>
    <row r="2999" spans="12:16" ht="15.75" customHeight="1" x14ac:dyDescent="0.3">
      <c r="L2999" s="6" t="s">
        <v>190</v>
      </c>
      <c r="M2999" s="6" t="s">
        <v>337</v>
      </c>
      <c r="N2999" s="6" t="s">
        <v>158</v>
      </c>
      <c r="O2999" s="6" t="s">
        <v>159</v>
      </c>
      <c r="P2999" s="19">
        <v>1</v>
      </c>
    </row>
    <row r="3000" spans="12:16" ht="15.75" customHeight="1" x14ac:dyDescent="0.3">
      <c r="L3000" s="6" t="s">
        <v>190</v>
      </c>
      <c r="M3000" s="6" t="s">
        <v>337</v>
      </c>
      <c r="N3000" s="6" t="s">
        <v>160</v>
      </c>
      <c r="O3000" s="6" t="s">
        <v>161</v>
      </c>
      <c r="P3000" s="25" t="s">
        <v>169</v>
      </c>
    </row>
    <row r="3001" spans="12:16" ht="15.75" customHeight="1" x14ac:dyDescent="0.3">
      <c r="L3001" s="6" t="s">
        <v>190</v>
      </c>
      <c r="M3001" s="6" t="s">
        <v>337</v>
      </c>
      <c r="N3001" s="6" t="s">
        <v>162</v>
      </c>
      <c r="O3001" s="6" t="s">
        <v>163</v>
      </c>
      <c r="P3001" s="19">
        <v>0</v>
      </c>
    </row>
    <row r="3002" spans="12:16" ht="15.75" customHeight="1" x14ac:dyDescent="0.3">
      <c r="L3002" s="6" t="s">
        <v>190</v>
      </c>
      <c r="M3002" s="6" t="s">
        <v>337</v>
      </c>
      <c r="N3002" s="6" t="s">
        <v>165</v>
      </c>
      <c r="O3002" s="6" t="s">
        <v>166</v>
      </c>
      <c r="P3002" s="19">
        <v>1</v>
      </c>
    </row>
    <row r="3003" spans="12:16" ht="15.75" customHeight="1" x14ac:dyDescent="0.3">
      <c r="L3003" s="6" t="s">
        <v>190</v>
      </c>
      <c r="M3003" s="6" t="s">
        <v>372</v>
      </c>
      <c r="N3003" s="6" t="s">
        <v>72</v>
      </c>
      <c r="O3003" s="6" t="s">
        <v>75</v>
      </c>
      <c r="P3003" s="19">
        <v>0</v>
      </c>
    </row>
    <row r="3004" spans="12:16" ht="15.75" customHeight="1" x14ac:dyDescent="0.3">
      <c r="L3004" s="6" t="s">
        <v>190</v>
      </c>
      <c r="M3004" s="6" t="s">
        <v>372</v>
      </c>
      <c r="N3004" s="6" t="s">
        <v>83</v>
      </c>
      <c r="O3004" s="6" t="s">
        <v>84</v>
      </c>
      <c r="P3004" s="19">
        <v>0</v>
      </c>
    </row>
    <row r="3005" spans="12:16" ht="15.75" customHeight="1" x14ac:dyDescent="0.3">
      <c r="L3005" s="6" t="s">
        <v>190</v>
      </c>
      <c r="M3005" s="6" t="s">
        <v>372</v>
      </c>
      <c r="N3005" s="6" t="s">
        <v>88</v>
      </c>
      <c r="O3005" s="6" t="s">
        <v>90</v>
      </c>
      <c r="P3005" s="19">
        <v>0</v>
      </c>
    </row>
    <row r="3006" spans="12:16" ht="15.75" customHeight="1" x14ac:dyDescent="0.3">
      <c r="L3006" s="6" t="s">
        <v>190</v>
      </c>
      <c r="M3006" s="6" t="s">
        <v>372</v>
      </c>
      <c r="N3006" s="6" t="s">
        <v>96</v>
      </c>
      <c r="O3006" s="6" t="s">
        <v>97</v>
      </c>
      <c r="P3006" s="19">
        <v>0</v>
      </c>
    </row>
    <row r="3007" spans="12:16" ht="15.75" customHeight="1" x14ac:dyDescent="0.3">
      <c r="L3007" s="6" t="s">
        <v>190</v>
      </c>
      <c r="M3007" s="6" t="s">
        <v>372</v>
      </c>
      <c r="N3007" s="6" t="s">
        <v>100</v>
      </c>
      <c r="O3007" s="6" t="s">
        <v>101</v>
      </c>
      <c r="P3007" s="19">
        <v>0</v>
      </c>
    </row>
    <row r="3008" spans="12:16" ht="15.75" customHeight="1" x14ac:dyDescent="0.3">
      <c r="L3008" s="6" t="s">
        <v>190</v>
      </c>
      <c r="M3008" s="6" t="s">
        <v>372</v>
      </c>
      <c r="N3008" s="6" t="s">
        <v>22</v>
      </c>
      <c r="O3008" s="6" t="s">
        <v>104</v>
      </c>
      <c r="P3008" s="19">
        <v>0</v>
      </c>
    </row>
    <row r="3009" spans="12:16" ht="15.75" customHeight="1" x14ac:dyDescent="0.3">
      <c r="L3009" s="6" t="s">
        <v>190</v>
      </c>
      <c r="M3009" s="6" t="s">
        <v>372</v>
      </c>
      <c r="N3009" s="6" t="s">
        <v>23</v>
      </c>
      <c r="O3009" s="6" t="s">
        <v>107</v>
      </c>
      <c r="P3009" s="19">
        <v>0</v>
      </c>
    </row>
    <row r="3010" spans="12:16" ht="15.75" customHeight="1" x14ac:dyDescent="0.3">
      <c r="L3010" s="6" t="s">
        <v>190</v>
      </c>
      <c r="M3010" s="6" t="s">
        <v>372</v>
      </c>
      <c r="N3010" s="6" t="s">
        <v>24</v>
      </c>
      <c r="O3010" s="6" t="s">
        <v>109</v>
      </c>
      <c r="P3010" s="19">
        <v>0</v>
      </c>
    </row>
    <row r="3011" spans="12:16" ht="15.75" customHeight="1" x14ac:dyDescent="0.3">
      <c r="L3011" s="6" t="s">
        <v>190</v>
      </c>
      <c r="M3011" s="6" t="s">
        <v>372</v>
      </c>
      <c r="N3011" s="6" t="s">
        <v>25</v>
      </c>
      <c r="O3011" s="6" t="s">
        <v>111</v>
      </c>
      <c r="P3011" s="19">
        <v>1</v>
      </c>
    </row>
    <row r="3012" spans="12:16" ht="15.75" customHeight="1" x14ac:dyDescent="0.3">
      <c r="L3012" s="6" t="s">
        <v>190</v>
      </c>
      <c r="M3012" s="6" t="s">
        <v>372</v>
      </c>
      <c r="N3012" s="6" t="s">
        <v>26</v>
      </c>
      <c r="O3012" s="6" t="s">
        <v>113</v>
      </c>
      <c r="P3012" s="19">
        <v>1</v>
      </c>
    </row>
    <row r="3013" spans="12:16" ht="15.75" customHeight="1" x14ac:dyDescent="0.3">
      <c r="L3013" s="6" t="s">
        <v>190</v>
      </c>
      <c r="M3013" s="6" t="s">
        <v>372</v>
      </c>
      <c r="N3013" s="6" t="s">
        <v>27</v>
      </c>
      <c r="O3013" s="6" t="s">
        <v>117</v>
      </c>
      <c r="P3013" s="19">
        <v>0</v>
      </c>
    </row>
    <row r="3014" spans="12:16" ht="15.75" customHeight="1" x14ac:dyDescent="0.3">
      <c r="L3014" s="6" t="s">
        <v>190</v>
      </c>
      <c r="M3014" s="6" t="s">
        <v>372</v>
      </c>
      <c r="N3014" s="6" t="s">
        <v>29</v>
      </c>
      <c r="O3014" s="6" t="s">
        <v>125</v>
      </c>
      <c r="P3014" s="19">
        <v>0</v>
      </c>
    </row>
    <row r="3015" spans="12:16" ht="15.75" customHeight="1" x14ac:dyDescent="0.3">
      <c r="L3015" s="6" t="s">
        <v>190</v>
      </c>
      <c r="M3015" s="6" t="s">
        <v>372</v>
      </c>
      <c r="N3015" s="6" t="s">
        <v>135</v>
      </c>
      <c r="O3015" s="6" t="s">
        <v>136</v>
      </c>
      <c r="P3015" s="19">
        <v>0</v>
      </c>
    </row>
    <row r="3016" spans="12:16" ht="15.75" customHeight="1" x14ac:dyDescent="0.3">
      <c r="L3016" s="6" t="s">
        <v>190</v>
      </c>
      <c r="M3016" s="6" t="s">
        <v>372</v>
      </c>
      <c r="N3016" s="6" t="s">
        <v>138</v>
      </c>
      <c r="O3016" s="6" t="s">
        <v>139</v>
      </c>
      <c r="P3016" s="19">
        <v>0</v>
      </c>
    </row>
    <row r="3017" spans="12:16" ht="15.75" customHeight="1" x14ac:dyDescent="0.3">
      <c r="L3017" s="6" t="s">
        <v>190</v>
      </c>
      <c r="M3017" s="6" t="s">
        <v>372</v>
      </c>
      <c r="N3017" s="6" t="s">
        <v>30</v>
      </c>
      <c r="O3017" s="6" t="s">
        <v>148</v>
      </c>
      <c r="P3017" s="19">
        <v>0</v>
      </c>
    </row>
    <row r="3018" spans="12:16" ht="15.75" customHeight="1" x14ac:dyDescent="0.3">
      <c r="L3018" s="6" t="s">
        <v>190</v>
      </c>
      <c r="M3018" s="6" t="s">
        <v>372</v>
      </c>
      <c r="N3018" s="6" t="s">
        <v>156</v>
      </c>
      <c r="O3018" s="6" t="s">
        <v>157</v>
      </c>
      <c r="P3018" s="25" t="s">
        <v>169</v>
      </c>
    </row>
    <row r="3019" spans="12:16" ht="15.75" customHeight="1" x14ac:dyDescent="0.3">
      <c r="L3019" s="6" t="s">
        <v>190</v>
      </c>
      <c r="M3019" s="6" t="s">
        <v>372</v>
      </c>
      <c r="N3019" s="6" t="s">
        <v>158</v>
      </c>
      <c r="O3019" s="6" t="s">
        <v>159</v>
      </c>
      <c r="P3019" s="19">
        <v>1</v>
      </c>
    </row>
    <row r="3020" spans="12:16" ht="15.75" customHeight="1" x14ac:dyDescent="0.3">
      <c r="L3020" s="6" t="s">
        <v>190</v>
      </c>
      <c r="M3020" s="6" t="s">
        <v>372</v>
      </c>
      <c r="N3020" s="6" t="s">
        <v>160</v>
      </c>
      <c r="O3020" s="6" t="s">
        <v>161</v>
      </c>
      <c r="P3020" s="25" t="s">
        <v>169</v>
      </c>
    </row>
    <row r="3021" spans="12:16" ht="15.75" customHeight="1" x14ac:dyDescent="0.3">
      <c r="L3021" s="6" t="s">
        <v>190</v>
      </c>
      <c r="M3021" s="6" t="s">
        <v>372</v>
      </c>
      <c r="N3021" s="6" t="s">
        <v>162</v>
      </c>
      <c r="O3021" s="6" t="s">
        <v>163</v>
      </c>
      <c r="P3021" s="19">
        <v>0</v>
      </c>
    </row>
    <row r="3022" spans="12:16" ht="15.75" customHeight="1" x14ac:dyDescent="0.3">
      <c r="L3022" s="6" t="s">
        <v>190</v>
      </c>
      <c r="M3022" s="6" t="s">
        <v>372</v>
      </c>
      <c r="N3022" s="6" t="s">
        <v>165</v>
      </c>
      <c r="O3022" s="6" t="s">
        <v>166</v>
      </c>
      <c r="P3022" s="19">
        <v>0</v>
      </c>
    </row>
    <row r="3023" spans="12:16" ht="15.75" customHeight="1" x14ac:dyDescent="0.3">
      <c r="L3023" s="6" t="s">
        <v>190</v>
      </c>
      <c r="M3023" s="6" t="s">
        <v>359</v>
      </c>
      <c r="N3023" s="6" t="s">
        <v>72</v>
      </c>
      <c r="O3023" s="6" t="s">
        <v>75</v>
      </c>
      <c r="P3023" s="19">
        <v>0</v>
      </c>
    </row>
    <row r="3024" spans="12:16" ht="15.75" customHeight="1" x14ac:dyDescent="0.3">
      <c r="L3024" s="6" t="s">
        <v>190</v>
      </c>
      <c r="M3024" s="6" t="s">
        <v>359</v>
      </c>
      <c r="N3024" s="6" t="s">
        <v>83</v>
      </c>
      <c r="O3024" s="6" t="s">
        <v>84</v>
      </c>
      <c r="P3024" s="19">
        <v>0</v>
      </c>
    </row>
    <row r="3025" spans="12:16" ht="15.75" customHeight="1" x14ac:dyDescent="0.3">
      <c r="L3025" s="6" t="s">
        <v>190</v>
      </c>
      <c r="M3025" s="6" t="s">
        <v>359</v>
      </c>
      <c r="N3025" s="6" t="s">
        <v>88</v>
      </c>
      <c r="O3025" s="6" t="s">
        <v>90</v>
      </c>
      <c r="P3025" s="19">
        <v>0</v>
      </c>
    </row>
    <row r="3026" spans="12:16" ht="15.75" customHeight="1" x14ac:dyDescent="0.3">
      <c r="L3026" s="6" t="s">
        <v>190</v>
      </c>
      <c r="M3026" s="6" t="s">
        <v>359</v>
      </c>
      <c r="N3026" s="6" t="s">
        <v>96</v>
      </c>
      <c r="O3026" s="6" t="s">
        <v>97</v>
      </c>
      <c r="P3026" s="19">
        <v>0</v>
      </c>
    </row>
    <row r="3027" spans="12:16" ht="15.75" customHeight="1" x14ac:dyDescent="0.3">
      <c r="L3027" s="6" t="s">
        <v>190</v>
      </c>
      <c r="M3027" s="6" t="s">
        <v>359</v>
      </c>
      <c r="N3027" s="6" t="s">
        <v>100</v>
      </c>
      <c r="O3027" s="6" t="s">
        <v>101</v>
      </c>
      <c r="P3027" s="19">
        <v>0</v>
      </c>
    </row>
    <row r="3028" spans="12:16" ht="15.75" customHeight="1" x14ac:dyDescent="0.3">
      <c r="L3028" s="6" t="s">
        <v>190</v>
      </c>
      <c r="M3028" s="6" t="s">
        <v>359</v>
      </c>
      <c r="N3028" s="6" t="s">
        <v>22</v>
      </c>
      <c r="O3028" s="6" t="s">
        <v>104</v>
      </c>
      <c r="P3028" s="19">
        <v>0</v>
      </c>
    </row>
    <row r="3029" spans="12:16" ht="15.75" customHeight="1" x14ac:dyDescent="0.3">
      <c r="L3029" s="6" t="s">
        <v>190</v>
      </c>
      <c r="M3029" s="6" t="s">
        <v>359</v>
      </c>
      <c r="N3029" s="6" t="s">
        <v>23</v>
      </c>
      <c r="O3029" s="6" t="s">
        <v>107</v>
      </c>
      <c r="P3029" s="19">
        <v>0</v>
      </c>
    </row>
    <row r="3030" spans="12:16" ht="15.75" customHeight="1" x14ac:dyDescent="0.3">
      <c r="L3030" s="6" t="s">
        <v>190</v>
      </c>
      <c r="M3030" s="6" t="s">
        <v>359</v>
      </c>
      <c r="N3030" s="6" t="s">
        <v>24</v>
      </c>
      <c r="O3030" s="6" t="s">
        <v>109</v>
      </c>
      <c r="P3030" s="19">
        <v>0</v>
      </c>
    </row>
    <row r="3031" spans="12:16" ht="15.75" customHeight="1" x14ac:dyDescent="0.3">
      <c r="L3031" s="6" t="s">
        <v>190</v>
      </c>
      <c r="M3031" s="6" t="s">
        <v>359</v>
      </c>
      <c r="N3031" s="6" t="s">
        <v>25</v>
      </c>
      <c r="O3031" s="6" t="s">
        <v>111</v>
      </c>
      <c r="P3031" s="19">
        <v>1</v>
      </c>
    </row>
    <row r="3032" spans="12:16" ht="15.75" customHeight="1" x14ac:dyDescent="0.3">
      <c r="L3032" s="6" t="s">
        <v>190</v>
      </c>
      <c r="M3032" s="6" t="s">
        <v>359</v>
      </c>
      <c r="N3032" s="6" t="s">
        <v>26</v>
      </c>
      <c r="O3032" s="6" t="s">
        <v>113</v>
      </c>
      <c r="P3032" s="19">
        <v>1</v>
      </c>
    </row>
    <row r="3033" spans="12:16" ht="15.75" customHeight="1" x14ac:dyDescent="0.3">
      <c r="L3033" s="6" t="s">
        <v>190</v>
      </c>
      <c r="M3033" s="6" t="s">
        <v>359</v>
      </c>
      <c r="N3033" s="6" t="s">
        <v>27</v>
      </c>
      <c r="O3033" s="6" t="s">
        <v>117</v>
      </c>
      <c r="P3033" s="19">
        <v>0</v>
      </c>
    </row>
    <row r="3034" spans="12:16" ht="15.75" customHeight="1" x14ac:dyDescent="0.3">
      <c r="L3034" s="6" t="s">
        <v>190</v>
      </c>
      <c r="M3034" s="6" t="s">
        <v>359</v>
      </c>
      <c r="N3034" s="6" t="s">
        <v>29</v>
      </c>
      <c r="O3034" s="6" t="s">
        <v>125</v>
      </c>
      <c r="P3034" s="19">
        <v>0</v>
      </c>
    </row>
    <row r="3035" spans="12:16" ht="15.75" customHeight="1" x14ac:dyDescent="0.3">
      <c r="L3035" s="6" t="s">
        <v>190</v>
      </c>
      <c r="M3035" s="6" t="s">
        <v>359</v>
      </c>
      <c r="N3035" s="6" t="s">
        <v>135</v>
      </c>
      <c r="O3035" s="6" t="s">
        <v>136</v>
      </c>
      <c r="P3035" s="19">
        <v>0</v>
      </c>
    </row>
    <row r="3036" spans="12:16" ht="15.75" customHeight="1" x14ac:dyDescent="0.3">
      <c r="L3036" s="6" t="s">
        <v>190</v>
      </c>
      <c r="M3036" s="6" t="s">
        <v>359</v>
      </c>
      <c r="N3036" s="6" t="s">
        <v>138</v>
      </c>
      <c r="O3036" s="6" t="s">
        <v>139</v>
      </c>
      <c r="P3036" s="19">
        <v>0</v>
      </c>
    </row>
    <row r="3037" spans="12:16" ht="15.75" customHeight="1" x14ac:dyDescent="0.3">
      <c r="L3037" s="6" t="s">
        <v>190</v>
      </c>
      <c r="M3037" s="6" t="s">
        <v>359</v>
      </c>
      <c r="N3037" s="6" t="s">
        <v>30</v>
      </c>
      <c r="O3037" s="6" t="s">
        <v>148</v>
      </c>
      <c r="P3037" s="19">
        <v>0</v>
      </c>
    </row>
    <row r="3038" spans="12:16" ht="15.75" customHeight="1" x14ac:dyDescent="0.3">
      <c r="L3038" s="6" t="s">
        <v>190</v>
      </c>
      <c r="M3038" s="6" t="s">
        <v>359</v>
      </c>
      <c r="N3038" s="6" t="s">
        <v>156</v>
      </c>
      <c r="O3038" s="6" t="s">
        <v>157</v>
      </c>
      <c r="P3038" s="25" t="s">
        <v>169</v>
      </c>
    </row>
    <row r="3039" spans="12:16" ht="15.75" customHeight="1" x14ac:dyDescent="0.3">
      <c r="L3039" s="6" t="s">
        <v>190</v>
      </c>
      <c r="M3039" s="6" t="s">
        <v>359</v>
      </c>
      <c r="N3039" s="6" t="s">
        <v>158</v>
      </c>
      <c r="O3039" s="6" t="s">
        <v>159</v>
      </c>
      <c r="P3039" s="19">
        <v>1</v>
      </c>
    </row>
    <row r="3040" spans="12:16" ht="15.75" customHeight="1" x14ac:dyDescent="0.3">
      <c r="L3040" s="6" t="s">
        <v>190</v>
      </c>
      <c r="M3040" s="6" t="s">
        <v>359</v>
      </c>
      <c r="N3040" s="6" t="s">
        <v>160</v>
      </c>
      <c r="O3040" s="6" t="s">
        <v>161</v>
      </c>
      <c r="P3040" s="25" t="s">
        <v>169</v>
      </c>
    </row>
    <row r="3041" spans="12:16" ht="15.75" customHeight="1" x14ac:dyDescent="0.3">
      <c r="L3041" s="6" t="s">
        <v>190</v>
      </c>
      <c r="M3041" s="6" t="s">
        <v>359</v>
      </c>
      <c r="N3041" s="6" t="s">
        <v>162</v>
      </c>
      <c r="O3041" s="6" t="s">
        <v>163</v>
      </c>
      <c r="P3041" s="19">
        <v>0</v>
      </c>
    </row>
    <row r="3042" spans="12:16" ht="15.75" customHeight="1" x14ac:dyDescent="0.3">
      <c r="L3042" s="6" t="s">
        <v>190</v>
      </c>
      <c r="M3042" s="6" t="s">
        <v>359</v>
      </c>
      <c r="N3042" s="6" t="s">
        <v>165</v>
      </c>
      <c r="O3042" s="6" t="s">
        <v>166</v>
      </c>
      <c r="P3042" s="19">
        <v>0</v>
      </c>
    </row>
    <row r="3043" spans="12:16" ht="15.75" customHeight="1" x14ac:dyDescent="0.3">
      <c r="L3043" s="6" t="s">
        <v>190</v>
      </c>
      <c r="M3043" s="6" t="s">
        <v>345</v>
      </c>
      <c r="N3043" s="6" t="s">
        <v>72</v>
      </c>
      <c r="O3043" s="6" t="s">
        <v>75</v>
      </c>
      <c r="P3043" s="19">
        <v>0</v>
      </c>
    </row>
    <row r="3044" spans="12:16" ht="15.75" customHeight="1" x14ac:dyDescent="0.3">
      <c r="L3044" s="6" t="s">
        <v>190</v>
      </c>
      <c r="M3044" s="6" t="s">
        <v>345</v>
      </c>
      <c r="N3044" s="6" t="s">
        <v>83</v>
      </c>
      <c r="O3044" s="6" t="s">
        <v>84</v>
      </c>
      <c r="P3044" s="19">
        <v>0</v>
      </c>
    </row>
    <row r="3045" spans="12:16" ht="15.75" customHeight="1" x14ac:dyDescent="0.3">
      <c r="L3045" s="6" t="s">
        <v>190</v>
      </c>
      <c r="M3045" s="6" t="s">
        <v>345</v>
      </c>
      <c r="N3045" s="6" t="s">
        <v>88</v>
      </c>
      <c r="O3045" s="6" t="s">
        <v>90</v>
      </c>
      <c r="P3045" s="19">
        <v>0</v>
      </c>
    </row>
    <row r="3046" spans="12:16" ht="15.75" customHeight="1" x14ac:dyDescent="0.3">
      <c r="L3046" s="6" t="s">
        <v>190</v>
      </c>
      <c r="M3046" s="6" t="s">
        <v>345</v>
      </c>
      <c r="N3046" s="6" t="s">
        <v>96</v>
      </c>
      <c r="O3046" s="6" t="s">
        <v>97</v>
      </c>
      <c r="P3046" s="19">
        <v>0</v>
      </c>
    </row>
    <row r="3047" spans="12:16" ht="15.75" customHeight="1" x14ac:dyDescent="0.3">
      <c r="L3047" s="6" t="s">
        <v>190</v>
      </c>
      <c r="M3047" s="6" t="s">
        <v>345</v>
      </c>
      <c r="N3047" s="6" t="s">
        <v>100</v>
      </c>
      <c r="O3047" s="6" t="s">
        <v>101</v>
      </c>
      <c r="P3047" s="19">
        <v>0</v>
      </c>
    </row>
    <row r="3048" spans="12:16" ht="15.75" customHeight="1" x14ac:dyDescent="0.3">
      <c r="L3048" s="6" t="s">
        <v>190</v>
      </c>
      <c r="M3048" s="6" t="s">
        <v>345</v>
      </c>
      <c r="N3048" s="6" t="s">
        <v>22</v>
      </c>
      <c r="O3048" s="6" t="s">
        <v>104</v>
      </c>
      <c r="P3048" s="19">
        <v>0</v>
      </c>
    </row>
    <row r="3049" spans="12:16" ht="15.75" customHeight="1" x14ac:dyDescent="0.3">
      <c r="L3049" s="6" t="s">
        <v>190</v>
      </c>
      <c r="M3049" s="6" t="s">
        <v>345</v>
      </c>
      <c r="N3049" s="6" t="s">
        <v>23</v>
      </c>
      <c r="O3049" s="6" t="s">
        <v>107</v>
      </c>
      <c r="P3049" s="19">
        <v>0</v>
      </c>
    </row>
    <row r="3050" spans="12:16" ht="15.75" customHeight="1" x14ac:dyDescent="0.3">
      <c r="L3050" s="6" t="s">
        <v>190</v>
      </c>
      <c r="M3050" s="6" t="s">
        <v>345</v>
      </c>
      <c r="N3050" s="6" t="s">
        <v>24</v>
      </c>
      <c r="O3050" s="6" t="s">
        <v>109</v>
      </c>
      <c r="P3050" s="19">
        <v>0</v>
      </c>
    </row>
    <row r="3051" spans="12:16" ht="15.75" customHeight="1" x14ac:dyDescent="0.3">
      <c r="L3051" s="6" t="s">
        <v>190</v>
      </c>
      <c r="M3051" s="6" t="s">
        <v>345</v>
      </c>
      <c r="N3051" s="6" t="s">
        <v>25</v>
      </c>
      <c r="O3051" s="6" t="s">
        <v>111</v>
      </c>
      <c r="P3051" s="19">
        <v>1</v>
      </c>
    </row>
    <row r="3052" spans="12:16" ht="15.75" customHeight="1" x14ac:dyDescent="0.3">
      <c r="L3052" s="6" t="s">
        <v>190</v>
      </c>
      <c r="M3052" s="6" t="s">
        <v>345</v>
      </c>
      <c r="N3052" s="6" t="s">
        <v>26</v>
      </c>
      <c r="O3052" s="6" t="s">
        <v>113</v>
      </c>
      <c r="P3052" s="19">
        <v>1</v>
      </c>
    </row>
    <row r="3053" spans="12:16" ht="15.75" customHeight="1" x14ac:dyDescent="0.3">
      <c r="L3053" s="6" t="s">
        <v>190</v>
      </c>
      <c r="M3053" s="6" t="s">
        <v>345</v>
      </c>
      <c r="N3053" s="6" t="s">
        <v>27</v>
      </c>
      <c r="O3053" s="6" t="s">
        <v>117</v>
      </c>
      <c r="P3053" s="19">
        <v>0</v>
      </c>
    </row>
    <row r="3054" spans="12:16" ht="15.75" customHeight="1" x14ac:dyDescent="0.3">
      <c r="L3054" s="6" t="s">
        <v>190</v>
      </c>
      <c r="M3054" s="6" t="s">
        <v>345</v>
      </c>
      <c r="N3054" s="6" t="s">
        <v>29</v>
      </c>
      <c r="O3054" s="6" t="s">
        <v>125</v>
      </c>
      <c r="P3054" s="19">
        <v>0</v>
      </c>
    </row>
    <row r="3055" spans="12:16" ht="15.75" customHeight="1" x14ac:dyDescent="0.3">
      <c r="L3055" s="6" t="s">
        <v>190</v>
      </c>
      <c r="M3055" s="6" t="s">
        <v>345</v>
      </c>
      <c r="N3055" s="6" t="s">
        <v>135</v>
      </c>
      <c r="O3055" s="6" t="s">
        <v>136</v>
      </c>
      <c r="P3055" s="19">
        <v>0</v>
      </c>
    </row>
    <row r="3056" spans="12:16" ht="15.75" customHeight="1" x14ac:dyDescent="0.3">
      <c r="L3056" s="6" t="s">
        <v>190</v>
      </c>
      <c r="M3056" s="6" t="s">
        <v>345</v>
      </c>
      <c r="N3056" s="6" t="s">
        <v>138</v>
      </c>
      <c r="O3056" s="6" t="s">
        <v>139</v>
      </c>
      <c r="P3056" s="19">
        <v>0</v>
      </c>
    </row>
    <row r="3057" spans="12:16" ht="15.75" customHeight="1" x14ac:dyDescent="0.3">
      <c r="L3057" s="6" t="s">
        <v>190</v>
      </c>
      <c r="M3057" s="6" t="s">
        <v>345</v>
      </c>
      <c r="N3057" s="6" t="s">
        <v>30</v>
      </c>
      <c r="O3057" s="6" t="s">
        <v>148</v>
      </c>
      <c r="P3057" s="19">
        <v>0</v>
      </c>
    </row>
    <row r="3058" spans="12:16" ht="15.75" customHeight="1" x14ac:dyDescent="0.3">
      <c r="L3058" s="6" t="s">
        <v>190</v>
      </c>
      <c r="M3058" s="6" t="s">
        <v>345</v>
      </c>
      <c r="N3058" s="6" t="s">
        <v>156</v>
      </c>
      <c r="O3058" s="6" t="s">
        <v>157</v>
      </c>
      <c r="P3058" s="25" t="s">
        <v>169</v>
      </c>
    </row>
    <row r="3059" spans="12:16" ht="15.75" customHeight="1" x14ac:dyDescent="0.3">
      <c r="L3059" s="6" t="s">
        <v>190</v>
      </c>
      <c r="M3059" s="6" t="s">
        <v>345</v>
      </c>
      <c r="N3059" s="6" t="s">
        <v>158</v>
      </c>
      <c r="O3059" s="6" t="s">
        <v>159</v>
      </c>
      <c r="P3059" s="19">
        <v>1</v>
      </c>
    </row>
    <row r="3060" spans="12:16" ht="15.75" customHeight="1" x14ac:dyDescent="0.3">
      <c r="L3060" s="6" t="s">
        <v>190</v>
      </c>
      <c r="M3060" s="6" t="s">
        <v>345</v>
      </c>
      <c r="N3060" s="6" t="s">
        <v>160</v>
      </c>
      <c r="O3060" s="6" t="s">
        <v>161</v>
      </c>
      <c r="P3060" s="25" t="s">
        <v>169</v>
      </c>
    </row>
    <row r="3061" spans="12:16" ht="15.75" customHeight="1" x14ac:dyDescent="0.3">
      <c r="L3061" s="6" t="s">
        <v>190</v>
      </c>
      <c r="M3061" s="6" t="s">
        <v>345</v>
      </c>
      <c r="N3061" s="6" t="s">
        <v>162</v>
      </c>
      <c r="O3061" s="6" t="s">
        <v>163</v>
      </c>
      <c r="P3061" s="19">
        <v>0</v>
      </c>
    </row>
    <row r="3062" spans="12:16" ht="15.75" customHeight="1" x14ac:dyDescent="0.3">
      <c r="L3062" s="6" t="s">
        <v>190</v>
      </c>
      <c r="M3062" s="6" t="s">
        <v>345</v>
      </c>
      <c r="N3062" s="6" t="s">
        <v>165</v>
      </c>
      <c r="O3062" s="6" t="s">
        <v>166</v>
      </c>
      <c r="P3062" s="19">
        <v>1</v>
      </c>
    </row>
    <row r="3063" spans="12:16" ht="15.75" customHeight="1" x14ac:dyDescent="0.3">
      <c r="L3063" s="6" t="s">
        <v>190</v>
      </c>
      <c r="M3063" s="6" t="s">
        <v>339</v>
      </c>
      <c r="N3063" s="6" t="s">
        <v>72</v>
      </c>
      <c r="O3063" s="6" t="s">
        <v>75</v>
      </c>
      <c r="P3063" s="19">
        <v>0</v>
      </c>
    </row>
    <row r="3064" spans="12:16" ht="15.75" customHeight="1" x14ac:dyDescent="0.3">
      <c r="L3064" s="6" t="s">
        <v>190</v>
      </c>
      <c r="M3064" s="6" t="s">
        <v>339</v>
      </c>
      <c r="N3064" s="6" t="s">
        <v>83</v>
      </c>
      <c r="O3064" s="6" t="s">
        <v>84</v>
      </c>
      <c r="P3064" s="19">
        <v>0</v>
      </c>
    </row>
    <row r="3065" spans="12:16" ht="15.75" customHeight="1" x14ac:dyDescent="0.3">
      <c r="L3065" s="6" t="s">
        <v>190</v>
      </c>
      <c r="M3065" s="6" t="s">
        <v>339</v>
      </c>
      <c r="N3065" s="6" t="s">
        <v>88</v>
      </c>
      <c r="O3065" s="6" t="s">
        <v>90</v>
      </c>
      <c r="P3065" s="19">
        <v>0</v>
      </c>
    </row>
    <row r="3066" spans="12:16" ht="15.75" customHeight="1" x14ac:dyDescent="0.3">
      <c r="L3066" s="6" t="s">
        <v>190</v>
      </c>
      <c r="M3066" s="6" t="s">
        <v>339</v>
      </c>
      <c r="N3066" s="6" t="s">
        <v>96</v>
      </c>
      <c r="O3066" s="6" t="s">
        <v>97</v>
      </c>
      <c r="P3066" s="19">
        <v>0</v>
      </c>
    </row>
    <row r="3067" spans="12:16" ht="15.75" customHeight="1" x14ac:dyDescent="0.3">
      <c r="L3067" s="6" t="s">
        <v>190</v>
      </c>
      <c r="M3067" s="6" t="s">
        <v>339</v>
      </c>
      <c r="N3067" s="6" t="s">
        <v>100</v>
      </c>
      <c r="O3067" s="6" t="s">
        <v>101</v>
      </c>
      <c r="P3067" s="19">
        <v>0</v>
      </c>
    </row>
    <row r="3068" spans="12:16" ht="15.75" customHeight="1" x14ac:dyDescent="0.3">
      <c r="L3068" s="6" t="s">
        <v>190</v>
      </c>
      <c r="M3068" s="6" t="s">
        <v>339</v>
      </c>
      <c r="N3068" s="6" t="s">
        <v>22</v>
      </c>
      <c r="O3068" s="6" t="s">
        <v>104</v>
      </c>
      <c r="P3068" s="19">
        <v>0</v>
      </c>
    </row>
    <row r="3069" spans="12:16" ht="15.75" customHeight="1" x14ac:dyDescent="0.3">
      <c r="L3069" s="6" t="s">
        <v>190</v>
      </c>
      <c r="M3069" s="6" t="s">
        <v>339</v>
      </c>
      <c r="N3069" s="6" t="s">
        <v>23</v>
      </c>
      <c r="O3069" s="6" t="s">
        <v>107</v>
      </c>
      <c r="P3069" s="19">
        <v>0</v>
      </c>
    </row>
    <row r="3070" spans="12:16" ht="15.75" customHeight="1" x14ac:dyDescent="0.3">
      <c r="L3070" s="6" t="s">
        <v>190</v>
      </c>
      <c r="M3070" s="6" t="s">
        <v>339</v>
      </c>
      <c r="N3070" s="6" t="s">
        <v>24</v>
      </c>
      <c r="O3070" s="6" t="s">
        <v>109</v>
      </c>
      <c r="P3070" s="19">
        <v>0</v>
      </c>
    </row>
    <row r="3071" spans="12:16" ht="15.75" customHeight="1" x14ac:dyDescent="0.3">
      <c r="L3071" s="6" t="s">
        <v>190</v>
      </c>
      <c r="M3071" s="6" t="s">
        <v>339</v>
      </c>
      <c r="N3071" s="6" t="s">
        <v>25</v>
      </c>
      <c r="O3071" s="6" t="s">
        <v>111</v>
      </c>
      <c r="P3071" s="19">
        <v>1</v>
      </c>
    </row>
    <row r="3072" spans="12:16" ht="15.75" customHeight="1" x14ac:dyDescent="0.3">
      <c r="L3072" s="6" t="s">
        <v>190</v>
      </c>
      <c r="M3072" s="6" t="s">
        <v>339</v>
      </c>
      <c r="N3072" s="6" t="s">
        <v>26</v>
      </c>
      <c r="O3072" s="6" t="s">
        <v>113</v>
      </c>
      <c r="P3072" s="19">
        <v>1</v>
      </c>
    </row>
    <row r="3073" spans="12:16" ht="15.75" customHeight="1" x14ac:dyDescent="0.3">
      <c r="L3073" s="6" t="s">
        <v>190</v>
      </c>
      <c r="M3073" s="6" t="s">
        <v>339</v>
      </c>
      <c r="N3073" s="6" t="s">
        <v>27</v>
      </c>
      <c r="O3073" s="6" t="s">
        <v>117</v>
      </c>
      <c r="P3073" s="19">
        <v>0</v>
      </c>
    </row>
    <row r="3074" spans="12:16" ht="15.75" customHeight="1" x14ac:dyDescent="0.3">
      <c r="L3074" s="6" t="s">
        <v>190</v>
      </c>
      <c r="M3074" s="6" t="s">
        <v>339</v>
      </c>
      <c r="N3074" s="6" t="s">
        <v>29</v>
      </c>
      <c r="O3074" s="6" t="s">
        <v>125</v>
      </c>
      <c r="P3074" s="19">
        <v>0</v>
      </c>
    </row>
    <row r="3075" spans="12:16" ht="15.75" customHeight="1" x14ac:dyDescent="0.3">
      <c r="L3075" s="6" t="s">
        <v>190</v>
      </c>
      <c r="M3075" s="6" t="s">
        <v>339</v>
      </c>
      <c r="N3075" s="6" t="s">
        <v>135</v>
      </c>
      <c r="O3075" s="6" t="s">
        <v>136</v>
      </c>
      <c r="P3075" s="19">
        <v>0</v>
      </c>
    </row>
    <row r="3076" spans="12:16" ht="15.75" customHeight="1" x14ac:dyDescent="0.3">
      <c r="L3076" s="6" t="s">
        <v>190</v>
      </c>
      <c r="M3076" s="6" t="s">
        <v>339</v>
      </c>
      <c r="N3076" s="6" t="s">
        <v>138</v>
      </c>
      <c r="O3076" s="6" t="s">
        <v>139</v>
      </c>
      <c r="P3076" s="19">
        <v>0</v>
      </c>
    </row>
    <row r="3077" spans="12:16" ht="15.75" customHeight="1" x14ac:dyDescent="0.3">
      <c r="L3077" s="6" t="s">
        <v>190</v>
      </c>
      <c r="M3077" s="6" t="s">
        <v>339</v>
      </c>
      <c r="N3077" s="6" t="s">
        <v>30</v>
      </c>
      <c r="O3077" s="6" t="s">
        <v>148</v>
      </c>
      <c r="P3077" s="19">
        <v>0</v>
      </c>
    </row>
    <row r="3078" spans="12:16" ht="15.75" customHeight="1" x14ac:dyDescent="0.3">
      <c r="L3078" s="6" t="s">
        <v>190</v>
      </c>
      <c r="M3078" s="6" t="s">
        <v>339</v>
      </c>
      <c r="N3078" s="6" t="s">
        <v>156</v>
      </c>
      <c r="O3078" s="6" t="s">
        <v>157</v>
      </c>
      <c r="P3078" s="25" t="s">
        <v>169</v>
      </c>
    </row>
    <row r="3079" spans="12:16" ht="15.75" customHeight="1" x14ac:dyDescent="0.3">
      <c r="L3079" s="6" t="s">
        <v>190</v>
      </c>
      <c r="M3079" s="6" t="s">
        <v>339</v>
      </c>
      <c r="N3079" s="6" t="s">
        <v>158</v>
      </c>
      <c r="O3079" s="6" t="s">
        <v>159</v>
      </c>
      <c r="P3079" s="19">
        <v>1</v>
      </c>
    </row>
    <row r="3080" spans="12:16" ht="15.75" customHeight="1" x14ac:dyDescent="0.3">
      <c r="L3080" s="6" t="s">
        <v>190</v>
      </c>
      <c r="M3080" s="6" t="s">
        <v>339</v>
      </c>
      <c r="N3080" s="6" t="s">
        <v>160</v>
      </c>
      <c r="O3080" s="6" t="s">
        <v>161</v>
      </c>
      <c r="P3080" s="25" t="s">
        <v>169</v>
      </c>
    </row>
    <row r="3081" spans="12:16" ht="15.75" customHeight="1" x14ac:dyDescent="0.3">
      <c r="L3081" s="6" t="s">
        <v>190</v>
      </c>
      <c r="M3081" s="6" t="s">
        <v>339</v>
      </c>
      <c r="N3081" s="6" t="s">
        <v>162</v>
      </c>
      <c r="O3081" s="6" t="s">
        <v>163</v>
      </c>
      <c r="P3081" s="19">
        <v>0</v>
      </c>
    </row>
    <row r="3082" spans="12:16" ht="15.75" customHeight="1" x14ac:dyDescent="0.3">
      <c r="L3082" s="6" t="s">
        <v>190</v>
      </c>
      <c r="M3082" s="6" t="s">
        <v>339</v>
      </c>
      <c r="N3082" s="6" t="s">
        <v>165</v>
      </c>
      <c r="O3082" s="6" t="s">
        <v>166</v>
      </c>
      <c r="P3082" s="19">
        <v>1</v>
      </c>
    </row>
    <row r="3083" spans="12:16" ht="15.75" customHeight="1" x14ac:dyDescent="0.3">
      <c r="L3083" s="6" t="s">
        <v>191</v>
      </c>
      <c r="M3083" s="6" t="s">
        <v>427</v>
      </c>
      <c r="N3083" s="6" t="s">
        <v>72</v>
      </c>
      <c r="O3083" s="6" t="s">
        <v>75</v>
      </c>
      <c r="P3083" s="19">
        <v>0</v>
      </c>
    </row>
    <row r="3084" spans="12:16" ht="15.75" customHeight="1" x14ac:dyDescent="0.3">
      <c r="L3084" s="6" t="s">
        <v>191</v>
      </c>
      <c r="M3084" s="6" t="s">
        <v>427</v>
      </c>
      <c r="N3084" s="6" t="s">
        <v>83</v>
      </c>
      <c r="O3084" s="6" t="s">
        <v>84</v>
      </c>
      <c r="P3084" s="19">
        <v>0</v>
      </c>
    </row>
    <row r="3085" spans="12:16" ht="15.75" customHeight="1" x14ac:dyDescent="0.3">
      <c r="L3085" s="6" t="s">
        <v>191</v>
      </c>
      <c r="M3085" s="6" t="s">
        <v>427</v>
      </c>
      <c r="N3085" s="6" t="s">
        <v>88</v>
      </c>
      <c r="O3085" s="6" t="s">
        <v>90</v>
      </c>
      <c r="P3085" s="19">
        <v>1</v>
      </c>
    </row>
    <row r="3086" spans="12:16" ht="15.75" customHeight="1" x14ac:dyDescent="0.3">
      <c r="L3086" s="6" t="s">
        <v>191</v>
      </c>
      <c r="M3086" s="6" t="s">
        <v>427</v>
      </c>
      <c r="N3086" s="6" t="s">
        <v>96</v>
      </c>
      <c r="O3086" s="6" t="s">
        <v>97</v>
      </c>
      <c r="P3086" s="19">
        <v>2</v>
      </c>
    </row>
    <row r="3087" spans="12:16" ht="15.75" customHeight="1" x14ac:dyDescent="0.3">
      <c r="L3087" s="6" t="s">
        <v>191</v>
      </c>
      <c r="M3087" s="6" t="s">
        <v>427</v>
      </c>
      <c r="N3087" s="6" t="s">
        <v>100</v>
      </c>
      <c r="O3087" s="6" t="s">
        <v>101</v>
      </c>
      <c r="P3087" s="19">
        <v>1</v>
      </c>
    </row>
    <row r="3088" spans="12:16" ht="15.75" customHeight="1" x14ac:dyDescent="0.3">
      <c r="L3088" s="6" t="s">
        <v>191</v>
      </c>
      <c r="M3088" s="6" t="s">
        <v>427</v>
      </c>
      <c r="N3088" s="6" t="s">
        <v>22</v>
      </c>
      <c r="O3088" s="6" t="s">
        <v>104</v>
      </c>
      <c r="P3088" s="17">
        <v>2.5</v>
      </c>
    </row>
    <row r="3089" spans="12:16" ht="15.75" customHeight="1" x14ac:dyDescent="0.3">
      <c r="L3089" s="6" t="s">
        <v>191</v>
      </c>
      <c r="M3089" s="6" t="s">
        <v>427</v>
      </c>
      <c r="N3089" s="6" t="s">
        <v>23</v>
      </c>
      <c r="O3089" s="6" t="s">
        <v>107</v>
      </c>
      <c r="P3089" s="17">
        <v>49.128700000000002</v>
      </c>
    </row>
    <row r="3090" spans="12:16" ht="15.75" customHeight="1" x14ac:dyDescent="0.3">
      <c r="L3090" s="6" t="s">
        <v>191</v>
      </c>
      <c r="M3090" s="6" t="s">
        <v>427</v>
      </c>
      <c r="N3090" s="6" t="s">
        <v>24</v>
      </c>
      <c r="O3090" s="6" t="s">
        <v>109</v>
      </c>
      <c r="P3090" s="17">
        <v>4.4999999999999997E-3</v>
      </c>
    </row>
    <row r="3091" spans="12:16" ht="15.75" customHeight="1" x14ac:dyDescent="0.3">
      <c r="L3091" s="6" t="s">
        <v>191</v>
      </c>
      <c r="M3091" s="6" t="s">
        <v>427</v>
      </c>
      <c r="N3091" s="6" t="s">
        <v>25</v>
      </c>
      <c r="O3091" s="6" t="s">
        <v>111</v>
      </c>
      <c r="P3091" s="19">
        <v>7</v>
      </c>
    </row>
    <row r="3092" spans="12:16" ht="15.75" customHeight="1" x14ac:dyDescent="0.3">
      <c r="L3092" s="6" t="s">
        <v>191</v>
      </c>
      <c r="M3092" s="6" t="s">
        <v>427</v>
      </c>
      <c r="N3092" s="6" t="s">
        <v>26</v>
      </c>
      <c r="O3092" s="6" t="s">
        <v>113</v>
      </c>
      <c r="P3092" s="19">
        <v>7</v>
      </c>
    </row>
    <row r="3093" spans="12:16" ht="15.75" customHeight="1" x14ac:dyDescent="0.3">
      <c r="L3093" s="6" t="s">
        <v>191</v>
      </c>
      <c r="M3093" s="6" t="s">
        <v>427</v>
      </c>
      <c r="N3093" s="6" t="s">
        <v>27</v>
      </c>
      <c r="O3093" s="6" t="s">
        <v>117</v>
      </c>
      <c r="P3093" s="17">
        <v>19.651499999999999</v>
      </c>
    </row>
    <row r="3094" spans="12:16" ht="15.75" customHeight="1" x14ac:dyDescent="0.3">
      <c r="L3094" s="6" t="s">
        <v>191</v>
      </c>
      <c r="M3094" s="6" t="s">
        <v>427</v>
      </c>
      <c r="N3094" s="6" t="s">
        <v>29</v>
      </c>
      <c r="O3094" s="6" t="s">
        <v>125</v>
      </c>
      <c r="P3094" s="19">
        <v>10</v>
      </c>
    </row>
    <row r="3095" spans="12:16" ht="15.75" customHeight="1" x14ac:dyDescent="0.3">
      <c r="L3095" s="6" t="s">
        <v>191</v>
      </c>
      <c r="M3095" s="6" t="s">
        <v>427</v>
      </c>
      <c r="N3095" s="6" t="s">
        <v>135</v>
      </c>
      <c r="O3095" s="6" t="s">
        <v>136</v>
      </c>
      <c r="P3095" s="19">
        <v>0</v>
      </c>
    </row>
    <row r="3096" spans="12:16" ht="15.75" customHeight="1" x14ac:dyDescent="0.3">
      <c r="L3096" s="6" t="s">
        <v>191</v>
      </c>
      <c r="M3096" s="6" t="s">
        <v>427</v>
      </c>
      <c r="N3096" s="6" t="s">
        <v>138</v>
      </c>
      <c r="O3096" s="6" t="s">
        <v>139</v>
      </c>
      <c r="P3096" s="19">
        <v>0</v>
      </c>
    </row>
    <row r="3097" spans="12:16" ht="15.75" customHeight="1" x14ac:dyDescent="0.3">
      <c r="L3097" s="6" t="s">
        <v>191</v>
      </c>
      <c r="M3097" s="6" t="s">
        <v>427</v>
      </c>
      <c r="N3097" s="6" t="s">
        <v>30</v>
      </c>
      <c r="O3097" s="6" t="s">
        <v>148</v>
      </c>
      <c r="P3097" s="17">
        <v>69.232200000000006</v>
      </c>
    </row>
    <row r="3098" spans="12:16" ht="15.75" customHeight="1" x14ac:dyDescent="0.3">
      <c r="L3098" s="6" t="s">
        <v>191</v>
      </c>
      <c r="M3098" s="6" t="s">
        <v>427</v>
      </c>
      <c r="N3098" s="6" t="s">
        <v>156</v>
      </c>
      <c r="O3098" s="6" t="s">
        <v>157</v>
      </c>
      <c r="P3098" s="19">
        <v>0</v>
      </c>
    </row>
    <row r="3099" spans="12:16" ht="15.75" customHeight="1" x14ac:dyDescent="0.3">
      <c r="L3099" s="6" t="s">
        <v>191</v>
      </c>
      <c r="M3099" s="6" t="s">
        <v>427</v>
      </c>
      <c r="N3099" s="6" t="s">
        <v>158</v>
      </c>
      <c r="O3099" s="6" t="s">
        <v>159</v>
      </c>
      <c r="P3099" s="19">
        <v>1</v>
      </c>
    </row>
    <row r="3100" spans="12:16" ht="15.75" customHeight="1" x14ac:dyDescent="0.3">
      <c r="L3100" s="6" t="s">
        <v>191</v>
      </c>
      <c r="M3100" s="6" t="s">
        <v>427</v>
      </c>
      <c r="N3100" s="6" t="s">
        <v>160</v>
      </c>
      <c r="O3100" s="6" t="s">
        <v>161</v>
      </c>
      <c r="P3100" s="19">
        <v>1</v>
      </c>
    </row>
    <row r="3101" spans="12:16" ht="15.75" customHeight="1" x14ac:dyDescent="0.3">
      <c r="L3101" s="6" t="s">
        <v>191</v>
      </c>
      <c r="M3101" s="6" t="s">
        <v>427</v>
      </c>
      <c r="N3101" s="6" t="s">
        <v>162</v>
      </c>
      <c r="O3101" s="6" t="s">
        <v>163</v>
      </c>
      <c r="P3101" s="19">
        <v>0</v>
      </c>
    </row>
    <row r="3102" spans="12:16" ht="15.75" customHeight="1" x14ac:dyDescent="0.3">
      <c r="L3102" s="6" t="s">
        <v>191</v>
      </c>
      <c r="M3102" s="6" t="s">
        <v>427</v>
      </c>
      <c r="N3102" s="6" t="s">
        <v>165</v>
      </c>
      <c r="O3102" s="6" t="s">
        <v>166</v>
      </c>
      <c r="P3102" s="19">
        <v>1</v>
      </c>
    </row>
    <row r="3103" spans="12:16" ht="15.75" customHeight="1" x14ac:dyDescent="0.3">
      <c r="L3103" s="6" t="s">
        <v>192</v>
      </c>
      <c r="M3103" s="6" t="s">
        <v>482</v>
      </c>
      <c r="N3103" s="6" t="s">
        <v>72</v>
      </c>
      <c r="O3103" s="6" t="s">
        <v>75</v>
      </c>
      <c r="P3103" s="19">
        <v>0</v>
      </c>
    </row>
    <row r="3104" spans="12:16" ht="15.75" customHeight="1" x14ac:dyDescent="0.3">
      <c r="L3104" s="6" t="s">
        <v>192</v>
      </c>
      <c r="M3104" s="6" t="s">
        <v>482</v>
      </c>
      <c r="N3104" s="6" t="s">
        <v>83</v>
      </c>
      <c r="O3104" s="6" t="s">
        <v>84</v>
      </c>
      <c r="P3104" s="19">
        <v>0</v>
      </c>
    </row>
    <row r="3105" spans="12:16" ht="15.75" customHeight="1" x14ac:dyDescent="0.3">
      <c r="L3105" s="6" t="s">
        <v>192</v>
      </c>
      <c r="M3105" s="6" t="s">
        <v>482</v>
      </c>
      <c r="N3105" s="6" t="s">
        <v>88</v>
      </c>
      <c r="O3105" s="6" t="s">
        <v>90</v>
      </c>
      <c r="P3105" s="19">
        <v>0</v>
      </c>
    </row>
    <row r="3106" spans="12:16" ht="15.75" customHeight="1" x14ac:dyDescent="0.3">
      <c r="L3106" s="6" t="s">
        <v>192</v>
      </c>
      <c r="M3106" s="6" t="s">
        <v>482</v>
      </c>
      <c r="N3106" s="6" t="s">
        <v>96</v>
      </c>
      <c r="O3106" s="6" t="s">
        <v>97</v>
      </c>
      <c r="P3106" s="19">
        <v>0</v>
      </c>
    </row>
    <row r="3107" spans="12:16" ht="15.75" customHeight="1" x14ac:dyDescent="0.3">
      <c r="L3107" s="6" t="s">
        <v>192</v>
      </c>
      <c r="M3107" s="6" t="s">
        <v>482</v>
      </c>
      <c r="N3107" s="6" t="s">
        <v>100</v>
      </c>
      <c r="O3107" s="6" t="s">
        <v>101</v>
      </c>
      <c r="P3107" s="19">
        <v>0</v>
      </c>
    </row>
    <row r="3108" spans="12:16" ht="15.75" customHeight="1" x14ac:dyDescent="0.3">
      <c r="L3108" s="6" t="s">
        <v>192</v>
      </c>
      <c r="M3108" s="6" t="s">
        <v>482</v>
      </c>
      <c r="N3108" s="6" t="s">
        <v>22</v>
      </c>
      <c r="O3108" s="6" t="s">
        <v>104</v>
      </c>
      <c r="P3108" s="17">
        <v>1.5</v>
      </c>
    </row>
    <row r="3109" spans="12:16" ht="15.75" customHeight="1" x14ac:dyDescent="0.3">
      <c r="L3109" s="6" t="s">
        <v>192</v>
      </c>
      <c r="M3109" s="6" t="s">
        <v>482</v>
      </c>
      <c r="N3109" s="6" t="s">
        <v>23</v>
      </c>
      <c r="O3109" s="6" t="s">
        <v>107</v>
      </c>
      <c r="P3109" s="17">
        <v>52.303800000000003</v>
      </c>
    </row>
    <row r="3110" spans="12:16" ht="15.75" customHeight="1" x14ac:dyDescent="0.3">
      <c r="L3110" s="6" t="s">
        <v>192</v>
      </c>
      <c r="M3110" s="6" t="s">
        <v>482</v>
      </c>
      <c r="N3110" s="6" t="s">
        <v>24</v>
      </c>
      <c r="O3110" s="6" t="s">
        <v>109</v>
      </c>
      <c r="P3110" s="17">
        <v>4.7000000000000002E-3</v>
      </c>
    </row>
    <row r="3111" spans="12:16" ht="15.75" customHeight="1" x14ac:dyDescent="0.3">
      <c r="L3111" s="6" t="s">
        <v>192</v>
      </c>
      <c r="M3111" s="6" t="s">
        <v>482</v>
      </c>
      <c r="N3111" s="6" t="s">
        <v>25</v>
      </c>
      <c r="O3111" s="6" t="s">
        <v>111</v>
      </c>
      <c r="P3111" s="19">
        <v>11</v>
      </c>
    </row>
    <row r="3112" spans="12:16" ht="15.75" customHeight="1" x14ac:dyDescent="0.3">
      <c r="L3112" s="6" t="s">
        <v>192</v>
      </c>
      <c r="M3112" s="6" t="s">
        <v>482</v>
      </c>
      <c r="N3112" s="6" t="s">
        <v>26</v>
      </c>
      <c r="O3112" s="6" t="s">
        <v>113</v>
      </c>
      <c r="P3112" s="19">
        <v>9</v>
      </c>
    </row>
    <row r="3113" spans="12:16" ht="15.75" customHeight="1" x14ac:dyDescent="0.3">
      <c r="L3113" s="6" t="s">
        <v>192</v>
      </c>
      <c r="M3113" s="6" t="s">
        <v>482</v>
      </c>
      <c r="N3113" s="6" t="s">
        <v>27</v>
      </c>
      <c r="O3113" s="6" t="s">
        <v>117</v>
      </c>
      <c r="P3113" s="17">
        <v>34.869199999999999</v>
      </c>
    </row>
    <row r="3114" spans="12:16" ht="15.75" customHeight="1" x14ac:dyDescent="0.3">
      <c r="L3114" s="6" t="s">
        <v>192</v>
      </c>
      <c r="M3114" s="6" t="s">
        <v>482</v>
      </c>
      <c r="N3114" s="6" t="s">
        <v>29</v>
      </c>
      <c r="O3114" s="6" t="s">
        <v>125</v>
      </c>
      <c r="P3114" s="19">
        <v>6</v>
      </c>
    </row>
    <row r="3115" spans="12:16" ht="15.75" customHeight="1" x14ac:dyDescent="0.3">
      <c r="L3115" s="6" t="s">
        <v>192</v>
      </c>
      <c r="M3115" s="6" t="s">
        <v>482</v>
      </c>
      <c r="N3115" s="6" t="s">
        <v>135</v>
      </c>
      <c r="O3115" s="6" t="s">
        <v>136</v>
      </c>
      <c r="P3115" s="19">
        <v>1</v>
      </c>
    </row>
    <row r="3116" spans="12:16" ht="15.75" customHeight="1" x14ac:dyDescent="0.3">
      <c r="L3116" s="6" t="s">
        <v>192</v>
      </c>
      <c r="M3116" s="6" t="s">
        <v>482</v>
      </c>
      <c r="N3116" s="6" t="s">
        <v>138</v>
      </c>
      <c r="O3116" s="6" t="s">
        <v>139</v>
      </c>
      <c r="P3116" s="19">
        <v>0</v>
      </c>
    </row>
    <row r="3117" spans="12:16" ht="15.75" customHeight="1" x14ac:dyDescent="0.3">
      <c r="L3117" s="6" t="s">
        <v>192</v>
      </c>
      <c r="M3117" s="6" t="s">
        <v>482</v>
      </c>
      <c r="N3117" s="6" t="s">
        <v>30</v>
      </c>
      <c r="O3117" s="6" t="s">
        <v>148</v>
      </c>
      <c r="P3117" s="17">
        <v>72.302000000000007</v>
      </c>
    </row>
    <row r="3118" spans="12:16" ht="15.75" customHeight="1" x14ac:dyDescent="0.3">
      <c r="L3118" s="6" t="s">
        <v>192</v>
      </c>
      <c r="M3118" s="6" t="s">
        <v>482</v>
      </c>
      <c r="N3118" s="6" t="s">
        <v>156</v>
      </c>
      <c r="O3118" s="6" t="s">
        <v>157</v>
      </c>
      <c r="P3118" s="19">
        <v>0</v>
      </c>
    </row>
    <row r="3119" spans="12:16" ht="15.75" customHeight="1" x14ac:dyDescent="0.3">
      <c r="L3119" s="6" t="s">
        <v>192</v>
      </c>
      <c r="M3119" s="6" t="s">
        <v>482</v>
      </c>
      <c r="N3119" s="6" t="s">
        <v>158</v>
      </c>
      <c r="O3119" s="6" t="s">
        <v>159</v>
      </c>
      <c r="P3119" s="19">
        <v>1</v>
      </c>
    </row>
    <row r="3120" spans="12:16" ht="15.75" customHeight="1" x14ac:dyDescent="0.3">
      <c r="L3120" s="6" t="s">
        <v>192</v>
      </c>
      <c r="M3120" s="6" t="s">
        <v>482</v>
      </c>
      <c r="N3120" s="6" t="s">
        <v>160</v>
      </c>
      <c r="O3120" s="6" t="s">
        <v>161</v>
      </c>
      <c r="P3120" s="19">
        <v>6</v>
      </c>
    </row>
    <row r="3121" spans="12:16" ht="15.75" customHeight="1" x14ac:dyDescent="0.3">
      <c r="L3121" s="6" t="s">
        <v>192</v>
      </c>
      <c r="M3121" s="6" t="s">
        <v>482</v>
      </c>
      <c r="N3121" s="6" t="s">
        <v>162</v>
      </c>
      <c r="O3121" s="6" t="s">
        <v>163</v>
      </c>
      <c r="P3121" s="19">
        <v>0</v>
      </c>
    </row>
    <row r="3122" spans="12:16" ht="15.75" customHeight="1" x14ac:dyDescent="0.3">
      <c r="L3122" s="6" t="s">
        <v>192</v>
      </c>
      <c r="M3122" s="6" t="s">
        <v>482</v>
      </c>
      <c r="N3122" s="6" t="s">
        <v>165</v>
      </c>
      <c r="O3122" s="6" t="s">
        <v>166</v>
      </c>
      <c r="P3122" s="19">
        <v>3</v>
      </c>
    </row>
    <row r="3123" spans="12:16" ht="15.75" customHeight="1" x14ac:dyDescent="0.3">
      <c r="L3123" s="6" t="s">
        <v>192</v>
      </c>
      <c r="M3123" s="6" t="s">
        <v>458</v>
      </c>
      <c r="N3123" s="6" t="s">
        <v>72</v>
      </c>
      <c r="O3123" s="6" t="s">
        <v>75</v>
      </c>
      <c r="P3123" s="19">
        <v>0</v>
      </c>
    </row>
    <row r="3124" spans="12:16" ht="15.75" customHeight="1" x14ac:dyDescent="0.3">
      <c r="L3124" s="6" t="s">
        <v>192</v>
      </c>
      <c r="M3124" s="6" t="s">
        <v>458</v>
      </c>
      <c r="N3124" s="6" t="s">
        <v>83</v>
      </c>
      <c r="O3124" s="6" t="s">
        <v>84</v>
      </c>
      <c r="P3124" s="19">
        <v>0</v>
      </c>
    </row>
    <row r="3125" spans="12:16" ht="15.75" customHeight="1" x14ac:dyDescent="0.3">
      <c r="L3125" s="6" t="s">
        <v>192</v>
      </c>
      <c r="M3125" s="6" t="s">
        <v>458</v>
      </c>
      <c r="N3125" s="6" t="s">
        <v>88</v>
      </c>
      <c r="O3125" s="6" t="s">
        <v>90</v>
      </c>
      <c r="P3125" s="19">
        <v>0</v>
      </c>
    </row>
    <row r="3126" spans="12:16" ht="15.75" customHeight="1" x14ac:dyDescent="0.3">
      <c r="L3126" s="6" t="s">
        <v>192</v>
      </c>
      <c r="M3126" s="6" t="s">
        <v>458</v>
      </c>
      <c r="N3126" s="6" t="s">
        <v>96</v>
      </c>
      <c r="O3126" s="6" t="s">
        <v>97</v>
      </c>
      <c r="P3126" s="19">
        <v>0</v>
      </c>
    </row>
    <row r="3127" spans="12:16" ht="15.75" customHeight="1" x14ac:dyDescent="0.3">
      <c r="L3127" s="6" t="s">
        <v>192</v>
      </c>
      <c r="M3127" s="6" t="s">
        <v>458</v>
      </c>
      <c r="N3127" s="6" t="s">
        <v>100</v>
      </c>
      <c r="O3127" s="6" t="s">
        <v>101</v>
      </c>
      <c r="P3127" s="19">
        <v>0</v>
      </c>
    </row>
    <row r="3128" spans="12:16" ht="15.75" customHeight="1" x14ac:dyDescent="0.3">
      <c r="L3128" s="6" t="s">
        <v>192</v>
      </c>
      <c r="M3128" s="6" t="s">
        <v>458</v>
      </c>
      <c r="N3128" s="6" t="s">
        <v>22</v>
      </c>
      <c r="O3128" s="6" t="s">
        <v>104</v>
      </c>
      <c r="P3128" s="19">
        <v>2</v>
      </c>
    </row>
    <row r="3129" spans="12:16" ht="15.75" customHeight="1" x14ac:dyDescent="0.3">
      <c r="L3129" s="6" t="s">
        <v>192</v>
      </c>
      <c r="M3129" s="6" t="s">
        <v>458</v>
      </c>
      <c r="N3129" s="6" t="s">
        <v>23</v>
      </c>
      <c r="O3129" s="6" t="s">
        <v>107</v>
      </c>
      <c r="P3129" s="17">
        <v>23.2193</v>
      </c>
    </row>
    <row r="3130" spans="12:16" ht="15.75" customHeight="1" x14ac:dyDescent="0.3">
      <c r="L3130" s="6" t="s">
        <v>192</v>
      </c>
      <c r="M3130" s="6" t="s">
        <v>458</v>
      </c>
      <c r="N3130" s="6" t="s">
        <v>24</v>
      </c>
      <c r="O3130" s="6" t="s">
        <v>109</v>
      </c>
      <c r="P3130" s="17">
        <v>2.7000000000000001E-3</v>
      </c>
    </row>
    <row r="3131" spans="12:16" ht="15.75" customHeight="1" x14ac:dyDescent="0.3">
      <c r="L3131" s="6" t="s">
        <v>192</v>
      </c>
      <c r="M3131" s="6" t="s">
        <v>458</v>
      </c>
      <c r="N3131" s="6" t="s">
        <v>25</v>
      </c>
      <c r="O3131" s="6" t="s">
        <v>111</v>
      </c>
      <c r="P3131" s="19">
        <v>5</v>
      </c>
    </row>
    <row r="3132" spans="12:16" ht="15.75" customHeight="1" x14ac:dyDescent="0.3">
      <c r="L3132" s="6" t="s">
        <v>192</v>
      </c>
      <c r="M3132" s="6" t="s">
        <v>458</v>
      </c>
      <c r="N3132" s="6" t="s">
        <v>26</v>
      </c>
      <c r="O3132" s="6" t="s">
        <v>113</v>
      </c>
      <c r="P3132" s="19">
        <v>5</v>
      </c>
    </row>
    <row r="3133" spans="12:16" ht="15.75" customHeight="1" x14ac:dyDescent="0.3">
      <c r="L3133" s="6" t="s">
        <v>192</v>
      </c>
      <c r="M3133" s="6" t="s">
        <v>458</v>
      </c>
      <c r="N3133" s="6" t="s">
        <v>27</v>
      </c>
      <c r="O3133" s="6" t="s">
        <v>117</v>
      </c>
      <c r="P3133" s="17">
        <v>11.6096</v>
      </c>
    </row>
    <row r="3134" spans="12:16" ht="15.75" customHeight="1" x14ac:dyDescent="0.3">
      <c r="L3134" s="6" t="s">
        <v>192</v>
      </c>
      <c r="M3134" s="6" t="s">
        <v>458</v>
      </c>
      <c r="N3134" s="6" t="s">
        <v>29</v>
      </c>
      <c r="O3134" s="6" t="s">
        <v>125</v>
      </c>
      <c r="P3134" s="19">
        <v>4</v>
      </c>
    </row>
    <row r="3135" spans="12:16" ht="15.75" customHeight="1" x14ac:dyDescent="0.3">
      <c r="L3135" s="6" t="s">
        <v>192</v>
      </c>
      <c r="M3135" s="6" t="s">
        <v>458</v>
      </c>
      <c r="N3135" s="6" t="s">
        <v>135</v>
      </c>
      <c r="O3135" s="6" t="s">
        <v>136</v>
      </c>
      <c r="P3135" s="19">
        <v>1</v>
      </c>
    </row>
    <row r="3136" spans="12:16" ht="15.75" customHeight="1" x14ac:dyDescent="0.3">
      <c r="L3136" s="6" t="s">
        <v>192</v>
      </c>
      <c r="M3136" s="6" t="s">
        <v>458</v>
      </c>
      <c r="N3136" s="6" t="s">
        <v>138</v>
      </c>
      <c r="O3136" s="6" t="s">
        <v>139</v>
      </c>
      <c r="P3136" s="19">
        <v>0</v>
      </c>
    </row>
    <row r="3137" spans="12:16" ht="15.75" customHeight="1" x14ac:dyDescent="0.3">
      <c r="L3137" s="6" t="s">
        <v>192</v>
      </c>
      <c r="M3137" s="6" t="s">
        <v>458</v>
      </c>
      <c r="N3137" s="6" t="s">
        <v>30</v>
      </c>
      <c r="O3137" s="6" t="s">
        <v>148</v>
      </c>
      <c r="P3137" s="17">
        <v>79.574799999999996</v>
      </c>
    </row>
    <row r="3138" spans="12:16" ht="15.75" customHeight="1" x14ac:dyDescent="0.3">
      <c r="L3138" s="6" t="s">
        <v>192</v>
      </c>
      <c r="M3138" s="6" t="s">
        <v>458</v>
      </c>
      <c r="N3138" s="6" t="s">
        <v>156</v>
      </c>
      <c r="O3138" s="6" t="s">
        <v>157</v>
      </c>
      <c r="P3138" s="19">
        <v>0</v>
      </c>
    </row>
    <row r="3139" spans="12:16" ht="15.75" customHeight="1" x14ac:dyDescent="0.3">
      <c r="L3139" s="6" t="s">
        <v>192</v>
      </c>
      <c r="M3139" s="6" t="s">
        <v>458</v>
      </c>
      <c r="N3139" s="6" t="s">
        <v>158</v>
      </c>
      <c r="O3139" s="6" t="s">
        <v>159</v>
      </c>
      <c r="P3139" s="19">
        <v>1</v>
      </c>
    </row>
    <row r="3140" spans="12:16" ht="15.75" customHeight="1" x14ac:dyDescent="0.3">
      <c r="L3140" s="6" t="s">
        <v>192</v>
      </c>
      <c r="M3140" s="6" t="s">
        <v>458</v>
      </c>
      <c r="N3140" s="6" t="s">
        <v>160</v>
      </c>
      <c r="O3140" s="6" t="s">
        <v>161</v>
      </c>
      <c r="P3140" s="19">
        <v>1</v>
      </c>
    </row>
    <row r="3141" spans="12:16" ht="15.75" customHeight="1" x14ac:dyDescent="0.3">
      <c r="L3141" s="6" t="s">
        <v>192</v>
      </c>
      <c r="M3141" s="6" t="s">
        <v>458</v>
      </c>
      <c r="N3141" s="6" t="s">
        <v>162</v>
      </c>
      <c r="O3141" s="6" t="s">
        <v>163</v>
      </c>
      <c r="P3141" s="19">
        <v>0</v>
      </c>
    </row>
    <row r="3142" spans="12:16" ht="15.75" customHeight="1" x14ac:dyDescent="0.3">
      <c r="L3142" s="6" t="s">
        <v>192</v>
      </c>
      <c r="M3142" s="6" t="s">
        <v>458</v>
      </c>
      <c r="N3142" s="6" t="s">
        <v>165</v>
      </c>
      <c r="O3142" s="6" t="s">
        <v>166</v>
      </c>
      <c r="P3142" s="19">
        <v>0</v>
      </c>
    </row>
    <row r="3143" spans="12:16" ht="15.75" customHeight="1" x14ac:dyDescent="0.3">
      <c r="L3143" s="6" t="s">
        <v>192</v>
      </c>
      <c r="M3143" s="6" t="s">
        <v>461</v>
      </c>
      <c r="N3143" s="6" t="s">
        <v>72</v>
      </c>
      <c r="O3143" s="6" t="s">
        <v>75</v>
      </c>
      <c r="P3143" s="19">
        <v>0</v>
      </c>
    </row>
    <row r="3144" spans="12:16" ht="15.75" customHeight="1" x14ac:dyDescent="0.3">
      <c r="L3144" s="6" t="s">
        <v>192</v>
      </c>
      <c r="M3144" s="6" t="s">
        <v>461</v>
      </c>
      <c r="N3144" s="6" t="s">
        <v>83</v>
      </c>
      <c r="O3144" s="6" t="s">
        <v>84</v>
      </c>
      <c r="P3144" s="19">
        <v>0</v>
      </c>
    </row>
    <row r="3145" spans="12:16" ht="15.75" customHeight="1" x14ac:dyDescent="0.3">
      <c r="L3145" s="6" t="s">
        <v>192</v>
      </c>
      <c r="M3145" s="6" t="s">
        <v>461</v>
      </c>
      <c r="N3145" s="6" t="s">
        <v>88</v>
      </c>
      <c r="O3145" s="6" t="s">
        <v>90</v>
      </c>
      <c r="P3145" s="19">
        <v>0</v>
      </c>
    </row>
    <row r="3146" spans="12:16" ht="15.75" customHeight="1" x14ac:dyDescent="0.3">
      <c r="L3146" s="6" t="s">
        <v>192</v>
      </c>
      <c r="M3146" s="6" t="s">
        <v>461</v>
      </c>
      <c r="N3146" s="6" t="s">
        <v>96</v>
      </c>
      <c r="O3146" s="6" t="s">
        <v>97</v>
      </c>
      <c r="P3146" s="19">
        <v>0</v>
      </c>
    </row>
    <row r="3147" spans="12:16" ht="15.75" customHeight="1" x14ac:dyDescent="0.3">
      <c r="L3147" s="6" t="s">
        <v>192</v>
      </c>
      <c r="M3147" s="6" t="s">
        <v>461</v>
      </c>
      <c r="N3147" s="6" t="s">
        <v>100</v>
      </c>
      <c r="O3147" s="6" t="s">
        <v>101</v>
      </c>
      <c r="P3147" s="19">
        <v>0</v>
      </c>
    </row>
    <row r="3148" spans="12:16" ht="15.75" customHeight="1" x14ac:dyDescent="0.3">
      <c r="L3148" s="6" t="s">
        <v>192</v>
      </c>
      <c r="M3148" s="6" t="s">
        <v>461</v>
      </c>
      <c r="N3148" s="6" t="s">
        <v>22</v>
      </c>
      <c r="O3148" s="6" t="s">
        <v>104</v>
      </c>
      <c r="P3148" s="17">
        <v>1.5</v>
      </c>
    </row>
    <row r="3149" spans="12:16" ht="15.75" customHeight="1" x14ac:dyDescent="0.3">
      <c r="L3149" s="6" t="s">
        <v>192</v>
      </c>
      <c r="M3149" s="6" t="s">
        <v>461</v>
      </c>
      <c r="N3149" s="6" t="s">
        <v>23</v>
      </c>
      <c r="O3149" s="6" t="s">
        <v>107</v>
      </c>
      <c r="P3149" s="19">
        <v>12</v>
      </c>
    </row>
    <row r="3150" spans="12:16" ht="15.75" customHeight="1" x14ac:dyDescent="0.3">
      <c r="L3150" s="6" t="s">
        <v>192</v>
      </c>
      <c r="M3150" s="6" t="s">
        <v>461</v>
      </c>
      <c r="N3150" s="6" t="s">
        <v>24</v>
      </c>
      <c r="O3150" s="6" t="s">
        <v>109</v>
      </c>
      <c r="P3150" s="17">
        <v>1.6999999999999999E-3</v>
      </c>
    </row>
    <row r="3151" spans="12:16" ht="15.75" customHeight="1" x14ac:dyDescent="0.3">
      <c r="L3151" s="6" t="s">
        <v>192</v>
      </c>
      <c r="M3151" s="6" t="s">
        <v>461</v>
      </c>
      <c r="N3151" s="6" t="s">
        <v>25</v>
      </c>
      <c r="O3151" s="6" t="s">
        <v>111</v>
      </c>
      <c r="P3151" s="19">
        <v>4</v>
      </c>
    </row>
    <row r="3152" spans="12:16" ht="15.75" customHeight="1" x14ac:dyDescent="0.3">
      <c r="L3152" s="6" t="s">
        <v>192</v>
      </c>
      <c r="M3152" s="6" t="s">
        <v>461</v>
      </c>
      <c r="N3152" s="6" t="s">
        <v>26</v>
      </c>
      <c r="O3152" s="6" t="s">
        <v>113</v>
      </c>
      <c r="P3152" s="19">
        <v>4</v>
      </c>
    </row>
    <row r="3153" spans="12:16" ht="15.75" customHeight="1" x14ac:dyDescent="0.3">
      <c r="L3153" s="6" t="s">
        <v>192</v>
      </c>
      <c r="M3153" s="6" t="s">
        <v>461</v>
      </c>
      <c r="N3153" s="6" t="s">
        <v>27</v>
      </c>
      <c r="O3153" s="6" t="s">
        <v>117</v>
      </c>
      <c r="P3153" s="19">
        <v>8</v>
      </c>
    </row>
    <row r="3154" spans="12:16" ht="15.75" customHeight="1" x14ac:dyDescent="0.3">
      <c r="L3154" s="6" t="s">
        <v>192</v>
      </c>
      <c r="M3154" s="6" t="s">
        <v>461</v>
      </c>
      <c r="N3154" s="6" t="s">
        <v>29</v>
      </c>
      <c r="O3154" s="6" t="s">
        <v>125</v>
      </c>
      <c r="P3154" s="19">
        <v>4</v>
      </c>
    </row>
    <row r="3155" spans="12:16" ht="15.75" customHeight="1" x14ac:dyDescent="0.3">
      <c r="L3155" s="6" t="s">
        <v>192</v>
      </c>
      <c r="M3155" s="6" t="s">
        <v>461</v>
      </c>
      <c r="N3155" s="6" t="s">
        <v>135</v>
      </c>
      <c r="O3155" s="6" t="s">
        <v>136</v>
      </c>
      <c r="P3155" s="19">
        <v>1</v>
      </c>
    </row>
    <row r="3156" spans="12:16" ht="15.75" customHeight="1" x14ac:dyDescent="0.3">
      <c r="L3156" s="6" t="s">
        <v>192</v>
      </c>
      <c r="M3156" s="6" t="s">
        <v>461</v>
      </c>
      <c r="N3156" s="6" t="s">
        <v>138</v>
      </c>
      <c r="O3156" s="6" t="s">
        <v>139</v>
      </c>
      <c r="P3156" s="19">
        <v>0</v>
      </c>
    </row>
    <row r="3157" spans="12:16" ht="15.75" customHeight="1" x14ac:dyDescent="0.3">
      <c r="L3157" s="6" t="s">
        <v>192</v>
      </c>
      <c r="M3157" s="6" t="s">
        <v>461</v>
      </c>
      <c r="N3157" s="6" t="s">
        <v>30</v>
      </c>
      <c r="O3157" s="6" t="s">
        <v>148</v>
      </c>
      <c r="P3157" s="17">
        <v>80.543199999999999</v>
      </c>
    </row>
    <row r="3158" spans="12:16" ht="15.75" customHeight="1" x14ac:dyDescent="0.3">
      <c r="L3158" s="6" t="s">
        <v>192</v>
      </c>
      <c r="M3158" s="6" t="s">
        <v>461</v>
      </c>
      <c r="N3158" s="6" t="s">
        <v>156</v>
      </c>
      <c r="O3158" s="6" t="s">
        <v>157</v>
      </c>
      <c r="P3158" s="19">
        <v>0</v>
      </c>
    </row>
    <row r="3159" spans="12:16" ht="15.75" customHeight="1" x14ac:dyDescent="0.3">
      <c r="L3159" s="6" t="s">
        <v>192</v>
      </c>
      <c r="M3159" s="6" t="s">
        <v>461</v>
      </c>
      <c r="N3159" s="6" t="s">
        <v>158</v>
      </c>
      <c r="O3159" s="6" t="s">
        <v>159</v>
      </c>
      <c r="P3159" s="19">
        <v>1</v>
      </c>
    </row>
    <row r="3160" spans="12:16" ht="15.75" customHeight="1" x14ac:dyDescent="0.3">
      <c r="L3160" s="6" t="s">
        <v>192</v>
      </c>
      <c r="M3160" s="6" t="s">
        <v>461</v>
      </c>
      <c r="N3160" s="6" t="s">
        <v>160</v>
      </c>
      <c r="O3160" s="6" t="s">
        <v>161</v>
      </c>
      <c r="P3160" s="19">
        <v>1</v>
      </c>
    </row>
    <row r="3161" spans="12:16" ht="15.75" customHeight="1" x14ac:dyDescent="0.3">
      <c r="L3161" s="6" t="s">
        <v>192</v>
      </c>
      <c r="M3161" s="6" t="s">
        <v>461</v>
      </c>
      <c r="N3161" s="6" t="s">
        <v>162</v>
      </c>
      <c r="O3161" s="6" t="s">
        <v>163</v>
      </c>
      <c r="P3161" s="19">
        <v>0</v>
      </c>
    </row>
    <row r="3162" spans="12:16" ht="15.75" customHeight="1" x14ac:dyDescent="0.3">
      <c r="L3162" s="6" t="s">
        <v>192</v>
      </c>
      <c r="M3162" s="6" t="s">
        <v>461</v>
      </c>
      <c r="N3162" s="6" t="s">
        <v>165</v>
      </c>
      <c r="O3162" s="6" t="s">
        <v>166</v>
      </c>
      <c r="P3162" s="19">
        <v>0</v>
      </c>
    </row>
    <row r="3163" spans="12:16" ht="15.75" customHeight="1" x14ac:dyDescent="0.3">
      <c r="L3163" s="6" t="s">
        <v>192</v>
      </c>
      <c r="M3163" s="6" t="s">
        <v>463</v>
      </c>
      <c r="N3163" s="6" t="s">
        <v>72</v>
      </c>
      <c r="O3163" s="6" t="s">
        <v>75</v>
      </c>
      <c r="P3163" s="19">
        <v>0</v>
      </c>
    </row>
    <row r="3164" spans="12:16" ht="15.75" customHeight="1" x14ac:dyDescent="0.3">
      <c r="L3164" s="6" t="s">
        <v>192</v>
      </c>
      <c r="M3164" s="6" t="s">
        <v>463</v>
      </c>
      <c r="N3164" s="6" t="s">
        <v>83</v>
      </c>
      <c r="O3164" s="6" t="s">
        <v>84</v>
      </c>
      <c r="P3164" s="19">
        <v>0</v>
      </c>
    </row>
    <row r="3165" spans="12:16" ht="15.75" customHeight="1" x14ac:dyDescent="0.3">
      <c r="L3165" s="6" t="s">
        <v>192</v>
      </c>
      <c r="M3165" s="6" t="s">
        <v>463</v>
      </c>
      <c r="N3165" s="6" t="s">
        <v>88</v>
      </c>
      <c r="O3165" s="6" t="s">
        <v>90</v>
      </c>
      <c r="P3165" s="19">
        <v>0</v>
      </c>
    </row>
    <row r="3166" spans="12:16" ht="15.75" customHeight="1" x14ac:dyDescent="0.3">
      <c r="L3166" s="6" t="s">
        <v>192</v>
      </c>
      <c r="M3166" s="6" t="s">
        <v>463</v>
      </c>
      <c r="N3166" s="6" t="s">
        <v>96</v>
      </c>
      <c r="O3166" s="6" t="s">
        <v>97</v>
      </c>
      <c r="P3166" s="19">
        <v>0</v>
      </c>
    </row>
    <row r="3167" spans="12:16" ht="15.75" customHeight="1" x14ac:dyDescent="0.3">
      <c r="L3167" s="6" t="s">
        <v>192</v>
      </c>
      <c r="M3167" s="6" t="s">
        <v>463</v>
      </c>
      <c r="N3167" s="6" t="s">
        <v>100</v>
      </c>
      <c r="O3167" s="6" t="s">
        <v>101</v>
      </c>
      <c r="P3167" s="19">
        <v>0</v>
      </c>
    </row>
    <row r="3168" spans="12:16" ht="15.75" customHeight="1" x14ac:dyDescent="0.3">
      <c r="L3168" s="6" t="s">
        <v>192</v>
      </c>
      <c r="M3168" s="6" t="s">
        <v>463</v>
      </c>
      <c r="N3168" s="6" t="s">
        <v>22</v>
      </c>
      <c r="O3168" s="6" t="s">
        <v>104</v>
      </c>
      <c r="P3168" s="17">
        <v>1.5</v>
      </c>
    </row>
    <row r="3169" spans="12:16" ht="15.75" customHeight="1" x14ac:dyDescent="0.3">
      <c r="L3169" s="6" t="s">
        <v>192</v>
      </c>
      <c r="M3169" s="6" t="s">
        <v>463</v>
      </c>
      <c r="N3169" s="6" t="s">
        <v>23</v>
      </c>
      <c r="O3169" s="6" t="s">
        <v>107</v>
      </c>
      <c r="P3169" s="19">
        <v>12</v>
      </c>
    </row>
    <row r="3170" spans="12:16" ht="15.75" customHeight="1" x14ac:dyDescent="0.3">
      <c r="L3170" s="6" t="s">
        <v>192</v>
      </c>
      <c r="M3170" s="6" t="s">
        <v>463</v>
      </c>
      <c r="N3170" s="6" t="s">
        <v>24</v>
      </c>
      <c r="O3170" s="6" t="s">
        <v>109</v>
      </c>
      <c r="P3170" s="17">
        <v>1.6999999999999999E-3</v>
      </c>
    </row>
    <row r="3171" spans="12:16" ht="15.75" customHeight="1" x14ac:dyDescent="0.3">
      <c r="L3171" s="6" t="s">
        <v>192</v>
      </c>
      <c r="M3171" s="6" t="s">
        <v>463</v>
      </c>
      <c r="N3171" s="6" t="s">
        <v>25</v>
      </c>
      <c r="O3171" s="6" t="s">
        <v>111</v>
      </c>
      <c r="P3171" s="19">
        <v>4</v>
      </c>
    </row>
    <row r="3172" spans="12:16" ht="15.75" customHeight="1" x14ac:dyDescent="0.3">
      <c r="L3172" s="6" t="s">
        <v>192</v>
      </c>
      <c r="M3172" s="6" t="s">
        <v>463</v>
      </c>
      <c r="N3172" s="6" t="s">
        <v>26</v>
      </c>
      <c r="O3172" s="6" t="s">
        <v>113</v>
      </c>
      <c r="P3172" s="19">
        <v>4</v>
      </c>
    </row>
    <row r="3173" spans="12:16" ht="15.75" customHeight="1" x14ac:dyDescent="0.3">
      <c r="L3173" s="6" t="s">
        <v>192</v>
      </c>
      <c r="M3173" s="6" t="s">
        <v>463</v>
      </c>
      <c r="N3173" s="6" t="s">
        <v>27</v>
      </c>
      <c r="O3173" s="6" t="s">
        <v>117</v>
      </c>
      <c r="P3173" s="19">
        <v>8</v>
      </c>
    </row>
    <row r="3174" spans="12:16" ht="15.75" customHeight="1" x14ac:dyDescent="0.3">
      <c r="L3174" s="6" t="s">
        <v>192</v>
      </c>
      <c r="M3174" s="6" t="s">
        <v>463</v>
      </c>
      <c r="N3174" s="6" t="s">
        <v>29</v>
      </c>
      <c r="O3174" s="6" t="s">
        <v>125</v>
      </c>
      <c r="P3174" s="19">
        <v>4</v>
      </c>
    </row>
    <row r="3175" spans="12:16" ht="15.75" customHeight="1" x14ac:dyDescent="0.3">
      <c r="L3175" s="6" t="s">
        <v>192</v>
      </c>
      <c r="M3175" s="6" t="s">
        <v>463</v>
      </c>
      <c r="N3175" s="6" t="s">
        <v>135</v>
      </c>
      <c r="O3175" s="6" t="s">
        <v>136</v>
      </c>
      <c r="P3175" s="19">
        <v>1</v>
      </c>
    </row>
    <row r="3176" spans="12:16" ht="15.75" customHeight="1" x14ac:dyDescent="0.3">
      <c r="L3176" s="6" t="s">
        <v>192</v>
      </c>
      <c r="M3176" s="6" t="s">
        <v>463</v>
      </c>
      <c r="N3176" s="6" t="s">
        <v>138</v>
      </c>
      <c r="O3176" s="6" t="s">
        <v>139</v>
      </c>
      <c r="P3176" s="19">
        <v>0</v>
      </c>
    </row>
    <row r="3177" spans="12:16" ht="15.75" customHeight="1" x14ac:dyDescent="0.3">
      <c r="L3177" s="6" t="s">
        <v>192</v>
      </c>
      <c r="M3177" s="6" t="s">
        <v>463</v>
      </c>
      <c r="N3177" s="6" t="s">
        <v>30</v>
      </c>
      <c r="O3177" s="6" t="s">
        <v>148</v>
      </c>
      <c r="P3177" s="17">
        <v>80.543199999999999</v>
      </c>
    </row>
    <row r="3178" spans="12:16" ht="15.75" customHeight="1" x14ac:dyDescent="0.3">
      <c r="L3178" s="6" t="s">
        <v>192</v>
      </c>
      <c r="M3178" s="6" t="s">
        <v>463</v>
      </c>
      <c r="N3178" s="6" t="s">
        <v>156</v>
      </c>
      <c r="O3178" s="6" t="s">
        <v>157</v>
      </c>
      <c r="P3178" s="19">
        <v>0</v>
      </c>
    </row>
    <row r="3179" spans="12:16" ht="15.75" customHeight="1" x14ac:dyDescent="0.3">
      <c r="L3179" s="6" t="s">
        <v>192</v>
      </c>
      <c r="M3179" s="6" t="s">
        <v>463</v>
      </c>
      <c r="N3179" s="6" t="s">
        <v>158</v>
      </c>
      <c r="O3179" s="6" t="s">
        <v>159</v>
      </c>
      <c r="P3179" s="19">
        <v>1</v>
      </c>
    </row>
    <row r="3180" spans="12:16" ht="15.75" customHeight="1" x14ac:dyDescent="0.3">
      <c r="L3180" s="6" t="s">
        <v>192</v>
      </c>
      <c r="M3180" s="6" t="s">
        <v>463</v>
      </c>
      <c r="N3180" s="6" t="s">
        <v>160</v>
      </c>
      <c r="O3180" s="6" t="s">
        <v>161</v>
      </c>
      <c r="P3180" s="19">
        <v>1</v>
      </c>
    </row>
    <row r="3181" spans="12:16" ht="15.75" customHeight="1" x14ac:dyDescent="0.3">
      <c r="L3181" s="6" t="s">
        <v>192</v>
      </c>
      <c r="M3181" s="6" t="s">
        <v>463</v>
      </c>
      <c r="N3181" s="6" t="s">
        <v>162</v>
      </c>
      <c r="O3181" s="6" t="s">
        <v>163</v>
      </c>
      <c r="P3181" s="19">
        <v>0</v>
      </c>
    </row>
    <row r="3182" spans="12:16" ht="15.75" customHeight="1" x14ac:dyDescent="0.3">
      <c r="L3182" s="6" t="s">
        <v>192</v>
      </c>
      <c r="M3182" s="6" t="s">
        <v>463</v>
      </c>
      <c r="N3182" s="6" t="s">
        <v>165</v>
      </c>
      <c r="O3182" s="6" t="s">
        <v>166</v>
      </c>
      <c r="P3182" s="19">
        <v>0</v>
      </c>
    </row>
    <row r="3183" spans="12:16" ht="15.75" customHeight="1" x14ac:dyDescent="0.3">
      <c r="L3183" s="6" t="s">
        <v>192</v>
      </c>
      <c r="M3183" s="6" t="s">
        <v>236</v>
      </c>
      <c r="N3183" s="6" t="s">
        <v>72</v>
      </c>
      <c r="O3183" s="6" t="s">
        <v>75</v>
      </c>
      <c r="P3183" s="19">
        <v>39</v>
      </c>
    </row>
    <row r="3184" spans="12:16" ht="15.75" customHeight="1" x14ac:dyDescent="0.3">
      <c r="L3184" s="6" t="s">
        <v>192</v>
      </c>
      <c r="M3184" s="6" t="s">
        <v>236</v>
      </c>
      <c r="N3184" s="6" t="s">
        <v>83</v>
      </c>
      <c r="O3184" s="6" t="s">
        <v>84</v>
      </c>
      <c r="P3184" s="19">
        <v>4</v>
      </c>
    </row>
    <row r="3185" spans="12:16" ht="15.75" customHeight="1" x14ac:dyDescent="0.3">
      <c r="L3185" s="6" t="s">
        <v>192</v>
      </c>
      <c r="M3185" s="6" t="s">
        <v>236</v>
      </c>
      <c r="N3185" s="6" t="s">
        <v>88</v>
      </c>
      <c r="O3185" s="6" t="s">
        <v>90</v>
      </c>
      <c r="P3185" s="17">
        <v>0.45450000000000002</v>
      </c>
    </row>
    <row r="3186" spans="12:16" ht="15.75" customHeight="1" x14ac:dyDescent="0.3">
      <c r="L3186" s="6" t="s">
        <v>192</v>
      </c>
      <c r="M3186" s="6" t="s">
        <v>236</v>
      </c>
      <c r="N3186" s="6" t="s">
        <v>96</v>
      </c>
      <c r="O3186" s="6" t="s">
        <v>97</v>
      </c>
      <c r="P3186" s="19">
        <v>22</v>
      </c>
    </row>
    <row r="3187" spans="12:16" ht="15.75" customHeight="1" x14ac:dyDescent="0.3">
      <c r="L3187" s="6" t="s">
        <v>192</v>
      </c>
      <c r="M3187" s="6" t="s">
        <v>236</v>
      </c>
      <c r="N3187" s="6" t="s">
        <v>100</v>
      </c>
      <c r="O3187" s="6" t="s">
        <v>101</v>
      </c>
      <c r="P3187" s="19">
        <v>5</v>
      </c>
    </row>
    <row r="3188" spans="12:16" ht="15.75" customHeight="1" x14ac:dyDescent="0.3">
      <c r="L3188" s="6" t="s">
        <v>192</v>
      </c>
      <c r="M3188" s="6" t="s">
        <v>236</v>
      </c>
      <c r="N3188" s="6" t="s">
        <v>22</v>
      </c>
      <c r="O3188" s="6" t="s">
        <v>104</v>
      </c>
      <c r="P3188" s="17">
        <v>75.836399999999998</v>
      </c>
    </row>
    <row r="3189" spans="12:16" ht="15.75" customHeight="1" x14ac:dyDescent="0.3">
      <c r="L3189" s="6" t="s">
        <v>192</v>
      </c>
      <c r="M3189" s="6" t="s">
        <v>236</v>
      </c>
      <c r="N3189" s="6" t="s">
        <v>23</v>
      </c>
      <c r="O3189" s="6" t="s">
        <v>107</v>
      </c>
      <c r="P3189" s="17">
        <v>184601.87909999999</v>
      </c>
    </row>
    <row r="3190" spans="12:16" ht="15.75" customHeight="1" x14ac:dyDescent="0.3">
      <c r="L3190" s="6" t="s">
        <v>192</v>
      </c>
      <c r="M3190" s="6" t="s">
        <v>236</v>
      </c>
      <c r="N3190" s="6" t="s">
        <v>24</v>
      </c>
      <c r="O3190" s="6" t="s">
        <v>109</v>
      </c>
      <c r="P3190" s="17">
        <v>1.0807</v>
      </c>
    </row>
    <row r="3191" spans="12:16" ht="15.75" customHeight="1" x14ac:dyDescent="0.3">
      <c r="L3191" s="6" t="s">
        <v>192</v>
      </c>
      <c r="M3191" s="6" t="s">
        <v>236</v>
      </c>
      <c r="N3191" s="6" t="s">
        <v>25</v>
      </c>
      <c r="O3191" s="6" t="s">
        <v>111</v>
      </c>
      <c r="P3191" s="19">
        <v>368</v>
      </c>
    </row>
    <row r="3192" spans="12:16" ht="15.75" customHeight="1" x14ac:dyDescent="0.3">
      <c r="L3192" s="6" t="s">
        <v>192</v>
      </c>
      <c r="M3192" s="6" t="s">
        <v>236</v>
      </c>
      <c r="N3192" s="6" t="s">
        <v>26</v>
      </c>
      <c r="O3192" s="6" t="s">
        <v>113</v>
      </c>
      <c r="P3192" s="19">
        <v>98</v>
      </c>
    </row>
    <row r="3193" spans="12:16" ht="15.75" customHeight="1" x14ac:dyDescent="0.3">
      <c r="L3193" s="6" t="s">
        <v>192</v>
      </c>
      <c r="M3193" s="6" t="s">
        <v>236</v>
      </c>
      <c r="N3193" s="6" t="s">
        <v>27</v>
      </c>
      <c r="O3193" s="6" t="s">
        <v>117</v>
      </c>
      <c r="P3193" s="17">
        <v>2434.2132000000001</v>
      </c>
    </row>
    <row r="3194" spans="12:16" ht="15.75" customHeight="1" x14ac:dyDescent="0.3">
      <c r="L3194" s="6" t="s">
        <v>192</v>
      </c>
      <c r="M3194" s="6" t="s">
        <v>236</v>
      </c>
      <c r="N3194" s="6" t="s">
        <v>29</v>
      </c>
      <c r="O3194" s="6" t="s">
        <v>125</v>
      </c>
      <c r="P3194" s="19">
        <v>130</v>
      </c>
    </row>
    <row r="3195" spans="12:16" ht="15.75" customHeight="1" x14ac:dyDescent="0.3">
      <c r="L3195" s="6" t="s">
        <v>192</v>
      </c>
      <c r="M3195" s="6" t="s">
        <v>236</v>
      </c>
      <c r="N3195" s="6" t="s">
        <v>135</v>
      </c>
      <c r="O3195" s="6" t="s">
        <v>136</v>
      </c>
      <c r="P3195" s="17">
        <v>0.2</v>
      </c>
    </row>
    <row r="3196" spans="12:16" ht="15.75" customHeight="1" x14ac:dyDescent="0.3">
      <c r="L3196" s="6" t="s">
        <v>192</v>
      </c>
      <c r="M3196" s="6" t="s">
        <v>236</v>
      </c>
      <c r="N3196" s="6" t="s">
        <v>138</v>
      </c>
      <c r="O3196" s="6" t="s">
        <v>139</v>
      </c>
      <c r="P3196" s="19">
        <v>1</v>
      </c>
    </row>
    <row r="3197" spans="12:16" ht="15.75" customHeight="1" x14ac:dyDescent="0.3">
      <c r="L3197" s="6" t="s">
        <v>192</v>
      </c>
      <c r="M3197" s="6" t="s">
        <v>236</v>
      </c>
      <c r="N3197" s="6" t="s">
        <v>30</v>
      </c>
      <c r="O3197" s="6" t="s">
        <v>148</v>
      </c>
      <c r="P3197" s="17">
        <v>29.689800000000002</v>
      </c>
    </row>
    <row r="3198" spans="12:16" ht="15.75" customHeight="1" x14ac:dyDescent="0.3">
      <c r="L3198" s="6" t="s">
        <v>192</v>
      </c>
      <c r="M3198" s="6" t="s">
        <v>236</v>
      </c>
      <c r="N3198" s="6" t="s">
        <v>156</v>
      </c>
      <c r="O3198" s="6" t="s">
        <v>157</v>
      </c>
      <c r="P3198" s="19">
        <v>5</v>
      </c>
    </row>
    <row r="3199" spans="12:16" ht="15.75" customHeight="1" x14ac:dyDescent="0.3">
      <c r="L3199" s="6" t="s">
        <v>192</v>
      </c>
      <c r="M3199" s="6" t="s">
        <v>236</v>
      </c>
      <c r="N3199" s="6" t="s">
        <v>158</v>
      </c>
      <c r="O3199" s="6" t="s">
        <v>159</v>
      </c>
      <c r="P3199" s="19">
        <v>37</v>
      </c>
    </row>
    <row r="3200" spans="12:16" ht="15.75" customHeight="1" x14ac:dyDescent="0.3">
      <c r="L3200" s="6" t="s">
        <v>192</v>
      </c>
      <c r="M3200" s="6" t="s">
        <v>236</v>
      </c>
      <c r="N3200" s="6" t="s">
        <v>160</v>
      </c>
      <c r="O3200" s="6" t="s">
        <v>161</v>
      </c>
      <c r="P3200" s="19">
        <v>31</v>
      </c>
    </row>
    <row r="3201" spans="12:16" ht="15.75" customHeight="1" x14ac:dyDescent="0.3">
      <c r="L3201" s="6" t="s">
        <v>192</v>
      </c>
      <c r="M3201" s="6" t="s">
        <v>236</v>
      </c>
      <c r="N3201" s="6" t="s">
        <v>162</v>
      </c>
      <c r="O3201" s="6" t="s">
        <v>163</v>
      </c>
      <c r="P3201" s="19">
        <v>5</v>
      </c>
    </row>
    <row r="3202" spans="12:16" ht="15.75" customHeight="1" x14ac:dyDescent="0.3">
      <c r="L3202" s="6" t="s">
        <v>192</v>
      </c>
      <c r="M3202" s="6" t="s">
        <v>236</v>
      </c>
      <c r="N3202" s="6" t="s">
        <v>165</v>
      </c>
      <c r="O3202" s="6" t="s">
        <v>166</v>
      </c>
      <c r="P3202" s="19">
        <v>1</v>
      </c>
    </row>
    <row r="3203" spans="12:16" ht="15.75" customHeight="1" x14ac:dyDescent="0.3">
      <c r="L3203" s="6" t="s">
        <v>192</v>
      </c>
      <c r="M3203" s="6" t="s">
        <v>229</v>
      </c>
      <c r="N3203" s="6" t="s">
        <v>72</v>
      </c>
      <c r="O3203" s="6" t="s">
        <v>75</v>
      </c>
      <c r="P3203" s="19">
        <v>0</v>
      </c>
    </row>
    <row r="3204" spans="12:16" ht="15.75" customHeight="1" x14ac:dyDescent="0.3">
      <c r="L3204" s="6" t="s">
        <v>192</v>
      </c>
      <c r="M3204" s="6" t="s">
        <v>229</v>
      </c>
      <c r="N3204" s="6" t="s">
        <v>83</v>
      </c>
      <c r="O3204" s="6" t="s">
        <v>84</v>
      </c>
      <c r="P3204" s="19">
        <v>0</v>
      </c>
    </row>
    <row r="3205" spans="12:16" ht="15.75" customHeight="1" x14ac:dyDescent="0.3">
      <c r="L3205" s="6" t="s">
        <v>192</v>
      </c>
      <c r="M3205" s="6" t="s">
        <v>229</v>
      </c>
      <c r="N3205" s="6" t="s">
        <v>88</v>
      </c>
      <c r="O3205" s="6" t="s">
        <v>90</v>
      </c>
      <c r="P3205" s="19">
        <v>1</v>
      </c>
    </row>
    <row r="3206" spans="12:16" ht="15.75" customHeight="1" x14ac:dyDescent="0.3">
      <c r="L3206" s="6" t="s">
        <v>192</v>
      </c>
      <c r="M3206" s="6" t="s">
        <v>229</v>
      </c>
      <c r="N3206" s="6" t="s">
        <v>96</v>
      </c>
      <c r="O3206" s="6" t="s">
        <v>97</v>
      </c>
      <c r="P3206" s="19">
        <v>1</v>
      </c>
    </row>
    <row r="3207" spans="12:16" ht="15.75" customHeight="1" x14ac:dyDescent="0.3">
      <c r="L3207" s="6" t="s">
        <v>192</v>
      </c>
      <c r="M3207" s="6" t="s">
        <v>229</v>
      </c>
      <c r="N3207" s="6" t="s">
        <v>100</v>
      </c>
      <c r="O3207" s="6" t="s">
        <v>101</v>
      </c>
      <c r="P3207" s="19">
        <v>0</v>
      </c>
    </row>
    <row r="3208" spans="12:16" ht="15.75" customHeight="1" x14ac:dyDescent="0.3">
      <c r="L3208" s="6" t="s">
        <v>192</v>
      </c>
      <c r="M3208" s="6" t="s">
        <v>229</v>
      </c>
      <c r="N3208" s="6" t="s">
        <v>22</v>
      </c>
      <c r="O3208" s="6" t="s">
        <v>104</v>
      </c>
      <c r="P3208" s="17">
        <v>1.5</v>
      </c>
    </row>
    <row r="3209" spans="12:16" ht="15.75" customHeight="1" x14ac:dyDescent="0.3">
      <c r="L3209" s="6" t="s">
        <v>192</v>
      </c>
      <c r="M3209" s="6" t="s">
        <v>229</v>
      </c>
      <c r="N3209" s="6" t="s">
        <v>23</v>
      </c>
      <c r="O3209" s="6" t="s">
        <v>107</v>
      </c>
      <c r="P3209" s="17">
        <v>62.269799999999996</v>
      </c>
    </row>
    <row r="3210" spans="12:16" ht="15.75" customHeight="1" x14ac:dyDescent="0.3">
      <c r="L3210" s="6" t="s">
        <v>192</v>
      </c>
      <c r="M3210" s="6" t="s">
        <v>229</v>
      </c>
      <c r="N3210" s="6" t="s">
        <v>24</v>
      </c>
      <c r="O3210" s="6" t="s">
        <v>109</v>
      </c>
      <c r="P3210" s="17">
        <v>5.1999999999999998E-3</v>
      </c>
    </row>
    <row r="3211" spans="12:16" ht="15.75" customHeight="1" x14ac:dyDescent="0.3">
      <c r="L3211" s="6" t="s">
        <v>192</v>
      </c>
      <c r="M3211" s="6" t="s">
        <v>229</v>
      </c>
      <c r="N3211" s="6" t="s">
        <v>25</v>
      </c>
      <c r="O3211" s="6" t="s">
        <v>111</v>
      </c>
      <c r="P3211" s="19">
        <v>12</v>
      </c>
    </row>
    <row r="3212" spans="12:16" ht="15.75" customHeight="1" x14ac:dyDescent="0.3">
      <c r="L3212" s="6" t="s">
        <v>192</v>
      </c>
      <c r="M3212" s="6" t="s">
        <v>229</v>
      </c>
      <c r="N3212" s="6" t="s">
        <v>26</v>
      </c>
      <c r="O3212" s="6" t="s">
        <v>113</v>
      </c>
      <c r="P3212" s="19">
        <v>11</v>
      </c>
    </row>
    <row r="3213" spans="12:16" ht="15.75" customHeight="1" x14ac:dyDescent="0.3">
      <c r="L3213" s="6" t="s">
        <v>192</v>
      </c>
      <c r="M3213" s="6" t="s">
        <v>229</v>
      </c>
      <c r="N3213" s="6" t="s">
        <v>27</v>
      </c>
      <c r="O3213" s="6" t="s">
        <v>117</v>
      </c>
      <c r="P3213" s="17">
        <v>41.513199999999998</v>
      </c>
    </row>
    <row r="3214" spans="12:16" ht="15.75" customHeight="1" x14ac:dyDescent="0.3">
      <c r="L3214" s="6" t="s">
        <v>192</v>
      </c>
      <c r="M3214" s="6" t="s">
        <v>229</v>
      </c>
      <c r="N3214" s="6" t="s">
        <v>29</v>
      </c>
      <c r="O3214" s="6" t="s">
        <v>125</v>
      </c>
      <c r="P3214" s="19">
        <v>8</v>
      </c>
    </row>
    <row r="3215" spans="12:16" ht="15.75" customHeight="1" x14ac:dyDescent="0.3">
      <c r="L3215" s="6" t="s">
        <v>192</v>
      </c>
      <c r="M3215" s="6" t="s">
        <v>229</v>
      </c>
      <c r="N3215" s="6" t="s">
        <v>135</v>
      </c>
      <c r="O3215" s="6" t="s">
        <v>136</v>
      </c>
      <c r="P3215" s="19">
        <v>1</v>
      </c>
    </row>
    <row r="3216" spans="12:16" ht="15.75" customHeight="1" x14ac:dyDescent="0.3">
      <c r="L3216" s="6" t="s">
        <v>192</v>
      </c>
      <c r="M3216" s="6" t="s">
        <v>229</v>
      </c>
      <c r="N3216" s="6" t="s">
        <v>138</v>
      </c>
      <c r="O3216" s="6" t="s">
        <v>139</v>
      </c>
      <c r="P3216" s="19">
        <v>0</v>
      </c>
    </row>
    <row r="3217" spans="12:16" ht="15.75" customHeight="1" x14ac:dyDescent="0.3">
      <c r="L3217" s="6" t="s">
        <v>192</v>
      </c>
      <c r="M3217" s="6" t="s">
        <v>229</v>
      </c>
      <c r="N3217" s="6" t="s">
        <v>30</v>
      </c>
      <c r="O3217" s="6" t="s">
        <v>148</v>
      </c>
      <c r="P3217" s="17">
        <v>69.007300000000001</v>
      </c>
    </row>
    <row r="3218" spans="12:16" ht="15.75" customHeight="1" x14ac:dyDescent="0.3">
      <c r="L3218" s="6" t="s">
        <v>192</v>
      </c>
      <c r="M3218" s="6" t="s">
        <v>229</v>
      </c>
      <c r="N3218" s="6" t="s">
        <v>156</v>
      </c>
      <c r="O3218" s="6" t="s">
        <v>157</v>
      </c>
      <c r="P3218" s="19">
        <v>0</v>
      </c>
    </row>
    <row r="3219" spans="12:16" ht="15.75" customHeight="1" x14ac:dyDescent="0.3">
      <c r="L3219" s="6" t="s">
        <v>192</v>
      </c>
      <c r="M3219" s="6" t="s">
        <v>229</v>
      </c>
      <c r="N3219" s="6" t="s">
        <v>158</v>
      </c>
      <c r="O3219" s="6" t="s">
        <v>159</v>
      </c>
      <c r="P3219" s="19">
        <v>1</v>
      </c>
    </row>
    <row r="3220" spans="12:16" ht="15.75" customHeight="1" x14ac:dyDescent="0.3">
      <c r="L3220" s="6" t="s">
        <v>192</v>
      </c>
      <c r="M3220" s="6" t="s">
        <v>229</v>
      </c>
      <c r="N3220" s="6" t="s">
        <v>160</v>
      </c>
      <c r="O3220" s="6" t="s">
        <v>161</v>
      </c>
      <c r="P3220" s="19">
        <v>3</v>
      </c>
    </row>
    <row r="3221" spans="12:16" ht="15.75" customHeight="1" x14ac:dyDescent="0.3">
      <c r="L3221" s="6" t="s">
        <v>192</v>
      </c>
      <c r="M3221" s="6" t="s">
        <v>229</v>
      </c>
      <c r="N3221" s="6" t="s">
        <v>162</v>
      </c>
      <c r="O3221" s="6" t="s">
        <v>163</v>
      </c>
      <c r="P3221" s="19">
        <v>0</v>
      </c>
    </row>
    <row r="3222" spans="12:16" ht="15.75" customHeight="1" x14ac:dyDescent="0.3">
      <c r="L3222" s="6" t="s">
        <v>192</v>
      </c>
      <c r="M3222" s="6" t="s">
        <v>229</v>
      </c>
      <c r="N3222" s="6" t="s">
        <v>165</v>
      </c>
      <c r="O3222" s="6" t="s">
        <v>166</v>
      </c>
      <c r="P3222" s="19">
        <v>0</v>
      </c>
    </row>
    <row r="3223" spans="12:16" ht="15.75" customHeight="1" x14ac:dyDescent="0.3">
      <c r="L3223" s="6" t="s">
        <v>194</v>
      </c>
      <c r="M3223" s="6" t="s">
        <v>417</v>
      </c>
      <c r="N3223" s="6" t="s">
        <v>72</v>
      </c>
      <c r="O3223" s="6" t="s">
        <v>75</v>
      </c>
      <c r="P3223" s="19">
        <v>0</v>
      </c>
    </row>
    <row r="3224" spans="12:16" ht="15.75" customHeight="1" x14ac:dyDescent="0.3">
      <c r="L3224" s="6" t="s">
        <v>194</v>
      </c>
      <c r="M3224" s="6" t="s">
        <v>417</v>
      </c>
      <c r="N3224" s="6" t="s">
        <v>83</v>
      </c>
      <c r="O3224" s="6" t="s">
        <v>84</v>
      </c>
      <c r="P3224" s="19">
        <v>0</v>
      </c>
    </row>
    <row r="3225" spans="12:16" ht="15.75" customHeight="1" x14ac:dyDescent="0.3">
      <c r="L3225" s="6" t="s">
        <v>194</v>
      </c>
      <c r="M3225" s="6" t="s">
        <v>417</v>
      </c>
      <c r="N3225" s="6" t="s">
        <v>88</v>
      </c>
      <c r="O3225" s="6" t="s">
        <v>90</v>
      </c>
      <c r="P3225" s="19">
        <v>1</v>
      </c>
    </row>
    <row r="3226" spans="12:16" ht="15.75" customHeight="1" x14ac:dyDescent="0.3">
      <c r="L3226" s="6" t="s">
        <v>194</v>
      </c>
      <c r="M3226" s="6" t="s">
        <v>417</v>
      </c>
      <c r="N3226" s="6" t="s">
        <v>96</v>
      </c>
      <c r="O3226" s="6" t="s">
        <v>97</v>
      </c>
      <c r="P3226" s="19">
        <v>1</v>
      </c>
    </row>
    <row r="3227" spans="12:16" ht="15.75" customHeight="1" x14ac:dyDescent="0.3">
      <c r="L3227" s="6" t="s">
        <v>194</v>
      </c>
      <c r="M3227" s="6" t="s">
        <v>417</v>
      </c>
      <c r="N3227" s="6" t="s">
        <v>100</v>
      </c>
      <c r="O3227" s="6" t="s">
        <v>101</v>
      </c>
      <c r="P3227" s="19">
        <v>0</v>
      </c>
    </row>
    <row r="3228" spans="12:16" ht="15.75" customHeight="1" x14ac:dyDescent="0.3">
      <c r="L3228" s="6" t="s">
        <v>194</v>
      </c>
      <c r="M3228" s="6" t="s">
        <v>417</v>
      </c>
      <c r="N3228" s="6" t="s">
        <v>22</v>
      </c>
      <c r="O3228" s="6" t="s">
        <v>104</v>
      </c>
      <c r="P3228" s="17">
        <v>3.3332999999999999</v>
      </c>
    </row>
    <row r="3229" spans="12:16" ht="15.75" customHeight="1" x14ac:dyDescent="0.3">
      <c r="L3229" s="6" t="s">
        <v>194</v>
      </c>
      <c r="M3229" s="6" t="s">
        <v>417</v>
      </c>
      <c r="N3229" s="6" t="s">
        <v>23</v>
      </c>
      <c r="O3229" s="6" t="s">
        <v>107</v>
      </c>
      <c r="P3229" s="17">
        <v>260.45940000000002</v>
      </c>
    </row>
    <row r="3230" spans="12:16" ht="15.75" customHeight="1" x14ac:dyDescent="0.3">
      <c r="L3230" s="6" t="s">
        <v>194</v>
      </c>
      <c r="M3230" s="6" t="s">
        <v>417</v>
      </c>
      <c r="N3230" s="6" t="s">
        <v>24</v>
      </c>
      <c r="O3230" s="6" t="s">
        <v>109</v>
      </c>
      <c r="P3230" s="17">
        <v>1.3599999999999999E-2</v>
      </c>
    </row>
    <row r="3231" spans="12:16" ht="15.75" customHeight="1" x14ac:dyDescent="0.3">
      <c r="L3231" s="6" t="s">
        <v>194</v>
      </c>
      <c r="M3231" s="6" t="s">
        <v>417</v>
      </c>
      <c r="N3231" s="6" t="s">
        <v>25</v>
      </c>
      <c r="O3231" s="6" t="s">
        <v>111</v>
      </c>
      <c r="P3231" s="19">
        <v>20</v>
      </c>
    </row>
    <row r="3232" spans="12:16" ht="15.75" customHeight="1" x14ac:dyDescent="0.3">
      <c r="L3232" s="6" t="s">
        <v>194</v>
      </c>
      <c r="M3232" s="6" t="s">
        <v>417</v>
      </c>
      <c r="N3232" s="6" t="s">
        <v>26</v>
      </c>
      <c r="O3232" s="6" t="s">
        <v>113</v>
      </c>
      <c r="P3232" s="19">
        <v>15</v>
      </c>
    </row>
    <row r="3233" spans="12:16" ht="15.75" customHeight="1" x14ac:dyDescent="0.3">
      <c r="L3233" s="6" t="s">
        <v>194</v>
      </c>
      <c r="M3233" s="6" t="s">
        <v>417</v>
      </c>
      <c r="N3233" s="6" t="s">
        <v>27</v>
      </c>
      <c r="O3233" s="6" t="s">
        <v>117</v>
      </c>
      <c r="P3233" s="17">
        <v>78.137799999999999</v>
      </c>
    </row>
    <row r="3234" spans="12:16" ht="15.75" customHeight="1" x14ac:dyDescent="0.3">
      <c r="L3234" s="6" t="s">
        <v>194</v>
      </c>
      <c r="M3234" s="6" t="s">
        <v>417</v>
      </c>
      <c r="N3234" s="6" t="s">
        <v>29</v>
      </c>
      <c r="O3234" s="6" t="s">
        <v>125</v>
      </c>
      <c r="P3234" s="19">
        <v>13</v>
      </c>
    </row>
    <row r="3235" spans="12:16" ht="15.75" customHeight="1" x14ac:dyDescent="0.3">
      <c r="L3235" s="6" t="s">
        <v>194</v>
      </c>
      <c r="M3235" s="6" t="s">
        <v>417</v>
      </c>
      <c r="N3235" s="6" t="s">
        <v>135</v>
      </c>
      <c r="O3235" s="6" t="s">
        <v>136</v>
      </c>
      <c r="P3235" s="19">
        <v>1</v>
      </c>
    </row>
    <row r="3236" spans="12:16" ht="15.75" customHeight="1" x14ac:dyDescent="0.3">
      <c r="L3236" s="6" t="s">
        <v>194</v>
      </c>
      <c r="M3236" s="6" t="s">
        <v>417</v>
      </c>
      <c r="N3236" s="6" t="s">
        <v>138</v>
      </c>
      <c r="O3236" s="6" t="s">
        <v>139</v>
      </c>
      <c r="P3236" s="19">
        <v>0</v>
      </c>
    </row>
    <row r="3237" spans="12:16" ht="15.75" customHeight="1" x14ac:dyDescent="0.3">
      <c r="L3237" s="6" t="s">
        <v>194</v>
      </c>
      <c r="M3237" s="6" t="s">
        <v>417</v>
      </c>
      <c r="N3237" s="6" t="s">
        <v>30</v>
      </c>
      <c r="O3237" s="6" t="s">
        <v>148</v>
      </c>
      <c r="P3237" s="17">
        <v>62.451999999999998</v>
      </c>
    </row>
    <row r="3238" spans="12:16" ht="15.75" customHeight="1" x14ac:dyDescent="0.3">
      <c r="L3238" s="6" t="s">
        <v>194</v>
      </c>
      <c r="M3238" s="6" t="s">
        <v>417</v>
      </c>
      <c r="N3238" s="6" t="s">
        <v>156</v>
      </c>
      <c r="O3238" s="6" t="s">
        <v>157</v>
      </c>
      <c r="P3238" s="19">
        <v>0</v>
      </c>
    </row>
    <row r="3239" spans="12:16" ht="15.75" customHeight="1" x14ac:dyDescent="0.3">
      <c r="L3239" s="6" t="s">
        <v>194</v>
      </c>
      <c r="M3239" s="6" t="s">
        <v>417</v>
      </c>
      <c r="N3239" s="6" t="s">
        <v>158</v>
      </c>
      <c r="O3239" s="6" t="s">
        <v>159</v>
      </c>
      <c r="P3239" s="19">
        <v>1</v>
      </c>
    </row>
    <row r="3240" spans="12:16" ht="15.75" customHeight="1" x14ac:dyDescent="0.3">
      <c r="L3240" s="6" t="s">
        <v>194</v>
      </c>
      <c r="M3240" s="6" t="s">
        <v>417</v>
      </c>
      <c r="N3240" s="6" t="s">
        <v>160</v>
      </c>
      <c r="O3240" s="6" t="s">
        <v>161</v>
      </c>
      <c r="P3240" s="19">
        <v>6</v>
      </c>
    </row>
    <row r="3241" spans="12:16" ht="15.75" customHeight="1" x14ac:dyDescent="0.3">
      <c r="L3241" s="6" t="s">
        <v>194</v>
      </c>
      <c r="M3241" s="6" t="s">
        <v>417</v>
      </c>
      <c r="N3241" s="6" t="s">
        <v>162</v>
      </c>
      <c r="O3241" s="6" t="s">
        <v>163</v>
      </c>
      <c r="P3241" s="19">
        <v>0</v>
      </c>
    </row>
    <row r="3242" spans="12:16" ht="15.75" customHeight="1" x14ac:dyDescent="0.3">
      <c r="L3242" s="6" t="s">
        <v>194</v>
      </c>
      <c r="M3242" s="6" t="s">
        <v>417</v>
      </c>
      <c r="N3242" s="6" t="s">
        <v>165</v>
      </c>
      <c r="O3242" s="6" t="s">
        <v>166</v>
      </c>
      <c r="P3242" s="19">
        <v>2</v>
      </c>
    </row>
    <row r="3243" spans="12:16" ht="15.75" customHeight="1" x14ac:dyDescent="0.3">
      <c r="L3243" s="6" t="s">
        <v>194</v>
      </c>
      <c r="M3243" s="6" t="s">
        <v>419</v>
      </c>
      <c r="N3243" s="6" t="s">
        <v>72</v>
      </c>
      <c r="O3243" s="6" t="s">
        <v>75</v>
      </c>
      <c r="P3243" s="19">
        <v>0</v>
      </c>
    </row>
    <row r="3244" spans="12:16" ht="15.75" customHeight="1" x14ac:dyDescent="0.3">
      <c r="L3244" s="6" t="s">
        <v>194</v>
      </c>
      <c r="M3244" s="6" t="s">
        <v>419</v>
      </c>
      <c r="N3244" s="6" t="s">
        <v>83</v>
      </c>
      <c r="O3244" s="6" t="s">
        <v>84</v>
      </c>
      <c r="P3244" s="19">
        <v>0</v>
      </c>
    </row>
    <row r="3245" spans="12:16" ht="15.75" customHeight="1" x14ac:dyDescent="0.3">
      <c r="L3245" s="6" t="s">
        <v>194</v>
      </c>
      <c r="M3245" s="6" t="s">
        <v>419</v>
      </c>
      <c r="N3245" s="6" t="s">
        <v>88</v>
      </c>
      <c r="O3245" s="6" t="s">
        <v>90</v>
      </c>
      <c r="P3245" s="19">
        <v>0</v>
      </c>
    </row>
    <row r="3246" spans="12:16" ht="15.75" customHeight="1" x14ac:dyDescent="0.3">
      <c r="L3246" s="6" t="s">
        <v>194</v>
      </c>
      <c r="M3246" s="6" t="s">
        <v>419</v>
      </c>
      <c r="N3246" s="6" t="s">
        <v>96</v>
      </c>
      <c r="O3246" s="6" t="s">
        <v>97</v>
      </c>
      <c r="P3246" s="19">
        <v>0</v>
      </c>
    </row>
    <row r="3247" spans="12:16" ht="15.75" customHeight="1" x14ac:dyDescent="0.3">
      <c r="L3247" s="6" t="s">
        <v>194</v>
      </c>
      <c r="M3247" s="6" t="s">
        <v>419</v>
      </c>
      <c r="N3247" s="6" t="s">
        <v>100</v>
      </c>
      <c r="O3247" s="6" t="s">
        <v>101</v>
      </c>
      <c r="P3247" s="19">
        <v>0</v>
      </c>
    </row>
    <row r="3248" spans="12:16" ht="15.75" customHeight="1" x14ac:dyDescent="0.3">
      <c r="L3248" s="6" t="s">
        <v>194</v>
      </c>
      <c r="M3248" s="6" t="s">
        <v>419</v>
      </c>
      <c r="N3248" s="6" t="s">
        <v>22</v>
      </c>
      <c r="O3248" s="6" t="s">
        <v>104</v>
      </c>
      <c r="P3248" s="17">
        <v>1.7142999999999999</v>
      </c>
    </row>
    <row r="3249" spans="12:16" ht="15.75" customHeight="1" x14ac:dyDescent="0.3">
      <c r="L3249" s="6" t="s">
        <v>194</v>
      </c>
      <c r="M3249" s="6" t="s">
        <v>419</v>
      </c>
      <c r="N3249" s="6" t="s">
        <v>23</v>
      </c>
      <c r="O3249" s="6" t="s">
        <v>107</v>
      </c>
      <c r="P3249" s="17">
        <v>85.421000000000006</v>
      </c>
    </row>
    <row r="3250" spans="12:16" ht="15.75" customHeight="1" x14ac:dyDescent="0.3">
      <c r="L3250" s="6" t="s">
        <v>194</v>
      </c>
      <c r="M3250" s="6" t="s">
        <v>419</v>
      </c>
      <c r="N3250" s="6" t="s">
        <v>24</v>
      </c>
      <c r="O3250" s="6" t="s">
        <v>109</v>
      </c>
      <c r="P3250" s="17">
        <v>6.4999999999999997E-3</v>
      </c>
    </row>
    <row r="3251" spans="12:16" ht="15.75" customHeight="1" x14ac:dyDescent="0.3">
      <c r="L3251" s="6" t="s">
        <v>194</v>
      </c>
      <c r="M3251" s="6" t="s">
        <v>419</v>
      </c>
      <c r="N3251" s="6" t="s">
        <v>25</v>
      </c>
      <c r="O3251" s="6" t="s">
        <v>111</v>
      </c>
      <c r="P3251" s="19">
        <v>15</v>
      </c>
    </row>
    <row r="3252" spans="12:16" ht="15.75" customHeight="1" x14ac:dyDescent="0.3">
      <c r="L3252" s="6" t="s">
        <v>194</v>
      </c>
      <c r="M3252" s="6" t="s">
        <v>419</v>
      </c>
      <c r="N3252" s="6" t="s">
        <v>26</v>
      </c>
      <c r="O3252" s="6" t="s">
        <v>113</v>
      </c>
      <c r="P3252" s="19">
        <v>10</v>
      </c>
    </row>
    <row r="3253" spans="12:16" ht="15.75" customHeight="1" x14ac:dyDescent="0.3">
      <c r="L3253" s="6" t="s">
        <v>194</v>
      </c>
      <c r="M3253" s="6" t="s">
        <v>419</v>
      </c>
      <c r="N3253" s="6" t="s">
        <v>27</v>
      </c>
      <c r="O3253" s="6" t="s">
        <v>117</v>
      </c>
      <c r="P3253" s="17">
        <v>49.828899999999997</v>
      </c>
    </row>
    <row r="3254" spans="12:16" ht="15.75" customHeight="1" x14ac:dyDescent="0.3">
      <c r="L3254" s="6" t="s">
        <v>194</v>
      </c>
      <c r="M3254" s="6" t="s">
        <v>419</v>
      </c>
      <c r="N3254" s="6" t="s">
        <v>29</v>
      </c>
      <c r="O3254" s="6" t="s">
        <v>125</v>
      </c>
      <c r="P3254" s="19">
        <v>13</v>
      </c>
    </row>
    <row r="3255" spans="12:16" ht="15.75" customHeight="1" x14ac:dyDescent="0.3">
      <c r="L3255" s="6" t="s">
        <v>194</v>
      </c>
      <c r="M3255" s="6" t="s">
        <v>419</v>
      </c>
      <c r="N3255" s="6" t="s">
        <v>135</v>
      </c>
      <c r="O3255" s="6" t="s">
        <v>136</v>
      </c>
      <c r="P3255" s="19">
        <v>1</v>
      </c>
    </row>
    <row r="3256" spans="12:16" ht="15.75" customHeight="1" x14ac:dyDescent="0.3">
      <c r="L3256" s="6" t="s">
        <v>194</v>
      </c>
      <c r="M3256" s="6" t="s">
        <v>419</v>
      </c>
      <c r="N3256" s="6" t="s">
        <v>138</v>
      </c>
      <c r="O3256" s="6" t="s">
        <v>139</v>
      </c>
      <c r="P3256" s="19">
        <v>0</v>
      </c>
    </row>
    <row r="3257" spans="12:16" ht="15.75" customHeight="1" x14ac:dyDescent="0.3">
      <c r="L3257" s="6" t="s">
        <v>194</v>
      </c>
      <c r="M3257" s="6" t="s">
        <v>419</v>
      </c>
      <c r="N3257" s="6" t="s">
        <v>30</v>
      </c>
      <c r="O3257" s="6" t="s">
        <v>148</v>
      </c>
      <c r="P3257" s="17">
        <v>63.865699999999997</v>
      </c>
    </row>
    <row r="3258" spans="12:16" ht="15.75" customHeight="1" x14ac:dyDescent="0.3">
      <c r="L3258" s="6" t="s">
        <v>194</v>
      </c>
      <c r="M3258" s="6" t="s">
        <v>419</v>
      </c>
      <c r="N3258" s="6" t="s">
        <v>156</v>
      </c>
      <c r="O3258" s="6" t="s">
        <v>157</v>
      </c>
      <c r="P3258" s="19">
        <v>0</v>
      </c>
    </row>
    <row r="3259" spans="12:16" ht="15.75" customHeight="1" x14ac:dyDescent="0.3">
      <c r="L3259" s="6" t="s">
        <v>194</v>
      </c>
      <c r="M3259" s="6" t="s">
        <v>419</v>
      </c>
      <c r="N3259" s="6" t="s">
        <v>158</v>
      </c>
      <c r="O3259" s="6" t="s">
        <v>159</v>
      </c>
      <c r="P3259" s="19">
        <v>1</v>
      </c>
    </row>
    <row r="3260" spans="12:16" ht="15.75" customHeight="1" x14ac:dyDescent="0.3">
      <c r="L3260" s="6" t="s">
        <v>194</v>
      </c>
      <c r="M3260" s="6" t="s">
        <v>419</v>
      </c>
      <c r="N3260" s="6" t="s">
        <v>160</v>
      </c>
      <c r="O3260" s="6" t="s">
        <v>161</v>
      </c>
      <c r="P3260" s="19">
        <v>6</v>
      </c>
    </row>
    <row r="3261" spans="12:16" ht="15.75" customHeight="1" x14ac:dyDescent="0.3">
      <c r="L3261" s="6" t="s">
        <v>194</v>
      </c>
      <c r="M3261" s="6" t="s">
        <v>419</v>
      </c>
      <c r="N3261" s="6" t="s">
        <v>162</v>
      </c>
      <c r="O3261" s="6" t="s">
        <v>163</v>
      </c>
      <c r="P3261" s="19">
        <v>0</v>
      </c>
    </row>
    <row r="3262" spans="12:16" ht="15.75" customHeight="1" x14ac:dyDescent="0.3">
      <c r="L3262" s="6" t="s">
        <v>194</v>
      </c>
      <c r="M3262" s="6" t="s">
        <v>419</v>
      </c>
      <c r="N3262" s="6" t="s">
        <v>165</v>
      </c>
      <c r="O3262" s="6" t="s">
        <v>166</v>
      </c>
      <c r="P3262" s="19">
        <v>2</v>
      </c>
    </row>
    <row r="3263" spans="12:16" ht="15.75" customHeight="1" x14ac:dyDescent="0.3">
      <c r="L3263" s="6" t="s">
        <v>194</v>
      </c>
      <c r="M3263" s="6" t="s">
        <v>332</v>
      </c>
      <c r="N3263" s="6" t="s">
        <v>72</v>
      </c>
      <c r="O3263" s="6" t="s">
        <v>75</v>
      </c>
      <c r="P3263" s="19">
        <v>2</v>
      </c>
    </row>
    <row r="3264" spans="12:16" ht="15.75" customHeight="1" x14ac:dyDescent="0.3">
      <c r="L3264" s="6" t="s">
        <v>194</v>
      </c>
      <c r="M3264" s="6" t="s">
        <v>332</v>
      </c>
      <c r="N3264" s="6" t="s">
        <v>83</v>
      </c>
      <c r="O3264" s="6" t="s">
        <v>84</v>
      </c>
      <c r="P3264" s="19">
        <v>1</v>
      </c>
    </row>
    <row r="3265" spans="12:16" ht="15.75" customHeight="1" x14ac:dyDescent="0.3">
      <c r="L3265" s="6" t="s">
        <v>194</v>
      </c>
      <c r="M3265" s="6" t="s">
        <v>332</v>
      </c>
      <c r="N3265" s="6" t="s">
        <v>88</v>
      </c>
      <c r="O3265" s="6" t="s">
        <v>90</v>
      </c>
      <c r="P3265" s="17">
        <v>0.5</v>
      </c>
    </row>
    <row r="3266" spans="12:16" ht="15.75" customHeight="1" x14ac:dyDescent="0.3">
      <c r="L3266" s="6" t="s">
        <v>194</v>
      </c>
      <c r="M3266" s="6" t="s">
        <v>332</v>
      </c>
      <c r="N3266" s="6" t="s">
        <v>96</v>
      </c>
      <c r="O3266" s="6" t="s">
        <v>97</v>
      </c>
      <c r="P3266" s="19">
        <v>1</v>
      </c>
    </row>
    <row r="3267" spans="12:16" ht="15.75" customHeight="1" x14ac:dyDescent="0.3">
      <c r="L3267" s="6" t="s">
        <v>194</v>
      </c>
      <c r="M3267" s="6" t="s">
        <v>332</v>
      </c>
      <c r="N3267" s="6" t="s">
        <v>100</v>
      </c>
      <c r="O3267" s="6" t="s">
        <v>101</v>
      </c>
      <c r="P3267" s="19">
        <v>0</v>
      </c>
    </row>
    <row r="3268" spans="12:16" ht="15.75" customHeight="1" x14ac:dyDescent="0.3">
      <c r="L3268" s="6" t="s">
        <v>194</v>
      </c>
      <c r="M3268" s="6" t="s">
        <v>332</v>
      </c>
      <c r="N3268" s="6" t="s">
        <v>22</v>
      </c>
      <c r="O3268" s="6" t="s">
        <v>104</v>
      </c>
      <c r="P3268" s="19">
        <v>15</v>
      </c>
    </row>
    <row r="3269" spans="12:16" ht="15.75" customHeight="1" x14ac:dyDescent="0.3">
      <c r="L3269" s="6" t="s">
        <v>194</v>
      </c>
      <c r="M3269" s="6" t="s">
        <v>332</v>
      </c>
      <c r="N3269" s="6" t="s">
        <v>23</v>
      </c>
      <c r="O3269" s="6" t="s">
        <v>107</v>
      </c>
      <c r="P3269" s="17">
        <v>2867.3510999999999</v>
      </c>
    </row>
    <row r="3270" spans="12:16" ht="15.75" customHeight="1" x14ac:dyDescent="0.3">
      <c r="L3270" s="6" t="s">
        <v>194</v>
      </c>
      <c r="M3270" s="6" t="s">
        <v>332</v>
      </c>
      <c r="N3270" s="6" t="s">
        <v>24</v>
      </c>
      <c r="O3270" s="6" t="s">
        <v>109</v>
      </c>
      <c r="P3270" s="17">
        <v>6.7299999999999999E-2</v>
      </c>
    </row>
    <row r="3271" spans="12:16" ht="15.75" customHeight="1" x14ac:dyDescent="0.3">
      <c r="L3271" s="6" t="s">
        <v>194</v>
      </c>
      <c r="M3271" s="6" t="s">
        <v>332</v>
      </c>
      <c r="N3271" s="6" t="s">
        <v>25</v>
      </c>
      <c r="O3271" s="6" t="s">
        <v>111</v>
      </c>
      <c r="P3271" s="19">
        <v>45</v>
      </c>
    </row>
    <row r="3272" spans="12:16" ht="15.75" customHeight="1" x14ac:dyDescent="0.3">
      <c r="L3272" s="6" t="s">
        <v>194</v>
      </c>
      <c r="M3272" s="6" t="s">
        <v>332</v>
      </c>
      <c r="N3272" s="6" t="s">
        <v>26</v>
      </c>
      <c r="O3272" s="6" t="s">
        <v>113</v>
      </c>
      <c r="P3272" s="19">
        <v>19</v>
      </c>
    </row>
    <row r="3273" spans="12:16" ht="15.75" customHeight="1" x14ac:dyDescent="0.3">
      <c r="L3273" s="6" t="s">
        <v>194</v>
      </c>
      <c r="M3273" s="6" t="s">
        <v>332</v>
      </c>
      <c r="N3273" s="6" t="s">
        <v>27</v>
      </c>
      <c r="O3273" s="6" t="s">
        <v>117</v>
      </c>
      <c r="P3273" s="17">
        <v>191.1567</v>
      </c>
    </row>
    <row r="3274" spans="12:16" ht="15.75" customHeight="1" x14ac:dyDescent="0.3">
      <c r="L3274" s="6" t="s">
        <v>194</v>
      </c>
      <c r="M3274" s="6" t="s">
        <v>332</v>
      </c>
      <c r="N3274" s="6" t="s">
        <v>29</v>
      </c>
      <c r="O3274" s="6" t="s">
        <v>125</v>
      </c>
      <c r="P3274" s="19">
        <v>29</v>
      </c>
    </row>
    <row r="3275" spans="12:16" ht="15.75" customHeight="1" x14ac:dyDescent="0.3">
      <c r="L3275" s="6" t="s">
        <v>194</v>
      </c>
      <c r="M3275" s="6" t="s">
        <v>332</v>
      </c>
      <c r="N3275" s="6" t="s">
        <v>135</v>
      </c>
      <c r="O3275" s="6" t="s">
        <v>136</v>
      </c>
      <c r="P3275" s="19">
        <v>1</v>
      </c>
    </row>
    <row r="3276" spans="12:16" ht="15.75" customHeight="1" x14ac:dyDescent="0.3">
      <c r="L3276" s="6" t="s">
        <v>194</v>
      </c>
      <c r="M3276" s="6" t="s">
        <v>332</v>
      </c>
      <c r="N3276" s="6" t="s">
        <v>138</v>
      </c>
      <c r="O3276" s="6" t="s">
        <v>139</v>
      </c>
      <c r="P3276" s="19">
        <v>1</v>
      </c>
    </row>
    <row r="3277" spans="12:16" ht="15.75" customHeight="1" x14ac:dyDescent="0.3">
      <c r="L3277" s="6" t="s">
        <v>194</v>
      </c>
      <c r="M3277" s="6" t="s">
        <v>332</v>
      </c>
      <c r="N3277" s="6" t="s">
        <v>30</v>
      </c>
      <c r="O3277" s="6" t="s">
        <v>148</v>
      </c>
      <c r="P3277" s="17">
        <v>51.979700000000001</v>
      </c>
    </row>
    <row r="3278" spans="12:16" ht="15.75" customHeight="1" x14ac:dyDescent="0.3">
      <c r="L3278" s="6" t="s">
        <v>194</v>
      </c>
      <c r="M3278" s="6" t="s">
        <v>332</v>
      </c>
      <c r="N3278" s="6" t="s">
        <v>156</v>
      </c>
      <c r="O3278" s="6" t="s">
        <v>157</v>
      </c>
      <c r="P3278" s="19">
        <v>2</v>
      </c>
    </row>
    <row r="3279" spans="12:16" ht="15.75" customHeight="1" x14ac:dyDescent="0.3">
      <c r="L3279" s="6" t="s">
        <v>194</v>
      </c>
      <c r="M3279" s="6" t="s">
        <v>332</v>
      </c>
      <c r="N3279" s="6" t="s">
        <v>158</v>
      </c>
      <c r="O3279" s="6" t="s">
        <v>159</v>
      </c>
      <c r="P3279" s="19">
        <v>3</v>
      </c>
    </row>
    <row r="3280" spans="12:16" ht="15.75" customHeight="1" x14ac:dyDescent="0.3">
      <c r="L3280" s="6" t="s">
        <v>194</v>
      </c>
      <c r="M3280" s="6" t="s">
        <v>332</v>
      </c>
      <c r="N3280" s="6" t="s">
        <v>160</v>
      </c>
      <c r="O3280" s="6" t="s">
        <v>161</v>
      </c>
      <c r="P3280" s="19">
        <v>6</v>
      </c>
    </row>
    <row r="3281" spans="12:16" ht="15.75" customHeight="1" x14ac:dyDescent="0.3">
      <c r="L3281" s="6" t="s">
        <v>194</v>
      </c>
      <c r="M3281" s="6" t="s">
        <v>332</v>
      </c>
      <c r="N3281" s="6" t="s">
        <v>162</v>
      </c>
      <c r="O3281" s="6" t="s">
        <v>163</v>
      </c>
      <c r="P3281" s="19">
        <v>1</v>
      </c>
    </row>
    <row r="3282" spans="12:16" ht="15.75" customHeight="1" x14ac:dyDescent="0.3">
      <c r="L3282" s="6" t="s">
        <v>194</v>
      </c>
      <c r="M3282" s="6" t="s">
        <v>332</v>
      </c>
      <c r="N3282" s="6" t="s">
        <v>165</v>
      </c>
      <c r="O3282" s="6" t="s">
        <v>166</v>
      </c>
      <c r="P3282" s="19">
        <v>0</v>
      </c>
    </row>
    <row r="3283" spans="12:16" ht="15.75" customHeight="1" x14ac:dyDescent="0.3">
      <c r="L3283" s="6" t="s">
        <v>194</v>
      </c>
      <c r="M3283" s="6" t="s">
        <v>316</v>
      </c>
      <c r="N3283" s="6" t="s">
        <v>72</v>
      </c>
      <c r="O3283" s="6" t="s">
        <v>75</v>
      </c>
      <c r="P3283" s="19">
        <v>3</v>
      </c>
    </row>
    <row r="3284" spans="12:16" ht="15.75" customHeight="1" x14ac:dyDescent="0.3">
      <c r="L3284" s="6" t="s">
        <v>194</v>
      </c>
      <c r="M3284" s="6" t="s">
        <v>316</v>
      </c>
      <c r="N3284" s="6" t="s">
        <v>83</v>
      </c>
      <c r="O3284" s="6" t="s">
        <v>84</v>
      </c>
      <c r="P3284" s="19">
        <v>1</v>
      </c>
    </row>
    <row r="3285" spans="12:16" ht="15.75" customHeight="1" x14ac:dyDescent="0.3">
      <c r="L3285" s="6" t="s">
        <v>194</v>
      </c>
      <c r="M3285" s="6" t="s">
        <v>316</v>
      </c>
      <c r="N3285" s="6" t="s">
        <v>88</v>
      </c>
      <c r="O3285" s="6" t="s">
        <v>90</v>
      </c>
      <c r="P3285" s="17">
        <v>0.5</v>
      </c>
    </row>
    <row r="3286" spans="12:16" ht="15.75" customHeight="1" x14ac:dyDescent="0.3">
      <c r="L3286" s="6" t="s">
        <v>194</v>
      </c>
      <c r="M3286" s="6" t="s">
        <v>316</v>
      </c>
      <c r="N3286" s="6" t="s">
        <v>96</v>
      </c>
      <c r="O3286" s="6" t="s">
        <v>97</v>
      </c>
      <c r="P3286" s="19">
        <v>2</v>
      </c>
    </row>
    <row r="3287" spans="12:16" ht="15.75" customHeight="1" x14ac:dyDescent="0.3">
      <c r="L3287" s="6" t="s">
        <v>194</v>
      </c>
      <c r="M3287" s="6" t="s">
        <v>316</v>
      </c>
      <c r="N3287" s="6" t="s">
        <v>100</v>
      </c>
      <c r="O3287" s="6" t="s">
        <v>101</v>
      </c>
      <c r="P3287" s="19">
        <v>0</v>
      </c>
    </row>
    <row r="3288" spans="12:16" ht="15.75" customHeight="1" x14ac:dyDescent="0.3">
      <c r="L3288" s="6" t="s">
        <v>194</v>
      </c>
      <c r="M3288" s="6" t="s">
        <v>316</v>
      </c>
      <c r="N3288" s="6" t="s">
        <v>22</v>
      </c>
      <c r="O3288" s="6" t="s">
        <v>104</v>
      </c>
      <c r="P3288" s="17">
        <v>7.5</v>
      </c>
    </row>
    <row r="3289" spans="12:16" ht="15.75" customHeight="1" x14ac:dyDescent="0.3">
      <c r="L3289" s="6" t="s">
        <v>194</v>
      </c>
      <c r="M3289" s="6" t="s">
        <v>316</v>
      </c>
      <c r="N3289" s="6" t="s">
        <v>23</v>
      </c>
      <c r="O3289" s="6" t="s">
        <v>107</v>
      </c>
      <c r="P3289" s="19">
        <v>780</v>
      </c>
    </row>
    <row r="3290" spans="12:16" ht="15.75" customHeight="1" x14ac:dyDescent="0.3">
      <c r="L3290" s="6" t="s">
        <v>194</v>
      </c>
      <c r="M3290" s="6" t="s">
        <v>316</v>
      </c>
      <c r="N3290" s="6" t="s">
        <v>24</v>
      </c>
      <c r="O3290" s="6" t="s">
        <v>109</v>
      </c>
      <c r="P3290" s="17">
        <v>2.8199999999999999E-2</v>
      </c>
    </row>
    <row r="3291" spans="12:16" ht="15.75" customHeight="1" x14ac:dyDescent="0.3">
      <c r="L3291" s="6" t="s">
        <v>194</v>
      </c>
      <c r="M3291" s="6" t="s">
        <v>316</v>
      </c>
      <c r="N3291" s="6" t="s">
        <v>25</v>
      </c>
      <c r="O3291" s="6" t="s">
        <v>111</v>
      </c>
      <c r="P3291" s="19">
        <v>26</v>
      </c>
    </row>
    <row r="3292" spans="12:16" ht="15.75" customHeight="1" x14ac:dyDescent="0.3">
      <c r="L3292" s="6" t="s">
        <v>194</v>
      </c>
      <c r="M3292" s="6" t="s">
        <v>316</v>
      </c>
      <c r="N3292" s="6" t="s">
        <v>26</v>
      </c>
      <c r="O3292" s="6" t="s">
        <v>113</v>
      </c>
      <c r="P3292" s="19">
        <v>16</v>
      </c>
    </row>
    <row r="3293" spans="12:16" ht="15.75" customHeight="1" x14ac:dyDescent="0.3">
      <c r="L3293" s="6" t="s">
        <v>194</v>
      </c>
      <c r="M3293" s="6" t="s">
        <v>316</v>
      </c>
      <c r="N3293" s="6" t="s">
        <v>27</v>
      </c>
      <c r="O3293" s="6" t="s">
        <v>117</v>
      </c>
      <c r="P3293" s="19">
        <v>104</v>
      </c>
    </row>
    <row r="3294" spans="12:16" ht="15.75" customHeight="1" x14ac:dyDescent="0.3">
      <c r="L3294" s="6" t="s">
        <v>194</v>
      </c>
      <c r="M3294" s="6" t="s">
        <v>316</v>
      </c>
      <c r="N3294" s="6" t="s">
        <v>29</v>
      </c>
      <c r="O3294" s="6" t="s">
        <v>125</v>
      </c>
      <c r="P3294" s="19">
        <v>18</v>
      </c>
    </row>
    <row r="3295" spans="12:16" ht="15.75" customHeight="1" x14ac:dyDescent="0.3">
      <c r="L3295" s="6" t="s">
        <v>194</v>
      </c>
      <c r="M3295" s="6" t="s">
        <v>316</v>
      </c>
      <c r="N3295" s="6" t="s">
        <v>135</v>
      </c>
      <c r="O3295" s="6" t="s">
        <v>136</v>
      </c>
      <c r="P3295" s="19">
        <v>1</v>
      </c>
    </row>
    <row r="3296" spans="12:16" ht="15.75" customHeight="1" x14ac:dyDescent="0.3">
      <c r="L3296" s="6" t="s">
        <v>194</v>
      </c>
      <c r="M3296" s="6" t="s">
        <v>316</v>
      </c>
      <c r="N3296" s="6" t="s">
        <v>138</v>
      </c>
      <c r="O3296" s="6" t="s">
        <v>139</v>
      </c>
      <c r="P3296" s="19">
        <v>0</v>
      </c>
    </row>
    <row r="3297" spans="12:16" ht="15.75" customHeight="1" x14ac:dyDescent="0.3">
      <c r="L3297" s="6" t="s">
        <v>194</v>
      </c>
      <c r="M3297" s="6" t="s">
        <v>316</v>
      </c>
      <c r="N3297" s="6" t="s">
        <v>30</v>
      </c>
      <c r="O3297" s="6" t="s">
        <v>148</v>
      </c>
      <c r="P3297" s="17">
        <v>58.3078</v>
      </c>
    </row>
    <row r="3298" spans="12:16" ht="15.75" customHeight="1" x14ac:dyDescent="0.3">
      <c r="L3298" s="6" t="s">
        <v>194</v>
      </c>
      <c r="M3298" s="6" t="s">
        <v>316</v>
      </c>
      <c r="N3298" s="6" t="s">
        <v>156</v>
      </c>
      <c r="O3298" s="6" t="s">
        <v>157</v>
      </c>
      <c r="P3298" s="19">
        <v>1</v>
      </c>
    </row>
    <row r="3299" spans="12:16" ht="15.75" customHeight="1" x14ac:dyDescent="0.3">
      <c r="L3299" s="6" t="s">
        <v>194</v>
      </c>
      <c r="M3299" s="6" t="s">
        <v>316</v>
      </c>
      <c r="N3299" s="6" t="s">
        <v>158</v>
      </c>
      <c r="O3299" s="6" t="s">
        <v>159</v>
      </c>
      <c r="P3299" s="19">
        <v>4</v>
      </c>
    </row>
    <row r="3300" spans="12:16" ht="15.75" customHeight="1" x14ac:dyDescent="0.3">
      <c r="L3300" s="6" t="s">
        <v>194</v>
      </c>
      <c r="M3300" s="6" t="s">
        <v>316</v>
      </c>
      <c r="N3300" s="6" t="s">
        <v>160</v>
      </c>
      <c r="O3300" s="6" t="s">
        <v>161</v>
      </c>
      <c r="P3300" s="19">
        <v>4</v>
      </c>
    </row>
    <row r="3301" spans="12:16" ht="15.75" customHeight="1" x14ac:dyDescent="0.3">
      <c r="L3301" s="6" t="s">
        <v>194</v>
      </c>
      <c r="M3301" s="6" t="s">
        <v>316</v>
      </c>
      <c r="N3301" s="6" t="s">
        <v>162</v>
      </c>
      <c r="O3301" s="6" t="s">
        <v>163</v>
      </c>
      <c r="P3301" s="19">
        <v>0</v>
      </c>
    </row>
    <row r="3302" spans="12:16" ht="15.75" customHeight="1" x14ac:dyDescent="0.3">
      <c r="L3302" s="6" t="s">
        <v>194</v>
      </c>
      <c r="M3302" s="6" t="s">
        <v>316</v>
      </c>
      <c r="N3302" s="6" t="s">
        <v>165</v>
      </c>
      <c r="O3302" s="6" t="s">
        <v>166</v>
      </c>
      <c r="P3302" s="19">
        <v>1</v>
      </c>
    </row>
    <row r="3303" spans="12:16" ht="15.75" customHeight="1" x14ac:dyDescent="0.3">
      <c r="L3303" s="6" t="s">
        <v>194</v>
      </c>
      <c r="M3303" s="6" t="s">
        <v>453</v>
      </c>
      <c r="N3303" s="6" t="s">
        <v>72</v>
      </c>
      <c r="O3303" s="6" t="s">
        <v>75</v>
      </c>
      <c r="P3303" s="19">
        <v>0</v>
      </c>
    </row>
    <row r="3304" spans="12:16" ht="15.75" customHeight="1" x14ac:dyDescent="0.3">
      <c r="L3304" s="6" t="s">
        <v>194</v>
      </c>
      <c r="M3304" s="6" t="s">
        <v>453</v>
      </c>
      <c r="N3304" s="6" t="s">
        <v>83</v>
      </c>
      <c r="O3304" s="6" t="s">
        <v>84</v>
      </c>
      <c r="P3304" s="19">
        <v>0</v>
      </c>
    </row>
    <row r="3305" spans="12:16" ht="15.75" customHeight="1" x14ac:dyDescent="0.3">
      <c r="L3305" s="6" t="s">
        <v>194</v>
      </c>
      <c r="M3305" s="6" t="s">
        <v>453</v>
      </c>
      <c r="N3305" s="6" t="s">
        <v>88</v>
      </c>
      <c r="O3305" s="6" t="s">
        <v>90</v>
      </c>
      <c r="P3305" s="19">
        <v>0</v>
      </c>
    </row>
    <row r="3306" spans="12:16" ht="15.75" customHeight="1" x14ac:dyDescent="0.3">
      <c r="L3306" s="6" t="s">
        <v>194</v>
      </c>
      <c r="M3306" s="6" t="s">
        <v>453</v>
      </c>
      <c r="N3306" s="6" t="s">
        <v>96</v>
      </c>
      <c r="O3306" s="6" t="s">
        <v>97</v>
      </c>
      <c r="P3306" s="19">
        <v>0</v>
      </c>
    </row>
    <row r="3307" spans="12:16" ht="15.75" customHeight="1" x14ac:dyDescent="0.3">
      <c r="L3307" s="6" t="s">
        <v>194</v>
      </c>
      <c r="M3307" s="6" t="s">
        <v>453</v>
      </c>
      <c r="N3307" s="6" t="s">
        <v>100</v>
      </c>
      <c r="O3307" s="6" t="s">
        <v>101</v>
      </c>
      <c r="P3307" s="19">
        <v>0</v>
      </c>
    </row>
    <row r="3308" spans="12:16" ht="15.75" customHeight="1" x14ac:dyDescent="0.3">
      <c r="L3308" s="6" t="s">
        <v>194</v>
      </c>
      <c r="M3308" s="6" t="s">
        <v>453</v>
      </c>
      <c r="N3308" s="6" t="s">
        <v>22</v>
      </c>
      <c r="O3308" s="6" t="s">
        <v>104</v>
      </c>
      <c r="P3308" s="19">
        <v>2</v>
      </c>
    </row>
    <row r="3309" spans="12:16" ht="15.75" customHeight="1" x14ac:dyDescent="0.3">
      <c r="L3309" s="6" t="s">
        <v>194</v>
      </c>
      <c r="M3309" s="6" t="s">
        <v>453</v>
      </c>
      <c r="N3309" s="6" t="s">
        <v>23</v>
      </c>
      <c r="O3309" s="6" t="s">
        <v>107</v>
      </c>
      <c r="P3309" s="17">
        <v>31.019600000000001</v>
      </c>
    </row>
    <row r="3310" spans="12:16" ht="15.75" customHeight="1" x14ac:dyDescent="0.3">
      <c r="L3310" s="6" t="s">
        <v>194</v>
      </c>
      <c r="M3310" s="6" t="s">
        <v>453</v>
      </c>
      <c r="N3310" s="6" t="s">
        <v>24</v>
      </c>
      <c r="O3310" s="6" t="s">
        <v>109</v>
      </c>
      <c r="P3310" s="17">
        <v>3.3E-3</v>
      </c>
    </row>
    <row r="3311" spans="12:16" ht="15.75" customHeight="1" x14ac:dyDescent="0.3">
      <c r="L3311" s="6" t="s">
        <v>194</v>
      </c>
      <c r="M3311" s="6" t="s">
        <v>453</v>
      </c>
      <c r="N3311" s="6" t="s">
        <v>25</v>
      </c>
      <c r="O3311" s="6" t="s">
        <v>111</v>
      </c>
      <c r="P3311" s="19">
        <v>6</v>
      </c>
    </row>
    <row r="3312" spans="12:16" ht="15.75" customHeight="1" x14ac:dyDescent="0.3">
      <c r="L3312" s="6" t="s">
        <v>194</v>
      </c>
      <c r="M3312" s="6" t="s">
        <v>453</v>
      </c>
      <c r="N3312" s="6" t="s">
        <v>26</v>
      </c>
      <c r="O3312" s="6" t="s">
        <v>113</v>
      </c>
      <c r="P3312" s="19">
        <v>6</v>
      </c>
    </row>
    <row r="3313" spans="12:16" ht="15.75" customHeight="1" x14ac:dyDescent="0.3">
      <c r="L3313" s="6" t="s">
        <v>194</v>
      </c>
      <c r="M3313" s="6" t="s">
        <v>453</v>
      </c>
      <c r="N3313" s="6" t="s">
        <v>27</v>
      </c>
      <c r="O3313" s="6" t="s">
        <v>117</v>
      </c>
      <c r="P3313" s="17">
        <v>15.5098</v>
      </c>
    </row>
    <row r="3314" spans="12:16" ht="15.75" customHeight="1" x14ac:dyDescent="0.3">
      <c r="L3314" s="6" t="s">
        <v>194</v>
      </c>
      <c r="M3314" s="6" t="s">
        <v>453</v>
      </c>
      <c r="N3314" s="6" t="s">
        <v>29</v>
      </c>
      <c r="O3314" s="6" t="s">
        <v>125</v>
      </c>
      <c r="P3314" s="19">
        <v>8</v>
      </c>
    </row>
    <row r="3315" spans="12:16" ht="15.75" customHeight="1" x14ac:dyDescent="0.3">
      <c r="L3315" s="6" t="s">
        <v>194</v>
      </c>
      <c r="M3315" s="6" t="s">
        <v>453</v>
      </c>
      <c r="N3315" s="6" t="s">
        <v>135</v>
      </c>
      <c r="O3315" s="6" t="s">
        <v>136</v>
      </c>
      <c r="P3315" s="19">
        <v>1</v>
      </c>
    </row>
    <row r="3316" spans="12:16" ht="15.75" customHeight="1" x14ac:dyDescent="0.3">
      <c r="L3316" s="6" t="s">
        <v>194</v>
      </c>
      <c r="M3316" s="6" t="s">
        <v>453</v>
      </c>
      <c r="N3316" s="6" t="s">
        <v>138</v>
      </c>
      <c r="O3316" s="6" t="s">
        <v>139</v>
      </c>
      <c r="P3316" s="19">
        <v>0</v>
      </c>
    </row>
    <row r="3317" spans="12:16" ht="15.75" customHeight="1" x14ac:dyDescent="0.3">
      <c r="L3317" s="6" t="s">
        <v>194</v>
      </c>
      <c r="M3317" s="6" t="s">
        <v>453</v>
      </c>
      <c r="N3317" s="6" t="s">
        <v>30</v>
      </c>
      <c r="O3317" s="6" t="s">
        <v>148</v>
      </c>
      <c r="P3317" s="17">
        <v>72.064999999999998</v>
      </c>
    </row>
    <row r="3318" spans="12:16" ht="15.75" customHeight="1" x14ac:dyDescent="0.3">
      <c r="L3318" s="6" t="s">
        <v>194</v>
      </c>
      <c r="M3318" s="6" t="s">
        <v>453</v>
      </c>
      <c r="N3318" s="6" t="s">
        <v>156</v>
      </c>
      <c r="O3318" s="6" t="s">
        <v>157</v>
      </c>
      <c r="P3318" s="19">
        <v>0</v>
      </c>
    </row>
    <row r="3319" spans="12:16" ht="15.75" customHeight="1" x14ac:dyDescent="0.3">
      <c r="L3319" s="6" t="s">
        <v>194</v>
      </c>
      <c r="M3319" s="6" t="s">
        <v>453</v>
      </c>
      <c r="N3319" s="6" t="s">
        <v>158</v>
      </c>
      <c r="O3319" s="6" t="s">
        <v>159</v>
      </c>
      <c r="P3319" s="19">
        <v>1</v>
      </c>
    </row>
    <row r="3320" spans="12:16" ht="15.75" customHeight="1" x14ac:dyDescent="0.3">
      <c r="L3320" s="6" t="s">
        <v>194</v>
      </c>
      <c r="M3320" s="6" t="s">
        <v>453</v>
      </c>
      <c r="N3320" s="6" t="s">
        <v>160</v>
      </c>
      <c r="O3320" s="6" t="s">
        <v>161</v>
      </c>
      <c r="P3320" s="19">
        <v>1</v>
      </c>
    </row>
    <row r="3321" spans="12:16" ht="15.75" customHeight="1" x14ac:dyDescent="0.3">
      <c r="L3321" s="6" t="s">
        <v>194</v>
      </c>
      <c r="M3321" s="6" t="s">
        <v>453</v>
      </c>
      <c r="N3321" s="6" t="s">
        <v>162</v>
      </c>
      <c r="O3321" s="6" t="s">
        <v>163</v>
      </c>
      <c r="P3321" s="19">
        <v>0</v>
      </c>
    </row>
    <row r="3322" spans="12:16" ht="15.75" customHeight="1" x14ac:dyDescent="0.3">
      <c r="L3322" s="6" t="s">
        <v>194</v>
      </c>
      <c r="M3322" s="6" t="s">
        <v>453</v>
      </c>
      <c r="N3322" s="6" t="s">
        <v>165</v>
      </c>
      <c r="O3322" s="6" t="s">
        <v>166</v>
      </c>
      <c r="P3322" s="19">
        <v>0</v>
      </c>
    </row>
    <row r="3323" spans="12:16" ht="15.75" customHeight="1" x14ac:dyDescent="0.3">
      <c r="L3323" s="6" t="s">
        <v>194</v>
      </c>
      <c r="M3323" s="6" t="s">
        <v>456</v>
      </c>
      <c r="N3323" s="6" t="s">
        <v>72</v>
      </c>
      <c r="O3323" s="6" t="s">
        <v>75</v>
      </c>
      <c r="P3323" s="19">
        <v>0</v>
      </c>
    </row>
    <row r="3324" spans="12:16" ht="15.75" customHeight="1" x14ac:dyDescent="0.3">
      <c r="L3324" s="6" t="s">
        <v>194</v>
      </c>
      <c r="M3324" s="6" t="s">
        <v>456</v>
      </c>
      <c r="N3324" s="6" t="s">
        <v>83</v>
      </c>
      <c r="O3324" s="6" t="s">
        <v>84</v>
      </c>
      <c r="P3324" s="19">
        <v>0</v>
      </c>
    </row>
    <row r="3325" spans="12:16" ht="15.75" customHeight="1" x14ac:dyDescent="0.3">
      <c r="L3325" s="6" t="s">
        <v>194</v>
      </c>
      <c r="M3325" s="6" t="s">
        <v>456</v>
      </c>
      <c r="N3325" s="6" t="s">
        <v>88</v>
      </c>
      <c r="O3325" s="6" t="s">
        <v>90</v>
      </c>
      <c r="P3325" s="19">
        <v>0</v>
      </c>
    </row>
    <row r="3326" spans="12:16" ht="15.75" customHeight="1" x14ac:dyDescent="0.3">
      <c r="L3326" s="6" t="s">
        <v>194</v>
      </c>
      <c r="M3326" s="6" t="s">
        <v>456</v>
      </c>
      <c r="N3326" s="6" t="s">
        <v>96</v>
      </c>
      <c r="O3326" s="6" t="s">
        <v>97</v>
      </c>
      <c r="P3326" s="19">
        <v>0</v>
      </c>
    </row>
    <row r="3327" spans="12:16" ht="15.75" customHeight="1" x14ac:dyDescent="0.3">
      <c r="L3327" s="6" t="s">
        <v>194</v>
      </c>
      <c r="M3327" s="6" t="s">
        <v>456</v>
      </c>
      <c r="N3327" s="6" t="s">
        <v>100</v>
      </c>
      <c r="O3327" s="6" t="s">
        <v>101</v>
      </c>
      <c r="P3327" s="19">
        <v>0</v>
      </c>
    </row>
    <row r="3328" spans="12:16" ht="15.75" customHeight="1" x14ac:dyDescent="0.3">
      <c r="L3328" s="6" t="s">
        <v>194</v>
      </c>
      <c r="M3328" s="6" t="s">
        <v>456</v>
      </c>
      <c r="N3328" s="6" t="s">
        <v>22</v>
      </c>
      <c r="O3328" s="6" t="s">
        <v>104</v>
      </c>
      <c r="P3328" s="19">
        <v>2</v>
      </c>
    </row>
    <row r="3329" spans="12:16" ht="15.75" customHeight="1" x14ac:dyDescent="0.3">
      <c r="L3329" s="6" t="s">
        <v>194</v>
      </c>
      <c r="M3329" s="6" t="s">
        <v>456</v>
      </c>
      <c r="N3329" s="6" t="s">
        <v>23</v>
      </c>
      <c r="O3329" s="6" t="s">
        <v>107</v>
      </c>
      <c r="P3329" s="17">
        <v>36.189500000000002</v>
      </c>
    </row>
    <row r="3330" spans="12:16" ht="15.75" customHeight="1" x14ac:dyDescent="0.3">
      <c r="L3330" s="6" t="s">
        <v>194</v>
      </c>
      <c r="M3330" s="6" t="s">
        <v>456</v>
      </c>
      <c r="N3330" s="6" t="s">
        <v>24</v>
      </c>
      <c r="O3330" s="6" t="s">
        <v>109</v>
      </c>
      <c r="P3330" s="17">
        <v>3.5999999999999999E-3</v>
      </c>
    </row>
    <row r="3331" spans="12:16" ht="15.75" customHeight="1" x14ac:dyDescent="0.3">
      <c r="L3331" s="6" t="s">
        <v>194</v>
      </c>
      <c r="M3331" s="6" t="s">
        <v>456</v>
      </c>
      <c r="N3331" s="6" t="s">
        <v>25</v>
      </c>
      <c r="O3331" s="6" t="s">
        <v>111</v>
      </c>
      <c r="P3331" s="19">
        <v>7</v>
      </c>
    </row>
    <row r="3332" spans="12:16" ht="15.75" customHeight="1" x14ac:dyDescent="0.3">
      <c r="L3332" s="6" t="s">
        <v>194</v>
      </c>
      <c r="M3332" s="6" t="s">
        <v>456</v>
      </c>
      <c r="N3332" s="6" t="s">
        <v>26</v>
      </c>
      <c r="O3332" s="6" t="s">
        <v>113</v>
      </c>
      <c r="P3332" s="19">
        <v>6</v>
      </c>
    </row>
    <row r="3333" spans="12:16" ht="15.75" customHeight="1" x14ac:dyDescent="0.3">
      <c r="L3333" s="6" t="s">
        <v>194</v>
      </c>
      <c r="M3333" s="6" t="s">
        <v>456</v>
      </c>
      <c r="N3333" s="6" t="s">
        <v>27</v>
      </c>
      <c r="O3333" s="6" t="s">
        <v>117</v>
      </c>
      <c r="P3333" s="17">
        <v>18.0947</v>
      </c>
    </row>
    <row r="3334" spans="12:16" ht="15.75" customHeight="1" x14ac:dyDescent="0.3">
      <c r="L3334" s="6" t="s">
        <v>194</v>
      </c>
      <c r="M3334" s="6" t="s">
        <v>456</v>
      </c>
      <c r="N3334" s="6" t="s">
        <v>29</v>
      </c>
      <c r="O3334" s="6" t="s">
        <v>125</v>
      </c>
      <c r="P3334" s="19">
        <v>8</v>
      </c>
    </row>
    <row r="3335" spans="12:16" ht="15.75" customHeight="1" x14ac:dyDescent="0.3">
      <c r="L3335" s="6" t="s">
        <v>194</v>
      </c>
      <c r="M3335" s="6" t="s">
        <v>456</v>
      </c>
      <c r="N3335" s="6" t="s">
        <v>135</v>
      </c>
      <c r="O3335" s="6" t="s">
        <v>136</v>
      </c>
      <c r="P3335" s="19">
        <v>1</v>
      </c>
    </row>
    <row r="3336" spans="12:16" ht="15.75" customHeight="1" x14ac:dyDescent="0.3">
      <c r="L3336" s="6" t="s">
        <v>194</v>
      </c>
      <c r="M3336" s="6" t="s">
        <v>456</v>
      </c>
      <c r="N3336" s="6" t="s">
        <v>138</v>
      </c>
      <c r="O3336" s="6" t="s">
        <v>139</v>
      </c>
      <c r="P3336" s="19">
        <v>0</v>
      </c>
    </row>
    <row r="3337" spans="12:16" ht="15.75" customHeight="1" x14ac:dyDescent="0.3">
      <c r="L3337" s="6" t="s">
        <v>194</v>
      </c>
      <c r="M3337" s="6" t="s">
        <v>456</v>
      </c>
      <c r="N3337" s="6" t="s">
        <v>30</v>
      </c>
      <c r="O3337" s="6" t="s">
        <v>148</v>
      </c>
      <c r="P3337" s="17">
        <v>71.510599999999997</v>
      </c>
    </row>
    <row r="3338" spans="12:16" ht="15.75" customHeight="1" x14ac:dyDescent="0.3">
      <c r="L3338" s="6" t="s">
        <v>194</v>
      </c>
      <c r="M3338" s="6" t="s">
        <v>456</v>
      </c>
      <c r="N3338" s="6" t="s">
        <v>156</v>
      </c>
      <c r="O3338" s="6" t="s">
        <v>157</v>
      </c>
      <c r="P3338" s="19">
        <v>0</v>
      </c>
    </row>
    <row r="3339" spans="12:16" ht="15.75" customHeight="1" x14ac:dyDescent="0.3">
      <c r="L3339" s="6" t="s">
        <v>194</v>
      </c>
      <c r="M3339" s="6" t="s">
        <v>456</v>
      </c>
      <c r="N3339" s="6" t="s">
        <v>158</v>
      </c>
      <c r="O3339" s="6" t="s">
        <v>159</v>
      </c>
      <c r="P3339" s="19">
        <v>1</v>
      </c>
    </row>
    <row r="3340" spans="12:16" ht="15.75" customHeight="1" x14ac:dyDescent="0.3">
      <c r="L3340" s="6" t="s">
        <v>194</v>
      </c>
      <c r="M3340" s="6" t="s">
        <v>456</v>
      </c>
      <c r="N3340" s="6" t="s">
        <v>160</v>
      </c>
      <c r="O3340" s="6" t="s">
        <v>161</v>
      </c>
      <c r="P3340" s="19">
        <v>1</v>
      </c>
    </row>
    <row r="3341" spans="12:16" ht="15.75" customHeight="1" x14ac:dyDescent="0.3">
      <c r="L3341" s="6" t="s">
        <v>194</v>
      </c>
      <c r="M3341" s="6" t="s">
        <v>456</v>
      </c>
      <c r="N3341" s="6" t="s">
        <v>162</v>
      </c>
      <c r="O3341" s="6" t="s">
        <v>163</v>
      </c>
      <c r="P3341" s="19">
        <v>0</v>
      </c>
    </row>
    <row r="3342" spans="12:16" ht="15.75" customHeight="1" x14ac:dyDescent="0.3">
      <c r="L3342" s="6" t="s">
        <v>194</v>
      </c>
      <c r="M3342" s="6" t="s">
        <v>456</v>
      </c>
      <c r="N3342" s="6" t="s">
        <v>165</v>
      </c>
      <c r="O3342" s="6" t="s">
        <v>166</v>
      </c>
      <c r="P3342" s="19">
        <v>0</v>
      </c>
    </row>
    <row r="3343" spans="12:16" ht="15.75" customHeight="1" x14ac:dyDescent="0.3">
      <c r="L3343" s="6" t="s">
        <v>194</v>
      </c>
      <c r="M3343" s="6" t="s">
        <v>432</v>
      </c>
      <c r="N3343" s="6" t="s">
        <v>72</v>
      </c>
      <c r="O3343" s="6" t="s">
        <v>75</v>
      </c>
      <c r="P3343" s="19">
        <v>0</v>
      </c>
    </row>
    <row r="3344" spans="12:16" ht="15.75" customHeight="1" x14ac:dyDescent="0.3">
      <c r="L3344" s="6" t="s">
        <v>194</v>
      </c>
      <c r="M3344" s="6" t="s">
        <v>432</v>
      </c>
      <c r="N3344" s="6" t="s">
        <v>83</v>
      </c>
      <c r="O3344" s="6" t="s">
        <v>84</v>
      </c>
      <c r="P3344" s="19">
        <v>0</v>
      </c>
    </row>
    <row r="3345" spans="12:16" ht="15.75" customHeight="1" x14ac:dyDescent="0.3">
      <c r="L3345" s="6" t="s">
        <v>194</v>
      </c>
      <c r="M3345" s="6" t="s">
        <v>432</v>
      </c>
      <c r="N3345" s="6" t="s">
        <v>88</v>
      </c>
      <c r="O3345" s="6" t="s">
        <v>90</v>
      </c>
      <c r="P3345" s="19">
        <v>0</v>
      </c>
    </row>
    <row r="3346" spans="12:16" ht="15.75" customHeight="1" x14ac:dyDescent="0.3">
      <c r="L3346" s="6" t="s">
        <v>194</v>
      </c>
      <c r="M3346" s="6" t="s">
        <v>432</v>
      </c>
      <c r="N3346" s="6" t="s">
        <v>96</v>
      </c>
      <c r="O3346" s="6" t="s">
        <v>97</v>
      </c>
      <c r="P3346" s="19">
        <v>0</v>
      </c>
    </row>
    <row r="3347" spans="12:16" ht="15.75" customHeight="1" x14ac:dyDescent="0.3">
      <c r="L3347" s="6" t="s">
        <v>194</v>
      </c>
      <c r="M3347" s="6" t="s">
        <v>432</v>
      </c>
      <c r="N3347" s="6" t="s">
        <v>100</v>
      </c>
      <c r="O3347" s="6" t="s">
        <v>101</v>
      </c>
      <c r="P3347" s="19">
        <v>0</v>
      </c>
    </row>
    <row r="3348" spans="12:16" ht="15.75" customHeight="1" x14ac:dyDescent="0.3">
      <c r="L3348" s="6" t="s">
        <v>194</v>
      </c>
      <c r="M3348" s="6" t="s">
        <v>432</v>
      </c>
      <c r="N3348" s="6" t="s">
        <v>22</v>
      </c>
      <c r="O3348" s="6" t="s">
        <v>104</v>
      </c>
      <c r="P3348" s="17">
        <v>1.5</v>
      </c>
    </row>
    <row r="3349" spans="12:16" ht="15.75" customHeight="1" x14ac:dyDescent="0.3">
      <c r="L3349" s="6" t="s">
        <v>194</v>
      </c>
      <c r="M3349" s="6" t="s">
        <v>432</v>
      </c>
      <c r="N3349" s="6" t="s">
        <v>23</v>
      </c>
      <c r="O3349" s="6" t="s">
        <v>107</v>
      </c>
      <c r="P3349" s="19">
        <v>12</v>
      </c>
    </row>
    <row r="3350" spans="12:16" ht="15.75" customHeight="1" x14ac:dyDescent="0.3">
      <c r="L3350" s="6" t="s">
        <v>194</v>
      </c>
      <c r="M3350" s="6" t="s">
        <v>432</v>
      </c>
      <c r="N3350" s="6" t="s">
        <v>24</v>
      </c>
      <c r="O3350" s="6" t="s">
        <v>109</v>
      </c>
      <c r="P3350" s="17">
        <v>1.6999999999999999E-3</v>
      </c>
    </row>
    <row r="3351" spans="12:16" ht="15.75" customHeight="1" x14ac:dyDescent="0.3">
      <c r="L3351" s="6" t="s">
        <v>194</v>
      </c>
      <c r="M3351" s="6" t="s">
        <v>432</v>
      </c>
      <c r="N3351" s="6" t="s">
        <v>25</v>
      </c>
      <c r="O3351" s="6" t="s">
        <v>111</v>
      </c>
      <c r="P3351" s="19">
        <v>4</v>
      </c>
    </row>
    <row r="3352" spans="12:16" ht="15.75" customHeight="1" x14ac:dyDescent="0.3">
      <c r="L3352" s="6" t="s">
        <v>194</v>
      </c>
      <c r="M3352" s="6" t="s">
        <v>432</v>
      </c>
      <c r="N3352" s="6" t="s">
        <v>26</v>
      </c>
      <c r="O3352" s="6" t="s">
        <v>113</v>
      </c>
      <c r="P3352" s="19">
        <v>4</v>
      </c>
    </row>
    <row r="3353" spans="12:16" ht="15.75" customHeight="1" x14ac:dyDescent="0.3">
      <c r="L3353" s="6" t="s">
        <v>194</v>
      </c>
      <c r="M3353" s="6" t="s">
        <v>432</v>
      </c>
      <c r="N3353" s="6" t="s">
        <v>27</v>
      </c>
      <c r="O3353" s="6" t="s">
        <v>117</v>
      </c>
      <c r="P3353" s="19">
        <v>8</v>
      </c>
    </row>
    <row r="3354" spans="12:16" ht="15.75" customHeight="1" x14ac:dyDescent="0.3">
      <c r="L3354" s="6" t="s">
        <v>194</v>
      </c>
      <c r="M3354" s="6" t="s">
        <v>432</v>
      </c>
      <c r="N3354" s="6" t="s">
        <v>29</v>
      </c>
      <c r="O3354" s="6" t="s">
        <v>125</v>
      </c>
      <c r="P3354" s="19">
        <v>9</v>
      </c>
    </row>
    <row r="3355" spans="12:16" ht="15.75" customHeight="1" x14ac:dyDescent="0.3">
      <c r="L3355" s="6" t="s">
        <v>194</v>
      </c>
      <c r="M3355" s="6" t="s">
        <v>432</v>
      </c>
      <c r="N3355" s="6" t="s">
        <v>135</v>
      </c>
      <c r="O3355" s="6" t="s">
        <v>136</v>
      </c>
      <c r="P3355" s="19">
        <v>1</v>
      </c>
    </row>
    <row r="3356" spans="12:16" ht="15.75" customHeight="1" x14ac:dyDescent="0.3">
      <c r="L3356" s="6" t="s">
        <v>194</v>
      </c>
      <c r="M3356" s="6" t="s">
        <v>432</v>
      </c>
      <c r="N3356" s="6" t="s">
        <v>138</v>
      </c>
      <c r="O3356" s="6" t="s">
        <v>139</v>
      </c>
      <c r="P3356" s="19">
        <v>0</v>
      </c>
    </row>
    <row r="3357" spans="12:16" ht="15.75" customHeight="1" x14ac:dyDescent="0.3">
      <c r="L3357" s="6" t="s">
        <v>194</v>
      </c>
      <c r="M3357" s="6" t="s">
        <v>432</v>
      </c>
      <c r="N3357" s="6" t="s">
        <v>30</v>
      </c>
      <c r="O3357" s="6" t="s">
        <v>148</v>
      </c>
      <c r="P3357" s="17">
        <v>72.860699999999994</v>
      </c>
    </row>
    <row r="3358" spans="12:16" ht="15.75" customHeight="1" x14ac:dyDescent="0.3">
      <c r="L3358" s="6" t="s">
        <v>194</v>
      </c>
      <c r="M3358" s="6" t="s">
        <v>432</v>
      </c>
      <c r="N3358" s="6" t="s">
        <v>156</v>
      </c>
      <c r="O3358" s="6" t="s">
        <v>157</v>
      </c>
      <c r="P3358" s="19">
        <v>0</v>
      </c>
    </row>
    <row r="3359" spans="12:16" ht="15.75" customHeight="1" x14ac:dyDescent="0.3">
      <c r="L3359" s="6" t="s">
        <v>194</v>
      </c>
      <c r="M3359" s="6" t="s">
        <v>432</v>
      </c>
      <c r="N3359" s="6" t="s">
        <v>158</v>
      </c>
      <c r="O3359" s="6" t="s">
        <v>159</v>
      </c>
      <c r="P3359" s="19">
        <v>1</v>
      </c>
    </row>
    <row r="3360" spans="12:16" ht="15.75" customHeight="1" x14ac:dyDescent="0.3">
      <c r="L3360" s="6" t="s">
        <v>194</v>
      </c>
      <c r="M3360" s="6" t="s">
        <v>432</v>
      </c>
      <c r="N3360" s="6" t="s">
        <v>160</v>
      </c>
      <c r="O3360" s="6" t="s">
        <v>161</v>
      </c>
      <c r="P3360" s="19">
        <v>1</v>
      </c>
    </row>
    <row r="3361" spans="12:16" ht="15.75" customHeight="1" x14ac:dyDescent="0.3">
      <c r="L3361" s="6" t="s">
        <v>194</v>
      </c>
      <c r="M3361" s="6" t="s">
        <v>432</v>
      </c>
      <c r="N3361" s="6" t="s">
        <v>162</v>
      </c>
      <c r="O3361" s="6" t="s">
        <v>163</v>
      </c>
      <c r="P3361" s="19">
        <v>0</v>
      </c>
    </row>
    <row r="3362" spans="12:16" ht="15.75" customHeight="1" x14ac:dyDescent="0.3">
      <c r="L3362" s="6" t="s">
        <v>194</v>
      </c>
      <c r="M3362" s="6" t="s">
        <v>432</v>
      </c>
      <c r="N3362" s="6" t="s">
        <v>165</v>
      </c>
      <c r="O3362" s="6" t="s">
        <v>166</v>
      </c>
      <c r="P3362" s="19">
        <v>0</v>
      </c>
    </row>
    <row r="3363" spans="12:16" ht="15.75" customHeight="1" x14ac:dyDescent="0.3">
      <c r="L3363" s="6" t="s">
        <v>194</v>
      </c>
      <c r="M3363" s="6" t="s">
        <v>434</v>
      </c>
      <c r="N3363" s="6" t="s">
        <v>72</v>
      </c>
      <c r="O3363" s="6" t="s">
        <v>75</v>
      </c>
      <c r="P3363" s="19">
        <v>0</v>
      </c>
    </row>
    <row r="3364" spans="12:16" ht="15.75" customHeight="1" x14ac:dyDescent="0.3">
      <c r="L3364" s="6" t="s">
        <v>194</v>
      </c>
      <c r="M3364" s="6" t="s">
        <v>434</v>
      </c>
      <c r="N3364" s="6" t="s">
        <v>83</v>
      </c>
      <c r="O3364" s="6" t="s">
        <v>84</v>
      </c>
      <c r="P3364" s="19">
        <v>0</v>
      </c>
    </row>
    <row r="3365" spans="12:16" ht="15.75" customHeight="1" x14ac:dyDescent="0.3">
      <c r="L3365" s="6" t="s">
        <v>194</v>
      </c>
      <c r="M3365" s="6" t="s">
        <v>434</v>
      </c>
      <c r="N3365" s="6" t="s">
        <v>88</v>
      </c>
      <c r="O3365" s="6" t="s">
        <v>90</v>
      </c>
      <c r="P3365" s="19">
        <v>0</v>
      </c>
    </row>
    <row r="3366" spans="12:16" ht="15.75" customHeight="1" x14ac:dyDescent="0.3">
      <c r="L3366" s="6" t="s">
        <v>194</v>
      </c>
      <c r="M3366" s="6" t="s">
        <v>434</v>
      </c>
      <c r="N3366" s="6" t="s">
        <v>96</v>
      </c>
      <c r="O3366" s="6" t="s">
        <v>97</v>
      </c>
      <c r="P3366" s="19">
        <v>0</v>
      </c>
    </row>
    <row r="3367" spans="12:16" ht="15.75" customHeight="1" x14ac:dyDescent="0.3">
      <c r="L3367" s="6" t="s">
        <v>194</v>
      </c>
      <c r="M3367" s="6" t="s">
        <v>434</v>
      </c>
      <c r="N3367" s="6" t="s">
        <v>100</v>
      </c>
      <c r="O3367" s="6" t="s">
        <v>101</v>
      </c>
      <c r="P3367" s="19">
        <v>0</v>
      </c>
    </row>
    <row r="3368" spans="12:16" ht="15.75" customHeight="1" x14ac:dyDescent="0.3">
      <c r="L3368" s="6" t="s">
        <v>194</v>
      </c>
      <c r="M3368" s="6" t="s">
        <v>434</v>
      </c>
      <c r="N3368" s="6" t="s">
        <v>22</v>
      </c>
      <c r="O3368" s="6" t="s">
        <v>104</v>
      </c>
      <c r="P3368" s="17">
        <v>1.5</v>
      </c>
    </row>
    <row r="3369" spans="12:16" ht="15.75" customHeight="1" x14ac:dyDescent="0.3">
      <c r="L3369" s="6" t="s">
        <v>194</v>
      </c>
      <c r="M3369" s="6" t="s">
        <v>434</v>
      </c>
      <c r="N3369" s="6" t="s">
        <v>23</v>
      </c>
      <c r="O3369" s="6" t="s">
        <v>107</v>
      </c>
      <c r="P3369" s="19">
        <v>12</v>
      </c>
    </row>
    <row r="3370" spans="12:16" ht="15.75" customHeight="1" x14ac:dyDescent="0.3">
      <c r="L3370" s="6" t="s">
        <v>194</v>
      </c>
      <c r="M3370" s="6" t="s">
        <v>434</v>
      </c>
      <c r="N3370" s="6" t="s">
        <v>24</v>
      </c>
      <c r="O3370" s="6" t="s">
        <v>109</v>
      </c>
      <c r="P3370" s="17">
        <v>1.6999999999999999E-3</v>
      </c>
    </row>
    <row r="3371" spans="12:16" ht="15.75" customHeight="1" x14ac:dyDescent="0.3">
      <c r="L3371" s="6" t="s">
        <v>194</v>
      </c>
      <c r="M3371" s="6" t="s">
        <v>434</v>
      </c>
      <c r="N3371" s="6" t="s">
        <v>25</v>
      </c>
      <c r="O3371" s="6" t="s">
        <v>111</v>
      </c>
      <c r="P3371" s="19">
        <v>4</v>
      </c>
    </row>
    <row r="3372" spans="12:16" ht="15.75" customHeight="1" x14ac:dyDescent="0.3">
      <c r="L3372" s="6" t="s">
        <v>194</v>
      </c>
      <c r="M3372" s="6" t="s">
        <v>434</v>
      </c>
      <c r="N3372" s="6" t="s">
        <v>26</v>
      </c>
      <c r="O3372" s="6" t="s">
        <v>113</v>
      </c>
      <c r="P3372" s="19">
        <v>4</v>
      </c>
    </row>
    <row r="3373" spans="12:16" ht="15.75" customHeight="1" x14ac:dyDescent="0.3">
      <c r="L3373" s="6" t="s">
        <v>194</v>
      </c>
      <c r="M3373" s="6" t="s">
        <v>434</v>
      </c>
      <c r="N3373" s="6" t="s">
        <v>27</v>
      </c>
      <c r="O3373" s="6" t="s">
        <v>117</v>
      </c>
      <c r="P3373" s="19">
        <v>8</v>
      </c>
    </row>
    <row r="3374" spans="12:16" ht="15.75" customHeight="1" x14ac:dyDescent="0.3">
      <c r="L3374" s="6" t="s">
        <v>194</v>
      </c>
      <c r="M3374" s="6" t="s">
        <v>434</v>
      </c>
      <c r="N3374" s="6" t="s">
        <v>29</v>
      </c>
      <c r="O3374" s="6" t="s">
        <v>125</v>
      </c>
      <c r="P3374" s="19">
        <v>9</v>
      </c>
    </row>
    <row r="3375" spans="12:16" ht="15.75" customHeight="1" x14ac:dyDescent="0.3">
      <c r="L3375" s="6" t="s">
        <v>194</v>
      </c>
      <c r="M3375" s="6" t="s">
        <v>434</v>
      </c>
      <c r="N3375" s="6" t="s">
        <v>135</v>
      </c>
      <c r="O3375" s="6" t="s">
        <v>136</v>
      </c>
      <c r="P3375" s="19">
        <v>1</v>
      </c>
    </row>
    <row r="3376" spans="12:16" ht="15.75" customHeight="1" x14ac:dyDescent="0.3">
      <c r="L3376" s="6" t="s">
        <v>194</v>
      </c>
      <c r="M3376" s="6" t="s">
        <v>434</v>
      </c>
      <c r="N3376" s="6" t="s">
        <v>138</v>
      </c>
      <c r="O3376" s="6" t="s">
        <v>139</v>
      </c>
      <c r="P3376" s="19">
        <v>0</v>
      </c>
    </row>
    <row r="3377" spans="12:16" ht="15.75" customHeight="1" x14ac:dyDescent="0.3">
      <c r="L3377" s="6" t="s">
        <v>194</v>
      </c>
      <c r="M3377" s="6" t="s">
        <v>434</v>
      </c>
      <c r="N3377" s="6" t="s">
        <v>30</v>
      </c>
      <c r="O3377" s="6" t="s">
        <v>148</v>
      </c>
      <c r="P3377" s="17">
        <v>72.860699999999994</v>
      </c>
    </row>
    <row r="3378" spans="12:16" ht="15.75" customHeight="1" x14ac:dyDescent="0.3">
      <c r="L3378" s="6" t="s">
        <v>194</v>
      </c>
      <c r="M3378" s="6" t="s">
        <v>434</v>
      </c>
      <c r="N3378" s="6" t="s">
        <v>156</v>
      </c>
      <c r="O3378" s="6" t="s">
        <v>157</v>
      </c>
      <c r="P3378" s="19">
        <v>0</v>
      </c>
    </row>
    <row r="3379" spans="12:16" ht="15.75" customHeight="1" x14ac:dyDescent="0.3">
      <c r="L3379" s="6" t="s">
        <v>194</v>
      </c>
      <c r="M3379" s="6" t="s">
        <v>434</v>
      </c>
      <c r="N3379" s="6" t="s">
        <v>158</v>
      </c>
      <c r="O3379" s="6" t="s">
        <v>159</v>
      </c>
      <c r="P3379" s="19">
        <v>1</v>
      </c>
    </row>
    <row r="3380" spans="12:16" ht="15.75" customHeight="1" x14ac:dyDescent="0.3">
      <c r="L3380" s="6" t="s">
        <v>194</v>
      </c>
      <c r="M3380" s="6" t="s">
        <v>434</v>
      </c>
      <c r="N3380" s="6" t="s">
        <v>160</v>
      </c>
      <c r="O3380" s="6" t="s">
        <v>161</v>
      </c>
      <c r="P3380" s="19">
        <v>1</v>
      </c>
    </row>
    <row r="3381" spans="12:16" ht="15.75" customHeight="1" x14ac:dyDescent="0.3">
      <c r="L3381" s="6" t="s">
        <v>194</v>
      </c>
      <c r="M3381" s="6" t="s">
        <v>434</v>
      </c>
      <c r="N3381" s="6" t="s">
        <v>162</v>
      </c>
      <c r="O3381" s="6" t="s">
        <v>163</v>
      </c>
      <c r="P3381" s="19">
        <v>0</v>
      </c>
    </row>
    <row r="3382" spans="12:16" ht="15.75" customHeight="1" x14ac:dyDescent="0.3">
      <c r="L3382" s="6" t="s">
        <v>194</v>
      </c>
      <c r="M3382" s="6" t="s">
        <v>434</v>
      </c>
      <c r="N3382" s="6" t="s">
        <v>165</v>
      </c>
      <c r="O3382" s="6" t="s">
        <v>166</v>
      </c>
      <c r="P3382" s="19">
        <v>0</v>
      </c>
    </row>
    <row r="3383" spans="12:16" ht="15.75" customHeight="1" x14ac:dyDescent="0.3">
      <c r="L3383" s="6" t="s">
        <v>194</v>
      </c>
      <c r="M3383" s="6" t="s">
        <v>436</v>
      </c>
      <c r="N3383" s="6" t="s">
        <v>72</v>
      </c>
      <c r="O3383" s="6" t="s">
        <v>75</v>
      </c>
      <c r="P3383" s="19">
        <v>0</v>
      </c>
    </row>
    <row r="3384" spans="12:16" ht="15.75" customHeight="1" x14ac:dyDescent="0.3">
      <c r="L3384" s="6" t="s">
        <v>194</v>
      </c>
      <c r="M3384" s="6" t="s">
        <v>436</v>
      </c>
      <c r="N3384" s="6" t="s">
        <v>83</v>
      </c>
      <c r="O3384" s="6" t="s">
        <v>84</v>
      </c>
      <c r="P3384" s="19">
        <v>0</v>
      </c>
    </row>
    <row r="3385" spans="12:16" ht="15.75" customHeight="1" x14ac:dyDescent="0.3">
      <c r="L3385" s="6" t="s">
        <v>194</v>
      </c>
      <c r="M3385" s="6" t="s">
        <v>436</v>
      </c>
      <c r="N3385" s="6" t="s">
        <v>88</v>
      </c>
      <c r="O3385" s="6" t="s">
        <v>90</v>
      </c>
      <c r="P3385" s="19">
        <v>1</v>
      </c>
    </row>
    <row r="3386" spans="12:16" ht="15.75" customHeight="1" x14ac:dyDescent="0.3">
      <c r="L3386" s="6" t="s">
        <v>194</v>
      </c>
      <c r="M3386" s="6" t="s">
        <v>436</v>
      </c>
      <c r="N3386" s="6" t="s">
        <v>96</v>
      </c>
      <c r="O3386" s="6" t="s">
        <v>97</v>
      </c>
      <c r="P3386" s="19">
        <v>1</v>
      </c>
    </row>
    <row r="3387" spans="12:16" ht="15.75" customHeight="1" x14ac:dyDescent="0.3">
      <c r="L3387" s="6" t="s">
        <v>194</v>
      </c>
      <c r="M3387" s="6" t="s">
        <v>436</v>
      </c>
      <c r="N3387" s="6" t="s">
        <v>100</v>
      </c>
      <c r="O3387" s="6" t="s">
        <v>101</v>
      </c>
      <c r="P3387" s="19">
        <v>0</v>
      </c>
    </row>
    <row r="3388" spans="12:16" ht="15.75" customHeight="1" x14ac:dyDescent="0.3">
      <c r="L3388" s="6" t="s">
        <v>194</v>
      </c>
      <c r="M3388" s="6" t="s">
        <v>436</v>
      </c>
      <c r="N3388" s="6" t="s">
        <v>22</v>
      </c>
      <c r="O3388" s="6" t="s">
        <v>104</v>
      </c>
      <c r="P3388" s="19">
        <v>2</v>
      </c>
    </row>
    <row r="3389" spans="12:16" ht="15.75" customHeight="1" x14ac:dyDescent="0.3">
      <c r="L3389" s="6" t="s">
        <v>194</v>
      </c>
      <c r="M3389" s="6" t="s">
        <v>436</v>
      </c>
      <c r="N3389" s="6" t="s">
        <v>23</v>
      </c>
      <c r="O3389" s="6" t="s">
        <v>107</v>
      </c>
      <c r="P3389" s="19">
        <v>48</v>
      </c>
    </row>
    <row r="3390" spans="12:16" ht="15.75" customHeight="1" x14ac:dyDescent="0.3">
      <c r="L3390" s="6" t="s">
        <v>194</v>
      </c>
      <c r="M3390" s="6" t="s">
        <v>436</v>
      </c>
      <c r="N3390" s="6" t="s">
        <v>24</v>
      </c>
      <c r="O3390" s="6" t="s">
        <v>109</v>
      </c>
      <c r="P3390" s="17">
        <v>4.4000000000000003E-3</v>
      </c>
    </row>
    <row r="3391" spans="12:16" ht="15.75" customHeight="1" x14ac:dyDescent="0.3">
      <c r="L3391" s="6" t="s">
        <v>194</v>
      </c>
      <c r="M3391" s="6" t="s">
        <v>436</v>
      </c>
      <c r="N3391" s="6" t="s">
        <v>25</v>
      </c>
      <c r="O3391" s="6" t="s">
        <v>111</v>
      </c>
      <c r="P3391" s="19">
        <v>8</v>
      </c>
    </row>
    <row r="3392" spans="12:16" ht="15.75" customHeight="1" x14ac:dyDescent="0.3">
      <c r="L3392" s="6" t="s">
        <v>194</v>
      </c>
      <c r="M3392" s="6" t="s">
        <v>436</v>
      </c>
      <c r="N3392" s="6" t="s">
        <v>26</v>
      </c>
      <c r="O3392" s="6" t="s">
        <v>113</v>
      </c>
      <c r="P3392" s="19">
        <v>8</v>
      </c>
    </row>
    <row r="3393" spans="12:16" ht="15.75" customHeight="1" x14ac:dyDescent="0.3">
      <c r="L3393" s="6" t="s">
        <v>194</v>
      </c>
      <c r="M3393" s="6" t="s">
        <v>436</v>
      </c>
      <c r="N3393" s="6" t="s">
        <v>27</v>
      </c>
      <c r="O3393" s="6" t="s">
        <v>117</v>
      </c>
      <c r="P3393" s="19">
        <v>24</v>
      </c>
    </row>
    <row r="3394" spans="12:16" ht="15.75" customHeight="1" x14ac:dyDescent="0.3">
      <c r="L3394" s="6" t="s">
        <v>194</v>
      </c>
      <c r="M3394" s="6" t="s">
        <v>436</v>
      </c>
      <c r="N3394" s="6" t="s">
        <v>29</v>
      </c>
      <c r="O3394" s="6" t="s">
        <v>125</v>
      </c>
      <c r="P3394" s="19">
        <v>9</v>
      </c>
    </row>
    <row r="3395" spans="12:16" ht="15.75" customHeight="1" x14ac:dyDescent="0.3">
      <c r="L3395" s="6" t="s">
        <v>194</v>
      </c>
      <c r="M3395" s="6" t="s">
        <v>436</v>
      </c>
      <c r="N3395" s="6" t="s">
        <v>135</v>
      </c>
      <c r="O3395" s="6" t="s">
        <v>136</v>
      </c>
      <c r="P3395" s="19">
        <v>1</v>
      </c>
    </row>
    <row r="3396" spans="12:16" ht="15.75" customHeight="1" x14ac:dyDescent="0.3">
      <c r="L3396" s="6" t="s">
        <v>194</v>
      </c>
      <c r="M3396" s="6" t="s">
        <v>436</v>
      </c>
      <c r="N3396" s="6" t="s">
        <v>138</v>
      </c>
      <c r="O3396" s="6" t="s">
        <v>139</v>
      </c>
      <c r="P3396" s="19">
        <v>0</v>
      </c>
    </row>
    <row r="3397" spans="12:16" ht="15.75" customHeight="1" x14ac:dyDescent="0.3">
      <c r="L3397" s="6" t="s">
        <v>194</v>
      </c>
      <c r="M3397" s="6" t="s">
        <v>436</v>
      </c>
      <c r="N3397" s="6" t="s">
        <v>30</v>
      </c>
      <c r="O3397" s="6" t="s">
        <v>148</v>
      </c>
      <c r="P3397" s="17">
        <v>69.519900000000007</v>
      </c>
    </row>
    <row r="3398" spans="12:16" ht="15.75" customHeight="1" x14ac:dyDescent="0.3">
      <c r="L3398" s="6" t="s">
        <v>194</v>
      </c>
      <c r="M3398" s="6" t="s">
        <v>436</v>
      </c>
      <c r="N3398" s="6" t="s">
        <v>156</v>
      </c>
      <c r="O3398" s="6" t="s">
        <v>157</v>
      </c>
      <c r="P3398" s="19">
        <v>0</v>
      </c>
    </row>
    <row r="3399" spans="12:16" ht="15.75" customHeight="1" x14ac:dyDescent="0.3">
      <c r="L3399" s="6" t="s">
        <v>194</v>
      </c>
      <c r="M3399" s="6" t="s">
        <v>436</v>
      </c>
      <c r="N3399" s="6" t="s">
        <v>158</v>
      </c>
      <c r="O3399" s="6" t="s">
        <v>159</v>
      </c>
      <c r="P3399" s="19">
        <v>1</v>
      </c>
    </row>
    <row r="3400" spans="12:16" ht="15.75" customHeight="1" x14ac:dyDescent="0.3">
      <c r="L3400" s="6" t="s">
        <v>194</v>
      </c>
      <c r="M3400" s="6" t="s">
        <v>436</v>
      </c>
      <c r="N3400" s="6" t="s">
        <v>160</v>
      </c>
      <c r="O3400" s="6" t="s">
        <v>161</v>
      </c>
      <c r="P3400" s="19">
        <v>4</v>
      </c>
    </row>
    <row r="3401" spans="12:16" ht="15.75" customHeight="1" x14ac:dyDescent="0.3">
      <c r="L3401" s="6" t="s">
        <v>194</v>
      </c>
      <c r="M3401" s="6" t="s">
        <v>436</v>
      </c>
      <c r="N3401" s="6" t="s">
        <v>162</v>
      </c>
      <c r="O3401" s="6" t="s">
        <v>163</v>
      </c>
      <c r="P3401" s="19">
        <v>0</v>
      </c>
    </row>
    <row r="3402" spans="12:16" ht="15.75" customHeight="1" x14ac:dyDescent="0.3">
      <c r="L3402" s="6" t="s">
        <v>194</v>
      </c>
      <c r="M3402" s="6" t="s">
        <v>436</v>
      </c>
      <c r="N3402" s="6" t="s">
        <v>165</v>
      </c>
      <c r="O3402" s="6" t="s">
        <v>166</v>
      </c>
      <c r="P3402" s="19">
        <v>0</v>
      </c>
    </row>
    <row r="3403" spans="12:16" ht="15.75" customHeight="1" x14ac:dyDescent="0.3">
      <c r="L3403" s="6" t="s">
        <v>194</v>
      </c>
      <c r="M3403" s="6" t="s">
        <v>384</v>
      </c>
      <c r="N3403" s="6" t="s">
        <v>72</v>
      </c>
      <c r="O3403" s="6" t="s">
        <v>75</v>
      </c>
      <c r="P3403" s="19">
        <v>1</v>
      </c>
    </row>
    <row r="3404" spans="12:16" ht="15.75" customHeight="1" x14ac:dyDescent="0.3">
      <c r="L3404" s="6" t="s">
        <v>194</v>
      </c>
      <c r="M3404" s="6" t="s">
        <v>384</v>
      </c>
      <c r="N3404" s="6" t="s">
        <v>83</v>
      </c>
      <c r="O3404" s="6" t="s">
        <v>84</v>
      </c>
      <c r="P3404" s="19">
        <v>0</v>
      </c>
    </row>
    <row r="3405" spans="12:16" ht="15.75" customHeight="1" x14ac:dyDescent="0.3">
      <c r="L3405" s="6" t="s">
        <v>194</v>
      </c>
      <c r="M3405" s="6" t="s">
        <v>384</v>
      </c>
      <c r="N3405" s="6" t="s">
        <v>88</v>
      </c>
      <c r="O3405" s="6" t="s">
        <v>90</v>
      </c>
      <c r="P3405" s="17">
        <v>0.66669999999999996</v>
      </c>
    </row>
    <row r="3406" spans="12:16" ht="15.75" customHeight="1" x14ac:dyDescent="0.3">
      <c r="L3406" s="6" t="s">
        <v>194</v>
      </c>
      <c r="M3406" s="6" t="s">
        <v>384</v>
      </c>
      <c r="N3406" s="6" t="s">
        <v>96</v>
      </c>
      <c r="O3406" s="6" t="s">
        <v>97</v>
      </c>
      <c r="P3406" s="19">
        <v>3</v>
      </c>
    </row>
    <row r="3407" spans="12:16" ht="15.75" customHeight="1" x14ac:dyDescent="0.3">
      <c r="L3407" s="6" t="s">
        <v>194</v>
      </c>
      <c r="M3407" s="6" t="s">
        <v>384</v>
      </c>
      <c r="N3407" s="6" t="s">
        <v>100</v>
      </c>
      <c r="O3407" s="6" t="s">
        <v>101</v>
      </c>
      <c r="P3407" s="19">
        <v>0</v>
      </c>
    </row>
    <row r="3408" spans="12:16" ht="15.75" customHeight="1" x14ac:dyDescent="0.3">
      <c r="L3408" s="6" t="s">
        <v>194</v>
      </c>
      <c r="M3408" s="6" t="s">
        <v>384</v>
      </c>
      <c r="N3408" s="6" t="s">
        <v>22</v>
      </c>
      <c r="O3408" s="6" t="s">
        <v>104</v>
      </c>
      <c r="P3408" s="17">
        <v>7.5</v>
      </c>
    </row>
    <row r="3409" spans="12:16" ht="15.75" customHeight="1" x14ac:dyDescent="0.3">
      <c r="L3409" s="6" t="s">
        <v>194</v>
      </c>
      <c r="M3409" s="6" t="s">
        <v>384</v>
      </c>
      <c r="N3409" s="6" t="s">
        <v>23</v>
      </c>
      <c r="O3409" s="6" t="s">
        <v>107</v>
      </c>
      <c r="P3409" s="17">
        <v>571.10320000000002</v>
      </c>
    </row>
    <row r="3410" spans="12:16" ht="15.75" customHeight="1" x14ac:dyDescent="0.3">
      <c r="L3410" s="6" t="s">
        <v>194</v>
      </c>
      <c r="M3410" s="6" t="s">
        <v>384</v>
      </c>
      <c r="N3410" s="6" t="s">
        <v>24</v>
      </c>
      <c r="O3410" s="6" t="s">
        <v>109</v>
      </c>
      <c r="P3410" s="17">
        <v>2.29E-2</v>
      </c>
    </row>
    <row r="3411" spans="12:16" ht="15.75" customHeight="1" x14ac:dyDescent="0.3">
      <c r="L3411" s="6" t="s">
        <v>194</v>
      </c>
      <c r="M3411" s="6" t="s">
        <v>384</v>
      </c>
      <c r="N3411" s="6" t="s">
        <v>25</v>
      </c>
      <c r="O3411" s="6" t="s">
        <v>111</v>
      </c>
      <c r="P3411" s="19">
        <v>20</v>
      </c>
    </row>
    <row r="3412" spans="12:16" ht="15.75" customHeight="1" x14ac:dyDescent="0.3">
      <c r="L3412" s="6" t="s">
        <v>194</v>
      </c>
      <c r="M3412" s="6" t="s">
        <v>384</v>
      </c>
      <c r="N3412" s="6" t="s">
        <v>26</v>
      </c>
      <c r="O3412" s="6" t="s">
        <v>113</v>
      </c>
      <c r="P3412" s="19">
        <v>14</v>
      </c>
    </row>
    <row r="3413" spans="12:16" ht="15.75" customHeight="1" x14ac:dyDescent="0.3">
      <c r="L3413" s="6" t="s">
        <v>194</v>
      </c>
      <c r="M3413" s="6" t="s">
        <v>384</v>
      </c>
      <c r="N3413" s="6" t="s">
        <v>27</v>
      </c>
      <c r="O3413" s="6" t="s">
        <v>117</v>
      </c>
      <c r="P3413" s="17">
        <v>76.147099999999995</v>
      </c>
    </row>
    <row r="3414" spans="12:16" ht="15.75" customHeight="1" x14ac:dyDescent="0.3">
      <c r="L3414" s="6" t="s">
        <v>194</v>
      </c>
      <c r="M3414" s="6" t="s">
        <v>384</v>
      </c>
      <c r="N3414" s="6" t="s">
        <v>29</v>
      </c>
      <c r="O3414" s="6" t="s">
        <v>125</v>
      </c>
      <c r="P3414" s="19">
        <v>11</v>
      </c>
    </row>
    <row r="3415" spans="12:16" ht="15.75" customHeight="1" x14ac:dyDescent="0.3">
      <c r="L3415" s="6" t="s">
        <v>194</v>
      </c>
      <c r="M3415" s="6" t="s">
        <v>384</v>
      </c>
      <c r="N3415" s="6" t="s">
        <v>135</v>
      </c>
      <c r="O3415" s="6" t="s">
        <v>136</v>
      </c>
      <c r="P3415" s="19">
        <v>1</v>
      </c>
    </row>
    <row r="3416" spans="12:16" ht="15.75" customHeight="1" x14ac:dyDescent="0.3">
      <c r="L3416" s="6" t="s">
        <v>194</v>
      </c>
      <c r="M3416" s="6" t="s">
        <v>384</v>
      </c>
      <c r="N3416" s="6" t="s">
        <v>138</v>
      </c>
      <c r="O3416" s="6" t="s">
        <v>139</v>
      </c>
      <c r="P3416" s="19">
        <v>0</v>
      </c>
    </row>
    <row r="3417" spans="12:16" ht="15.75" customHeight="1" x14ac:dyDescent="0.3">
      <c r="L3417" s="6" t="s">
        <v>194</v>
      </c>
      <c r="M3417" s="6" t="s">
        <v>384</v>
      </c>
      <c r="N3417" s="6" t="s">
        <v>30</v>
      </c>
      <c r="O3417" s="6" t="s">
        <v>148</v>
      </c>
      <c r="P3417" s="17">
        <v>64.020399999999995</v>
      </c>
    </row>
    <row r="3418" spans="12:16" ht="15.75" customHeight="1" x14ac:dyDescent="0.3">
      <c r="L3418" s="6" t="s">
        <v>194</v>
      </c>
      <c r="M3418" s="6" t="s">
        <v>384</v>
      </c>
      <c r="N3418" s="6" t="s">
        <v>156</v>
      </c>
      <c r="O3418" s="6" t="s">
        <v>157</v>
      </c>
      <c r="P3418" s="19">
        <v>0</v>
      </c>
    </row>
    <row r="3419" spans="12:16" ht="15.75" customHeight="1" x14ac:dyDescent="0.3">
      <c r="L3419" s="6" t="s">
        <v>194</v>
      </c>
      <c r="M3419" s="6" t="s">
        <v>384</v>
      </c>
      <c r="N3419" s="6" t="s">
        <v>158</v>
      </c>
      <c r="O3419" s="6" t="s">
        <v>159</v>
      </c>
      <c r="P3419" s="19">
        <v>2</v>
      </c>
    </row>
    <row r="3420" spans="12:16" ht="15.75" customHeight="1" x14ac:dyDescent="0.3">
      <c r="L3420" s="6" t="s">
        <v>194</v>
      </c>
      <c r="M3420" s="6" t="s">
        <v>384</v>
      </c>
      <c r="N3420" s="6" t="s">
        <v>160</v>
      </c>
      <c r="O3420" s="6" t="s">
        <v>161</v>
      </c>
      <c r="P3420" s="19">
        <v>3</v>
      </c>
    </row>
    <row r="3421" spans="12:16" ht="15.75" customHeight="1" x14ac:dyDescent="0.3">
      <c r="L3421" s="6" t="s">
        <v>194</v>
      </c>
      <c r="M3421" s="6" t="s">
        <v>384</v>
      </c>
      <c r="N3421" s="6" t="s">
        <v>162</v>
      </c>
      <c r="O3421" s="6" t="s">
        <v>163</v>
      </c>
      <c r="P3421" s="19">
        <v>0</v>
      </c>
    </row>
    <row r="3422" spans="12:16" ht="15.75" customHeight="1" x14ac:dyDescent="0.3">
      <c r="L3422" s="6" t="s">
        <v>194</v>
      </c>
      <c r="M3422" s="6" t="s">
        <v>384</v>
      </c>
      <c r="N3422" s="6" t="s">
        <v>165</v>
      </c>
      <c r="O3422" s="6" t="s">
        <v>166</v>
      </c>
      <c r="P3422" s="19">
        <v>1</v>
      </c>
    </row>
    <row r="3423" spans="12:16" ht="15.75" customHeight="1" x14ac:dyDescent="0.3">
      <c r="L3423" s="6" t="s">
        <v>194</v>
      </c>
      <c r="M3423" s="6" t="s">
        <v>438</v>
      </c>
      <c r="N3423" s="6" t="s">
        <v>72</v>
      </c>
      <c r="O3423" s="6" t="s">
        <v>75</v>
      </c>
      <c r="P3423" s="19">
        <v>0</v>
      </c>
    </row>
    <row r="3424" spans="12:16" ht="15.75" customHeight="1" x14ac:dyDescent="0.3">
      <c r="L3424" s="6" t="s">
        <v>194</v>
      </c>
      <c r="M3424" s="6" t="s">
        <v>438</v>
      </c>
      <c r="N3424" s="6" t="s">
        <v>83</v>
      </c>
      <c r="O3424" s="6" t="s">
        <v>84</v>
      </c>
      <c r="P3424" s="19">
        <v>0</v>
      </c>
    </row>
    <row r="3425" spans="12:16" ht="15.75" customHeight="1" x14ac:dyDescent="0.3">
      <c r="L3425" s="6" t="s">
        <v>194</v>
      </c>
      <c r="M3425" s="6" t="s">
        <v>438</v>
      </c>
      <c r="N3425" s="6" t="s">
        <v>88</v>
      </c>
      <c r="O3425" s="6" t="s">
        <v>90</v>
      </c>
      <c r="P3425" s="19">
        <v>0</v>
      </c>
    </row>
    <row r="3426" spans="12:16" ht="15.75" customHeight="1" x14ac:dyDescent="0.3">
      <c r="L3426" s="6" t="s">
        <v>194</v>
      </c>
      <c r="M3426" s="6" t="s">
        <v>438</v>
      </c>
      <c r="N3426" s="6" t="s">
        <v>96</v>
      </c>
      <c r="O3426" s="6" t="s">
        <v>97</v>
      </c>
      <c r="P3426" s="19">
        <v>0</v>
      </c>
    </row>
    <row r="3427" spans="12:16" ht="15.75" customHeight="1" x14ac:dyDescent="0.3">
      <c r="L3427" s="6" t="s">
        <v>194</v>
      </c>
      <c r="M3427" s="6" t="s">
        <v>438</v>
      </c>
      <c r="N3427" s="6" t="s">
        <v>100</v>
      </c>
      <c r="O3427" s="6" t="s">
        <v>101</v>
      </c>
      <c r="P3427" s="19">
        <v>0</v>
      </c>
    </row>
    <row r="3428" spans="12:16" ht="15.75" customHeight="1" x14ac:dyDescent="0.3">
      <c r="L3428" s="6" t="s">
        <v>194</v>
      </c>
      <c r="M3428" s="6" t="s">
        <v>438</v>
      </c>
      <c r="N3428" s="6" t="s">
        <v>22</v>
      </c>
      <c r="O3428" s="6" t="s">
        <v>104</v>
      </c>
      <c r="P3428" s="17">
        <v>1.5</v>
      </c>
    </row>
    <row r="3429" spans="12:16" ht="15.75" customHeight="1" x14ac:dyDescent="0.3">
      <c r="L3429" s="6" t="s">
        <v>194</v>
      </c>
      <c r="M3429" s="6" t="s">
        <v>438</v>
      </c>
      <c r="N3429" s="6" t="s">
        <v>23</v>
      </c>
      <c r="O3429" s="6" t="s">
        <v>107</v>
      </c>
      <c r="P3429" s="19">
        <v>12</v>
      </c>
    </row>
    <row r="3430" spans="12:16" ht="15.75" customHeight="1" x14ac:dyDescent="0.3">
      <c r="L3430" s="6" t="s">
        <v>194</v>
      </c>
      <c r="M3430" s="6" t="s">
        <v>438</v>
      </c>
      <c r="N3430" s="6" t="s">
        <v>24</v>
      </c>
      <c r="O3430" s="6" t="s">
        <v>109</v>
      </c>
      <c r="P3430" s="17">
        <v>1.6999999999999999E-3</v>
      </c>
    </row>
    <row r="3431" spans="12:16" ht="15.75" customHeight="1" x14ac:dyDescent="0.3">
      <c r="L3431" s="6" t="s">
        <v>194</v>
      </c>
      <c r="M3431" s="6" t="s">
        <v>438</v>
      </c>
      <c r="N3431" s="6" t="s">
        <v>25</v>
      </c>
      <c r="O3431" s="6" t="s">
        <v>111</v>
      </c>
      <c r="P3431" s="19">
        <v>4</v>
      </c>
    </row>
    <row r="3432" spans="12:16" ht="15.75" customHeight="1" x14ac:dyDescent="0.3">
      <c r="L3432" s="6" t="s">
        <v>194</v>
      </c>
      <c r="M3432" s="6" t="s">
        <v>438</v>
      </c>
      <c r="N3432" s="6" t="s">
        <v>26</v>
      </c>
      <c r="O3432" s="6" t="s">
        <v>113</v>
      </c>
      <c r="P3432" s="19">
        <v>4</v>
      </c>
    </row>
    <row r="3433" spans="12:16" ht="15.75" customHeight="1" x14ac:dyDescent="0.3">
      <c r="L3433" s="6" t="s">
        <v>194</v>
      </c>
      <c r="M3433" s="6" t="s">
        <v>438</v>
      </c>
      <c r="N3433" s="6" t="s">
        <v>27</v>
      </c>
      <c r="O3433" s="6" t="s">
        <v>117</v>
      </c>
      <c r="P3433" s="19">
        <v>8</v>
      </c>
    </row>
    <row r="3434" spans="12:16" ht="15.75" customHeight="1" x14ac:dyDescent="0.3">
      <c r="L3434" s="6" t="s">
        <v>194</v>
      </c>
      <c r="M3434" s="6" t="s">
        <v>438</v>
      </c>
      <c r="N3434" s="6" t="s">
        <v>29</v>
      </c>
      <c r="O3434" s="6" t="s">
        <v>125</v>
      </c>
      <c r="P3434" s="19">
        <v>9</v>
      </c>
    </row>
    <row r="3435" spans="12:16" ht="15.75" customHeight="1" x14ac:dyDescent="0.3">
      <c r="L3435" s="6" t="s">
        <v>194</v>
      </c>
      <c r="M3435" s="6" t="s">
        <v>438</v>
      </c>
      <c r="N3435" s="6" t="s">
        <v>135</v>
      </c>
      <c r="O3435" s="6" t="s">
        <v>136</v>
      </c>
      <c r="P3435" s="19">
        <v>1</v>
      </c>
    </row>
    <row r="3436" spans="12:16" ht="15.75" customHeight="1" x14ac:dyDescent="0.3">
      <c r="L3436" s="6" t="s">
        <v>194</v>
      </c>
      <c r="M3436" s="6" t="s">
        <v>438</v>
      </c>
      <c r="N3436" s="6" t="s">
        <v>138</v>
      </c>
      <c r="O3436" s="6" t="s">
        <v>139</v>
      </c>
      <c r="P3436" s="19">
        <v>0</v>
      </c>
    </row>
    <row r="3437" spans="12:16" ht="15.75" customHeight="1" x14ac:dyDescent="0.3">
      <c r="L3437" s="6" t="s">
        <v>194</v>
      </c>
      <c r="M3437" s="6" t="s">
        <v>438</v>
      </c>
      <c r="N3437" s="6" t="s">
        <v>30</v>
      </c>
      <c r="O3437" s="6" t="s">
        <v>148</v>
      </c>
      <c r="P3437" s="17">
        <v>72.860699999999994</v>
      </c>
    </row>
    <row r="3438" spans="12:16" ht="15.75" customHeight="1" x14ac:dyDescent="0.3">
      <c r="L3438" s="6" t="s">
        <v>194</v>
      </c>
      <c r="M3438" s="6" t="s">
        <v>438</v>
      </c>
      <c r="N3438" s="6" t="s">
        <v>156</v>
      </c>
      <c r="O3438" s="6" t="s">
        <v>157</v>
      </c>
      <c r="P3438" s="19">
        <v>0</v>
      </c>
    </row>
    <row r="3439" spans="12:16" ht="15.75" customHeight="1" x14ac:dyDescent="0.3">
      <c r="L3439" s="6" t="s">
        <v>194</v>
      </c>
      <c r="M3439" s="6" t="s">
        <v>438</v>
      </c>
      <c r="N3439" s="6" t="s">
        <v>158</v>
      </c>
      <c r="O3439" s="6" t="s">
        <v>159</v>
      </c>
      <c r="P3439" s="19">
        <v>1</v>
      </c>
    </row>
    <row r="3440" spans="12:16" ht="15.75" customHeight="1" x14ac:dyDescent="0.3">
      <c r="L3440" s="6" t="s">
        <v>194</v>
      </c>
      <c r="M3440" s="6" t="s">
        <v>438</v>
      </c>
      <c r="N3440" s="6" t="s">
        <v>160</v>
      </c>
      <c r="O3440" s="6" t="s">
        <v>161</v>
      </c>
      <c r="P3440" s="19">
        <v>1</v>
      </c>
    </row>
    <row r="3441" spans="12:16" ht="15.75" customHeight="1" x14ac:dyDescent="0.3">
      <c r="L3441" s="6" t="s">
        <v>194</v>
      </c>
      <c r="M3441" s="6" t="s">
        <v>438</v>
      </c>
      <c r="N3441" s="6" t="s">
        <v>162</v>
      </c>
      <c r="O3441" s="6" t="s">
        <v>163</v>
      </c>
      <c r="P3441" s="19">
        <v>0</v>
      </c>
    </row>
    <row r="3442" spans="12:16" ht="15.75" customHeight="1" x14ac:dyDescent="0.3">
      <c r="L3442" s="6" t="s">
        <v>194</v>
      </c>
      <c r="M3442" s="6" t="s">
        <v>438</v>
      </c>
      <c r="N3442" s="6" t="s">
        <v>165</v>
      </c>
      <c r="O3442" s="6" t="s">
        <v>166</v>
      </c>
      <c r="P3442" s="19">
        <v>0</v>
      </c>
    </row>
    <row r="3443" spans="12:16" ht="15.75" customHeight="1" x14ac:dyDescent="0.3">
      <c r="L3443" s="6" t="s">
        <v>194</v>
      </c>
      <c r="M3443" s="6" t="s">
        <v>320</v>
      </c>
      <c r="N3443" s="6" t="s">
        <v>72</v>
      </c>
      <c r="O3443" s="6" t="s">
        <v>75</v>
      </c>
      <c r="P3443" s="19">
        <v>1</v>
      </c>
    </row>
    <row r="3444" spans="12:16" ht="15.75" customHeight="1" x14ac:dyDescent="0.3">
      <c r="L3444" s="6" t="s">
        <v>194</v>
      </c>
      <c r="M3444" s="6" t="s">
        <v>320</v>
      </c>
      <c r="N3444" s="6" t="s">
        <v>83</v>
      </c>
      <c r="O3444" s="6" t="s">
        <v>84</v>
      </c>
      <c r="P3444" s="19">
        <v>0</v>
      </c>
    </row>
    <row r="3445" spans="12:16" ht="15.75" customHeight="1" x14ac:dyDescent="0.3">
      <c r="L3445" s="6" t="s">
        <v>194</v>
      </c>
      <c r="M3445" s="6" t="s">
        <v>320</v>
      </c>
      <c r="N3445" s="6" t="s">
        <v>88</v>
      </c>
      <c r="O3445" s="6" t="s">
        <v>90</v>
      </c>
      <c r="P3445" s="19">
        <v>0</v>
      </c>
    </row>
    <row r="3446" spans="12:16" ht="15.75" customHeight="1" x14ac:dyDescent="0.3">
      <c r="L3446" s="6" t="s">
        <v>194</v>
      </c>
      <c r="M3446" s="6" t="s">
        <v>320</v>
      </c>
      <c r="N3446" s="6" t="s">
        <v>96</v>
      </c>
      <c r="O3446" s="6" t="s">
        <v>97</v>
      </c>
      <c r="P3446" s="19">
        <v>0</v>
      </c>
    </row>
    <row r="3447" spans="12:16" ht="15.75" customHeight="1" x14ac:dyDescent="0.3">
      <c r="L3447" s="6" t="s">
        <v>194</v>
      </c>
      <c r="M3447" s="6" t="s">
        <v>320</v>
      </c>
      <c r="N3447" s="6" t="s">
        <v>100</v>
      </c>
      <c r="O3447" s="6" t="s">
        <v>101</v>
      </c>
      <c r="P3447" s="19">
        <v>1</v>
      </c>
    </row>
    <row r="3448" spans="12:16" ht="15.75" customHeight="1" x14ac:dyDescent="0.3">
      <c r="L3448" s="6" t="s">
        <v>194</v>
      </c>
      <c r="M3448" s="6" t="s">
        <v>320</v>
      </c>
      <c r="N3448" s="6" t="s">
        <v>22</v>
      </c>
      <c r="O3448" s="6" t="s">
        <v>104</v>
      </c>
      <c r="P3448" s="19">
        <v>5</v>
      </c>
    </row>
    <row r="3449" spans="12:16" ht="15.75" customHeight="1" x14ac:dyDescent="0.3">
      <c r="L3449" s="6" t="s">
        <v>194</v>
      </c>
      <c r="M3449" s="6" t="s">
        <v>320</v>
      </c>
      <c r="N3449" s="6" t="s">
        <v>23</v>
      </c>
      <c r="O3449" s="6" t="s">
        <v>107</v>
      </c>
      <c r="P3449" s="17">
        <v>237.74440000000001</v>
      </c>
    </row>
    <row r="3450" spans="12:16" ht="15.75" customHeight="1" x14ac:dyDescent="0.3">
      <c r="L3450" s="6" t="s">
        <v>194</v>
      </c>
      <c r="M3450" s="6" t="s">
        <v>320</v>
      </c>
      <c r="N3450" s="6" t="s">
        <v>24</v>
      </c>
      <c r="O3450" s="6" t="s">
        <v>109</v>
      </c>
      <c r="P3450" s="17">
        <v>1.2800000000000001E-2</v>
      </c>
    </row>
    <row r="3451" spans="12:16" ht="15.75" customHeight="1" x14ac:dyDescent="0.3">
      <c r="L3451" s="6" t="s">
        <v>194</v>
      </c>
      <c r="M3451" s="6" t="s">
        <v>320</v>
      </c>
      <c r="N3451" s="6" t="s">
        <v>25</v>
      </c>
      <c r="O3451" s="6" t="s">
        <v>111</v>
      </c>
      <c r="P3451" s="19">
        <v>15</v>
      </c>
    </row>
    <row r="3452" spans="12:16" ht="15.75" customHeight="1" x14ac:dyDescent="0.3">
      <c r="L3452" s="6" t="s">
        <v>194</v>
      </c>
      <c r="M3452" s="6" t="s">
        <v>320</v>
      </c>
      <c r="N3452" s="6" t="s">
        <v>26</v>
      </c>
      <c r="O3452" s="6" t="s">
        <v>113</v>
      </c>
      <c r="P3452" s="19">
        <v>9</v>
      </c>
    </row>
    <row r="3453" spans="12:16" ht="15.75" customHeight="1" x14ac:dyDescent="0.3">
      <c r="L3453" s="6" t="s">
        <v>194</v>
      </c>
      <c r="M3453" s="6" t="s">
        <v>320</v>
      </c>
      <c r="N3453" s="6" t="s">
        <v>27</v>
      </c>
      <c r="O3453" s="6" t="s">
        <v>117</v>
      </c>
      <c r="P3453" s="17">
        <v>47.548900000000003</v>
      </c>
    </row>
    <row r="3454" spans="12:16" ht="15.75" customHeight="1" x14ac:dyDescent="0.3">
      <c r="L3454" s="6" t="s">
        <v>194</v>
      </c>
      <c r="M3454" s="6" t="s">
        <v>320</v>
      </c>
      <c r="N3454" s="6" t="s">
        <v>29</v>
      </c>
      <c r="O3454" s="6" t="s">
        <v>125</v>
      </c>
      <c r="P3454" s="19">
        <v>10</v>
      </c>
    </row>
    <row r="3455" spans="12:16" ht="15.75" customHeight="1" x14ac:dyDescent="0.3">
      <c r="L3455" s="6" t="s">
        <v>194</v>
      </c>
      <c r="M3455" s="6" t="s">
        <v>320</v>
      </c>
      <c r="N3455" s="6" t="s">
        <v>135</v>
      </c>
      <c r="O3455" s="6" t="s">
        <v>136</v>
      </c>
      <c r="P3455" s="17">
        <v>0.66669999999999996</v>
      </c>
    </row>
    <row r="3456" spans="12:16" ht="15.75" customHeight="1" x14ac:dyDescent="0.3">
      <c r="L3456" s="6" t="s">
        <v>194</v>
      </c>
      <c r="M3456" s="6" t="s">
        <v>320</v>
      </c>
      <c r="N3456" s="6" t="s">
        <v>138</v>
      </c>
      <c r="O3456" s="6" t="s">
        <v>139</v>
      </c>
      <c r="P3456" s="19">
        <v>0</v>
      </c>
    </row>
    <row r="3457" spans="12:16" ht="15.75" customHeight="1" x14ac:dyDescent="0.3">
      <c r="L3457" s="6" t="s">
        <v>194</v>
      </c>
      <c r="M3457" s="6" t="s">
        <v>320</v>
      </c>
      <c r="N3457" s="6" t="s">
        <v>30</v>
      </c>
      <c r="O3457" s="6" t="s">
        <v>148</v>
      </c>
      <c r="P3457" s="17">
        <v>66.291499999999999</v>
      </c>
    </row>
    <row r="3458" spans="12:16" ht="15.75" customHeight="1" x14ac:dyDescent="0.3">
      <c r="L3458" s="6" t="s">
        <v>194</v>
      </c>
      <c r="M3458" s="6" t="s">
        <v>320</v>
      </c>
      <c r="N3458" s="6" t="s">
        <v>156</v>
      </c>
      <c r="O3458" s="6" t="s">
        <v>157</v>
      </c>
      <c r="P3458" s="19">
        <v>0</v>
      </c>
    </row>
    <row r="3459" spans="12:16" ht="15.75" customHeight="1" x14ac:dyDescent="0.3">
      <c r="L3459" s="6" t="s">
        <v>194</v>
      </c>
      <c r="M3459" s="6" t="s">
        <v>320</v>
      </c>
      <c r="N3459" s="6" t="s">
        <v>158</v>
      </c>
      <c r="O3459" s="6" t="s">
        <v>159</v>
      </c>
      <c r="P3459" s="19">
        <v>4</v>
      </c>
    </row>
    <row r="3460" spans="12:16" ht="15.75" customHeight="1" x14ac:dyDescent="0.3">
      <c r="L3460" s="6" t="s">
        <v>194</v>
      </c>
      <c r="M3460" s="6" t="s">
        <v>320</v>
      </c>
      <c r="N3460" s="6" t="s">
        <v>160</v>
      </c>
      <c r="O3460" s="6" t="s">
        <v>161</v>
      </c>
      <c r="P3460" s="19">
        <v>3</v>
      </c>
    </row>
    <row r="3461" spans="12:16" ht="15.75" customHeight="1" x14ac:dyDescent="0.3">
      <c r="L3461" s="6" t="s">
        <v>194</v>
      </c>
      <c r="M3461" s="6" t="s">
        <v>320</v>
      </c>
      <c r="N3461" s="6" t="s">
        <v>162</v>
      </c>
      <c r="O3461" s="6" t="s">
        <v>163</v>
      </c>
      <c r="P3461" s="19">
        <v>0</v>
      </c>
    </row>
    <row r="3462" spans="12:16" ht="15.75" customHeight="1" x14ac:dyDescent="0.3">
      <c r="L3462" s="6" t="s">
        <v>194</v>
      </c>
      <c r="M3462" s="6" t="s">
        <v>320</v>
      </c>
      <c r="N3462" s="6" t="s">
        <v>165</v>
      </c>
      <c r="O3462" s="6" t="s">
        <v>166</v>
      </c>
      <c r="P3462" s="19">
        <v>0</v>
      </c>
    </row>
    <row r="3463" spans="12:16" ht="15.75" customHeight="1" x14ac:dyDescent="0.3">
      <c r="L3463" s="6" t="s">
        <v>194</v>
      </c>
      <c r="M3463" s="6" t="s">
        <v>440</v>
      </c>
      <c r="N3463" s="6" t="s">
        <v>72</v>
      </c>
      <c r="O3463" s="6" t="s">
        <v>75</v>
      </c>
      <c r="P3463" s="19">
        <v>0</v>
      </c>
    </row>
    <row r="3464" spans="12:16" ht="15.75" customHeight="1" x14ac:dyDescent="0.3">
      <c r="L3464" s="6" t="s">
        <v>194</v>
      </c>
      <c r="M3464" s="6" t="s">
        <v>440</v>
      </c>
      <c r="N3464" s="6" t="s">
        <v>83</v>
      </c>
      <c r="O3464" s="6" t="s">
        <v>84</v>
      </c>
      <c r="P3464" s="19">
        <v>0</v>
      </c>
    </row>
    <row r="3465" spans="12:16" ht="15.75" customHeight="1" x14ac:dyDescent="0.3">
      <c r="L3465" s="6" t="s">
        <v>194</v>
      </c>
      <c r="M3465" s="6" t="s">
        <v>440</v>
      </c>
      <c r="N3465" s="6" t="s">
        <v>88</v>
      </c>
      <c r="O3465" s="6" t="s">
        <v>90</v>
      </c>
      <c r="P3465" s="19">
        <v>0</v>
      </c>
    </row>
    <row r="3466" spans="12:16" ht="15.75" customHeight="1" x14ac:dyDescent="0.3">
      <c r="L3466" s="6" t="s">
        <v>194</v>
      </c>
      <c r="M3466" s="6" t="s">
        <v>440</v>
      </c>
      <c r="N3466" s="6" t="s">
        <v>96</v>
      </c>
      <c r="O3466" s="6" t="s">
        <v>97</v>
      </c>
      <c r="P3466" s="19">
        <v>0</v>
      </c>
    </row>
    <row r="3467" spans="12:16" ht="15.75" customHeight="1" x14ac:dyDescent="0.3">
      <c r="L3467" s="6" t="s">
        <v>194</v>
      </c>
      <c r="M3467" s="6" t="s">
        <v>440</v>
      </c>
      <c r="N3467" s="6" t="s">
        <v>100</v>
      </c>
      <c r="O3467" s="6" t="s">
        <v>101</v>
      </c>
      <c r="P3467" s="19">
        <v>0</v>
      </c>
    </row>
    <row r="3468" spans="12:16" ht="15.75" customHeight="1" x14ac:dyDescent="0.3">
      <c r="L3468" s="6" t="s">
        <v>194</v>
      </c>
      <c r="M3468" s="6" t="s">
        <v>440</v>
      </c>
      <c r="N3468" s="6" t="s">
        <v>22</v>
      </c>
      <c r="O3468" s="6" t="s">
        <v>104</v>
      </c>
      <c r="P3468" s="17">
        <v>1.5</v>
      </c>
    </row>
    <row r="3469" spans="12:16" ht="15.75" customHeight="1" x14ac:dyDescent="0.3">
      <c r="L3469" s="6" t="s">
        <v>194</v>
      </c>
      <c r="M3469" s="6" t="s">
        <v>440</v>
      </c>
      <c r="N3469" s="6" t="s">
        <v>23</v>
      </c>
      <c r="O3469" s="6" t="s">
        <v>107</v>
      </c>
      <c r="P3469" s="19">
        <v>12</v>
      </c>
    </row>
    <row r="3470" spans="12:16" ht="15.75" customHeight="1" x14ac:dyDescent="0.3">
      <c r="L3470" s="6" t="s">
        <v>194</v>
      </c>
      <c r="M3470" s="6" t="s">
        <v>440</v>
      </c>
      <c r="N3470" s="6" t="s">
        <v>24</v>
      </c>
      <c r="O3470" s="6" t="s">
        <v>109</v>
      </c>
      <c r="P3470" s="17">
        <v>1.6999999999999999E-3</v>
      </c>
    </row>
    <row r="3471" spans="12:16" ht="15.75" customHeight="1" x14ac:dyDescent="0.3">
      <c r="L3471" s="6" t="s">
        <v>194</v>
      </c>
      <c r="M3471" s="6" t="s">
        <v>440</v>
      </c>
      <c r="N3471" s="6" t="s">
        <v>25</v>
      </c>
      <c r="O3471" s="6" t="s">
        <v>111</v>
      </c>
      <c r="P3471" s="19">
        <v>4</v>
      </c>
    </row>
    <row r="3472" spans="12:16" ht="15.75" customHeight="1" x14ac:dyDescent="0.3">
      <c r="L3472" s="6" t="s">
        <v>194</v>
      </c>
      <c r="M3472" s="6" t="s">
        <v>440</v>
      </c>
      <c r="N3472" s="6" t="s">
        <v>26</v>
      </c>
      <c r="O3472" s="6" t="s">
        <v>113</v>
      </c>
      <c r="P3472" s="19">
        <v>4</v>
      </c>
    </row>
    <row r="3473" spans="12:16" ht="15.75" customHeight="1" x14ac:dyDescent="0.3">
      <c r="L3473" s="6" t="s">
        <v>194</v>
      </c>
      <c r="M3473" s="6" t="s">
        <v>440</v>
      </c>
      <c r="N3473" s="6" t="s">
        <v>27</v>
      </c>
      <c r="O3473" s="6" t="s">
        <v>117</v>
      </c>
      <c r="P3473" s="19">
        <v>8</v>
      </c>
    </row>
    <row r="3474" spans="12:16" ht="15.75" customHeight="1" x14ac:dyDescent="0.3">
      <c r="L3474" s="6" t="s">
        <v>194</v>
      </c>
      <c r="M3474" s="6" t="s">
        <v>440</v>
      </c>
      <c r="N3474" s="6" t="s">
        <v>29</v>
      </c>
      <c r="O3474" s="6" t="s">
        <v>125</v>
      </c>
      <c r="P3474" s="19">
        <v>9</v>
      </c>
    </row>
    <row r="3475" spans="12:16" ht="15.75" customHeight="1" x14ac:dyDescent="0.3">
      <c r="L3475" s="6" t="s">
        <v>194</v>
      </c>
      <c r="M3475" s="6" t="s">
        <v>440</v>
      </c>
      <c r="N3475" s="6" t="s">
        <v>135</v>
      </c>
      <c r="O3475" s="6" t="s">
        <v>136</v>
      </c>
      <c r="P3475" s="19">
        <v>1</v>
      </c>
    </row>
    <row r="3476" spans="12:16" ht="15.75" customHeight="1" x14ac:dyDescent="0.3">
      <c r="L3476" s="6" t="s">
        <v>194</v>
      </c>
      <c r="M3476" s="6" t="s">
        <v>440</v>
      </c>
      <c r="N3476" s="6" t="s">
        <v>138</v>
      </c>
      <c r="O3476" s="6" t="s">
        <v>139</v>
      </c>
      <c r="P3476" s="19">
        <v>0</v>
      </c>
    </row>
    <row r="3477" spans="12:16" ht="15.75" customHeight="1" x14ac:dyDescent="0.3">
      <c r="L3477" s="6" t="s">
        <v>194</v>
      </c>
      <c r="M3477" s="6" t="s">
        <v>440</v>
      </c>
      <c r="N3477" s="6" t="s">
        <v>30</v>
      </c>
      <c r="O3477" s="6" t="s">
        <v>148</v>
      </c>
      <c r="P3477" s="17">
        <v>72.860699999999994</v>
      </c>
    </row>
    <row r="3478" spans="12:16" ht="15.75" customHeight="1" x14ac:dyDescent="0.3">
      <c r="L3478" s="6" t="s">
        <v>194</v>
      </c>
      <c r="M3478" s="6" t="s">
        <v>440</v>
      </c>
      <c r="N3478" s="6" t="s">
        <v>156</v>
      </c>
      <c r="O3478" s="6" t="s">
        <v>157</v>
      </c>
      <c r="P3478" s="19">
        <v>0</v>
      </c>
    </row>
    <row r="3479" spans="12:16" ht="15.75" customHeight="1" x14ac:dyDescent="0.3">
      <c r="L3479" s="6" t="s">
        <v>194</v>
      </c>
      <c r="M3479" s="6" t="s">
        <v>440</v>
      </c>
      <c r="N3479" s="6" t="s">
        <v>158</v>
      </c>
      <c r="O3479" s="6" t="s">
        <v>159</v>
      </c>
      <c r="P3479" s="19">
        <v>1</v>
      </c>
    </row>
    <row r="3480" spans="12:16" ht="15.75" customHeight="1" x14ac:dyDescent="0.3">
      <c r="L3480" s="6" t="s">
        <v>194</v>
      </c>
      <c r="M3480" s="6" t="s">
        <v>440</v>
      </c>
      <c r="N3480" s="6" t="s">
        <v>160</v>
      </c>
      <c r="O3480" s="6" t="s">
        <v>161</v>
      </c>
      <c r="P3480" s="19">
        <v>1</v>
      </c>
    </row>
    <row r="3481" spans="12:16" ht="15.75" customHeight="1" x14ac:dyDescent="0.3">
      <c r="L3481" s="6" t="s">
        <v>194</v>
      </c>
      <c r="M3481" s="6" t="s">
        <v>440</v>
      </c>
      <c r="N3481" s="6" t="s">
        <v>162</v>
      </c>
      <c r="O3481" s="6" t="s">
        <v>163</v>
      </c>
      <c r="P3481" s="19">
        <v>0</v>
      </c>
    </row>
    <row r="3482" spans="12:16" ht="15.75" customHeight="1" x14ac:dyDescent="0.3">
      <c r="L3482" s="6" t="s">
        <v>194</v>
      </c>
      <c r="M3482" s="6" t="s">
        <v>440</v>
      </c>
      <c r="N3482" s="6" t="s">
        <v>165</v>
      </c>
      <c r="O3482" s="6" t="s">
        <v>166</v>
      </c>
      <c r="P3482" s="19">
        <v>0</v>
      </c>
    </row>
    <row r="3483" spans="12:16" ht="15.75" customHeight="1" x14ac:dyDescent="0.3">
      <c r="L3483" s="6" t="s">
        <v>194</v>
      </c>
      <c r="M3483" s="6" t="s">
        <v>466</v>
      </c>
      <c r="N3483" s="6" t="s">
        <v>72</v>
      </c>
      <c r="O3483" s="6" t="s">
        <v>75</v>
      </c>
      <c r="P3483" s="19">
        <v>0</v>
      </c>
    </row>
    <row r="3484" spans="12:16" ht="15.75" customHeight="1" x14ac:dyDescent="0.3">
      <c r="L3484" s="6" t="s">
        <v>194</v>
      </c>
      <c r="M3484" s="6" t="s">
        <v>466</v>
      </c>
      <c r="N3484" s="6" t="s">
        <v>83</v>
      </c>
      <c r="O3484" s="6" t="s">
        <v>84</v>
      </c>
      <c r="P3484" s="19">
        <v>0</v>
      </c>
    </row>
    <row r="3485" spans="12:16" ht="15.75" customHeight="1" x14ac:dyDescent="0.3">
      <c r="L3485" s="6" t="s">
        <v>194</v>
      </c>
      <c r="M3485" s="6" t="s">
        <v>466</v>
      </c>
      <c r="N3485" s="6" t="s">
        <v>88</v>
      </c>
      <c r="O3485" s="6" t="s">
        <v>90</v>
      </c>
      <c r="P3485" s="19">
        <v>0</v>
      </c>
    </row>
    <row r="3486" spans="12:16" ht="15.75" customHeight="1" x14ac:dyDescent="0.3">
      <c r="L3486" s="6" t="s">
        <v>194</v>
      </c>
      <c r="M3486" s="6" t="s">
        <v>466</v>
      </c>
      <c r="N3486" s="6" t="s">
        <v>96</v>
      </c>
      <c r="O3486" s="6" t="s">
        <v>97</v>
      </c>
      <c r="P3486" s="19">
        <v>0</v>
      </c>
    </row>
    <row r="3487" spans="12:16" ht="15.75" customHeight="1" x14ac:dyDescent="0.3">
      <c r="L3487" s="6" t="s">
        <v>194</v>
      </c>
      <c r="M3487" s="6" t="s">
        <v>466</v>
      </c>
      <c r="N3487" s="6" t="s">
        <v>100</v>
      </c>
      <c r="O3487" s="6" t="s">
        <v>101</v>
      </c>
      <c r="P3487" s="19">
        <v>0</v>
      </c>
    </row>
    <row r="3488" spans="12:16" ht="15.75" customHeight="1" x14ac:dyDescent="0.3">
      <c r="L3488" s="6" t="s">
        <v>194</v>
      </c>
      <c r="M3488" s="6" t="s">
        <v>466</v>
      </c>
      <c r="N3488" s="6" t="s">
        <v>22</v>
      </c>
      <c r="O3488" s="6" t="s">
        <v>104</v>
      </c>
      <c r="P3488" s="19">
        <v>1</v>
      </c>
    </row>
    <row r="3489" spans="12:16" ht="15.75" customHeight="1" x14ac:dyDescent="0.3">
      <c r="L3489" s="6" t="s">
        <v>194</v>
      </c>
      <c r="M3489" s="6" t="s">
        <v>466</v>
      </c>
      <c r="N3489" s="6" t="s">
        <v>23</v>
      </c>
      <c r="O3489" s="6" t="s">
        <v>107</v>
      </c>
      <c r="P3489" s="19">
        <v>8</v>
      </c>
    </row>
    <row r="3490" spans="12:16" ht="15.75" customHeight="1" x14ac:dyDescent="0.3">
      <c r="L3490" s="6" t="s">
        <v>194</v>
      </c>
      <c r="M3490" s="6" t="s">
        <v>466</v>
      </c>
      <c r="N3490" s="6" t="s">
        <v>24</v>
      </c>
      <c r="O3490" s="6" t="s">
        <v>109</v>
      </c>
      <c r="P3490" s="17">
        <v>1.2999999999999999E-3</v>
      </c>
    </row>
    <row r="3491" spans="12:16" ht="15.75" customHeight="1" x14ac:dyDescent="0.3">
      <c r="L3491" s="6" t="s">
        <v>194</v>
      </c>
      <c r="M3491" s="6" t="s">
        <v>466</v>
      </c>
      <c r="N3491" s="6" t="s">
        <v>25</v>
      </c>
      <c r="O3491" s="6" t="s">
        <v>111</v>
      </c>
      <c r="P3491" s="19">
        <v>4</v>
      </c>
    </row>
    <row r="3492" spans="12:16" ht="15.75" customHeight="1" x14ac:dyDescent="0.3">
      <c r="L3492" s="6" t="s">
        <v>194</v>
      </c>
      <c r="M3492" s="6" t="s">
        <v>466</v>
      </c>
      <c r="N3492" s="6" t="s">
        <v>26</v>
      </c>
      <c r="O3492" s="6" t="s">
        <v>113</v>
      </c>
      <c r="P3492" s="19">
        <v>4</v>
      </c>
    </row>
    <row r="3493" spans="12:16" ht="15.75" customHeight="1" x14ac:dyDescent="0.3">
      <c r="L3493" s="6" t="s">
        <v>194</v>
      </c>
      <c r="M3493" s="6" t="s">
        <v>466</v>
      </c>
      <c r="N3493" s="6" t="s">
        <v>27</v>
      </c>
      <c r="O3493" s="6" t="s">
        <v>117</v>
      </c>
      <c r="P3493" s="19">
        <v>8</v>
      </c>
    </row>
    <row r="3494" spans="12:16" ht="15.75" customHeight="1" x14ac:dyDescent="0.3">
      <c r="L3494" s="6" t="s">
        <v>194</v>
      </c>
      <c r="M3494" s="6" t="s">
        <v>466</v>
      </c>
      <c r="N3494" s="6" t="s">
        <v>29</v>
      </c>
      <c r="O3494" s="6" t="s">
        <v>125</v>
      </c>
      <c r="P3494" s="19">
        <v>7</v>
      </c>
    </row>
    <row r="3495" spans="12:16" ht="15.75" customHeight="1" x14ac:dyDescent="0.3">
      <c r="L3495" s="6" t="s">
        <v>194</v>
      </c>
      <c r="M3495" s="6" t="s">
        <v>466</v>
      </c>
      <c r="N3495" s="6" t="s">
        <v>135</v>
      </c>
      <c r="O3495" s="6" t="s">
        <v>136</v>
      </c>
      <c r="P3495" s="19">
        <v>1</v>
      </c>
    </row>
    <row r="3496" spans="12:16" ht="15.75" customHeight="1" x14ac:dyDescent="0.3">
      <c r="L3496" s="6" t="s">
        <v>194</v>
      </c>
      <c r="M3496" s="6" t="s">
        <v>466</v>
      </c>
      <c r="N3496" s="6" t="s">
        <v>138</v>
      </c>
      <c r="O3496" s="6" t="s">
        <v>139</v>
      </c>
      <c r="P3496" s="19">
        <v>0</v>
      </c>
    </row>
    <row r="3497" spans="12:16" ht="15.75" customHeight="1" x14ac:dyDescent="0.3">
      <c r="L3497" s="6" t="s">
        <v>194</v>
      </c>
      <c r="M3497" s="6" t="s">
        <v>466</v>
      </c>
      <c r="N3497" s="6" t="s">
        <v>30</v>
      </c>
      <c r="O3497" s="6" t="s">
        <v>148</v>
      </c>
      <c r="P3497" s="17">
        <v>75.241600000000005</v>
      </c>
    </row>
    <row r="3498" spans="12:16" ht="15.75" customHeight="1" x14ac:dyDescent="0.3">
      <c r="L3498" s="6" t="s">
        <v>194</v>
      </c>
      <c r="M3498" s="6" t="s">
        <v>466</v>
      </c>
      <c r="N3498" s="6" t="s">
        <v>156</v>
      </c>
      <c r="O3498" s="6" t="s">
        <v>157</v>
      </c>
      <c r="P3498" s="19">
        <v>0</v>
      </c>
    </row>
    <row r="3499" spans="12:16" ht="15.75" customHeight="1" x14ac:dyDescent="0.3">
      <c r="L3499" s="6" t="s">
        <v>194</v>
      </c>
      <c r="M3499" s="6" t="s">
        <v>466</v>
      </c>
      <c r="N3499" s="6" t="s">
        <v>158</v>
      </c>
      <c r="O3499" s="6" t="s">
        <v>159</v>
      </c>
      <c r="P3499" s="19">
        <v>1</v>
      </c>
    </row>
    <row r="3500" spans="12:16" ht="15.75" customHeight="1" x14ac:dyDescent="0.3">
      <c r="L3500" s="6" t="s">
        <v>194</v>
      </c>
      <c r="M3500" s="6" t="s">
        <v>466</v>
      </c>
      <c r="N3500" s="6" t="s">
        <v>160</v>
      </c>
      <c r="O3500" s="6" t="s">
        <v>161</v>
      </c>
      <c r="P3500" s="19">
        <v>1</v>
      </c>
    </row>
    <row r="3501" spans="12:16" ht="15.75" customHeight="1" x14ac:dyDescent="0.3">
      <c r="L3501" s="6" t="s">
        <v>194</v>
      </c>
      <c r="M3501" s="6" t="s">
        <v>466</v>
      </c>
      <c r="N3501" s="6" t="s">
        <v>162</v>
      </c>
      <c r="O3501" s="6" t="s">
        <v>163</v>
      </c>
      <c r="P3501" s="19">
        <v>0</v>
      </c>
    </row>
    <row r="3502" spans="12:16" ht="15.75" customHeight="1" x14ac:dyDescent="0.3">
      <c r="L3502" s="6" t="s">
        <v>194</v>
      </c>
      <c r="M3502" s="6" t="s">
        <v>466</v>
      </c>
      <c r="N3502" s="6" t="s">
        <v>165</v>
      </c>
      <c r="O3502" s="6" t="s">
        <v>166</v>
      </c>
      <c r="P3502" s="19">
        <v>0</v>
      </c>
    </row>
    <row r="3503" spans="12:16" ht="15.75" customHeight="1" x14ac:dyDescent="0.3">
      <c r="L3503" s="6" t="s">
        <v>194</v>
      </c>
      <c r="M3503" s="6" t="s">
        <v>468</v>
      </c>
      <c r="N3503" s="6" t="s">
        <v>72</v>
      </c>
      <c r="O3503" s="6" t="s">
        <v>75</v>
      </c>
      <c r="P3503" s="19">
        <v>0</v>
      </c>
    </row>
    <row r="3504" spans="12:16" ht="15.75" customHeight="1" x14ac:dyDescent="0.3">
      <c r="L3504" s="6" t="s">
        <v>194</v>
      </c>
      <c r="M3504" s="6" t="s">
        <v>468</v>
      </c>
      <c r="N3504" s="6" t="s">
        <v>83</v>
      </c>
      <c r="O3504" s="6" t="s">
        <v>84</v>
      </c>
      <c r="P3504" s="19">
        <v>0</v>
      </c>
    </row>
    <row r="3505" spans="12:16" ht="15.75" customHeight="1" x14ac:dyDescent="0.3">
      <c r="L3505" s="6" t="s">
        <v>194</v>
      </c>
      <c r="M3505" s="6" t="s">
        <v>468</v>
      </c>
      <c r="N3505" s="6" t="s">
        <v>88</v>
      </c>
      <c r="O3505" s="6" t="s">
        <v>90</v>
      </c>
      <c r="P3505" s="19">
        <v>1</v>
      </c>
    </row>
    <row r="3506" spans="12:16" ht="15.75" customHeight="1" x14ac:dyDescent="0.3">
      <c r="L3506" s="6" t="s">
        <v>194</v>
      </c>
      <c r="M3506" s="6" t="s">
        <v>468</v>
      </c>
      <c r="N3506" s="6" t="s">
        <v>96</v>
      </c>
      <c r="O3506" s="6" t="s">
        <v>97</v>
      </c>
      <c r="P3506" s="19">
        <v>1</v>
      </c>
    </row>
    <row r="3507" spans="12:16" ht="15.75" customHeight="1" x14ac:dyDescent="0.3">
      <c r="L3507" s="6" t="s">
        <v>194</v>
      </c>
      <c r="M3507" s="6" t="s">
        <v>468</v>
      </c>
      <c r="N3507" s="6" t="s">
        <v>100</v>
      </c>
      <c r="O3507" s="6" t="s">
        <v>101</v>
      </c>
      <c r="P3507" s="19">
        <v>1</v>
      </c>
    </row>
    <row r="3508" spans="12:16" ht="15.75" customHeight="1" x14ac:dyDescent="0.3">
      <c r="L3508" s="6" t="s">
        <v>194</v>
      </c>
      <c r="M3508" s="6" t="s">
        <v>468</v>
      </c>
      <c r="N3508" s="6" t="s">
        <v>22</v>
      </c>
      <c r="O3508" s="6" t="s">
        <v>104</v>
      </c>
      <c r="P3508" s="17">
        <v>4.6666999999999996</v>
      </c>
    </row>
    <row r="3509" spans="12:16" ht="15.75" customHeight="1" x14ac:dyDescent="0.3">
      <c r="L3509" s="6" t="s">
        <v>194</v>
      </c>
      <c r="M3509" s="6" t="s">
        <v>468</v>
      </c>
      <c r="N3509" s="6" t="s">
        <v>23</v>
      </c>
      <c r="O3509" s="6" t="s">
        <v>107</v>
      </c>
      <c r="P3509" s="17">
        <v>248.03729999999999</v>
      </c>
    </row>
    <row r="3510" spans="12:16" ht="15.75" customHeight="1" x14ac:dyDescent="0.3">
      <c r="L3510" s="6" t="s">
        <v>194</v>
      </c>
      <c r="M3510" s="6" t="s">
        <v>468</v>
      </c>
      <c r="N3510" s="6" t="s">
        <v>24</v>
      </c>
      <c r="O3510" s="6" t="s">
        <v>109</v>
      </c>
      <c r="P3510" s="17">
        <v>1.32E-2</v>
      </c>
    </row>
    <row r="3511" spans="12:16" ht="15.75" customHeight="1" x14ac:dyDescent="0.3">
      <c r="L3511" s="6" t="s">
        <v>194</v>
      </c>
      <c r="M3511" s="6" t="s">
        <v>468</v>
      </c>
      <c r="N3511" s="6" t="s">
        <v>25</v>
      </c>
      <c r="O3511" s="6" t="s">
        <v>111</v>
      </c>
      <c r="P3511" s="19">
        <v>16</v>
      </c>
    </row>
    <row r="3512" spans="12:16" ht="15.75" customHeight="1" x14ac:dyDescent="0.3">
      <c r="L3512" s="6" t="s">
        <v>194</v>
      </c>
      <c r="M3512" s="6" t="s">
        <v>468</v>
      </c>
      <c r="N3512" s="6" t="s">
        <v>26</v>
      </c>
      <c r="O3512" s="6" t="s">
        <v>113</v>
      </c>
      <c r="P3512" s="19">
        <v>10</v>
      </c>
    </row>
    <row r="3513" spans="12:16" ht="15.75" customHeight="1" x14ac:dyDescent="0.3">
      <c r="L3513" s="6" t="s">
        <v>194</v>
      </c>
      <c r="M3513" s="6" t="s">
        <v>468</v>
      </c>
      <c r="N3513" s="6" t="s">
        <v>27</v>
      </c>
      <c r="O3513" s="6" t="s">
        <v>117</v>
      </c>
      <c r="P3513" s="17">
        <v>53.150799999999997</v>
      </c>
    </row>
    <row r="3514" spans="12:16" ht="15.75" customHeight="1" x14ac:dyDescent="0.3">
      <c r="L3514" s="6" t="s">
        <v>194</v>
      </c>
      <c r="M3514" s="6" t="s">
        <v>468</v>
      </c>
      <c r="N3514" s="6" t="s">
        <v>29</v>
      </c>
      <c r="O3514" s="6" t="s">
        <v>125</v>
      </c>
      <c r="P3514" s="19">
        <v>7</v>
      </c>
    </row>
    <row r="3515" spans="12:16" ht="15.75" customHeight="1" x14ac:dyDescent="0.3">
      <c r="L3515" s="6" t="s">
        <v>194</v>
      </c>
      <c r="M3515" s="6" t="s">
        <v>468</v>
      </c>
      <c r="N3515" s="6" t="s">
        <v>135</v>
      </c>
      <c r="O3515" s="6" t="s">
        <v>136</v>
      </c>
      <c r="P3515" s="19">
        <v>0</v>
      </c>
    </row>
    <row r="3516" spans="12:16" ht="15.75" customHeight="1" x14ac:dyDescent="0.3">
      <c r="L3516" s="6" t="s">
        <v>194</v>
      </c>
      <c r="M3516" s="6" t="s">
        <v>468</v>
      </c>
      <c r="N3516" s="6" t="s">
        <v>138</v>
      </c>
      <c r="O3516" s="6" t="s">
        <v>139</v>
      </c>
      <c r="P3516" s="19">
        <v>0</v>
      </c>
    </row>
    <row r="3517" spans="12:16" ht="15.75" customHeight="1" x14ac:dyDescent="0.3">
      <c r="L3517" s="6" t="s">
        <v>194</v>
      </c>
      <c r="M3517" s="6" t="s">
        <v>468</v>
      </c>
      <c r="N3517" s="6" t="s">
        <v>30</v>
      </c>
      <c r="O3517" s="6" t="s">
        <v>148</v>
      </c>
      <c r="P3517" s="17">
        <v>69.491699999999994</v>
      </c>
    </row>
    <row r="3518" spans="12:16" ht="15.75" customHeight="1" x14ac:dyDescent="0.3">
      <c r="L3518" s="6" t="s">
        <v>194</v>
      </c>
      <c r="M3518" s="6" t="s">
        <v>468</v>
      </c>
      <c r="N3518" s="6" t="s">
        <v>156</v>
      </c>
      <c r="O3518" s="6" t="s">
        <v>157</v>
      </c>
      <c r="P3518" s="19">
        <v>0</v>
      </c>
    </row>
    <row r="3519" spans="12:16" ht="15.75" customHeight="1" x14ac:dyDescent="0.3">
      <c r="L3519" s="6" t="s">
        <v>194</v>
      </c>
      <c r="M3519" s="6" t="s">
        <v>468</v>
      </c>
      <c r="N3519" s="6" t="s">
        <v>158</v>
      </c>
      <c r="O3519" s="6" t="s">
        <v>159</v>
      </c>
      <c r="P3519" s="19">
        <v>1</v>
      </c>
    </row>
    <row r="3520" spans="12:16" ht="15.75" customHeight="1" x14ac:dyDescent="0.3">
      <c r="L3520" s="6" t="s">
        <v>194</v>
      </c>
      <c r="M3520" s="6" t="s">
        <v>468</v>
      </c>
      <c r="N3520" s="6" t="s">
        <v>160</v>
      </c>
      <c r="O3520" s="6" t="s">
        <v>161</v>
      </c>
      <c r="P3520" s="19">
        <v>3</v>
      </c>
    </row>
    <row r="3521" spans="12:16" ht="15.75" customHeight="1" x14ac:dyDescent="0.3">
      <c r="L3521" s="6" t="s">
        <v>194</v>
      </c>
      <c r="M3521" s="6" t="s">
        <v>468</v>
      </c>
      <c r="N3521" s="6" t="s">
        <v>162</v>
      </c>
      <c r="O3521" s="6" t="s">
        <v>163</v>
      </c>
      <c r="P3521" s="19">
        <v>0</v>
      </c>
    </row>
    <row r="3522" spans="12:16" ht="15.75" customHeight="1" x14ac:dyDescent="0.3">
      <c r="L3522" s="6" t="s">
        <v>194</v>
      </c>
      <c r="M3522" s="6" t="s">
        <v>468</v>
      </c>
      <c r="N3522" s="6" t="s">
        <v>165</v>
      </c>
      <c r="O3522" s="6" t="s">
        <v>166</v>
      </c>
      <c r="P3522" s="19">
        <v>0</v>
      </c>
    </row>
    <row r="3523" spans="12:16" ht="15.75" customHeight="1" x14ac:dyDescent="0.3">
      <c r="L3523" s="6" t="s">
        <v>194</v>
      </c>
      <c r="M3523" s="6" t="s">
        <v>470</v>
      </c>
      <c r="N3523" s="6" t="s">
        <v>72</v>
      </c>
      <c r="O3523" s="6" t="s">
        <v>75</v>
      </c>
      <c r="P3523" s="19">
        <v>0</v>
      </c>
    </row>
    <row r="3524" spans="12:16" ht="15.75" customHeight="1" x14ac:dyDescent="0.3">
      <c r="L3524" s="6" t="s">
        <v>194</v>
      </c>
      <c r="M3524" s="6" t="s">
        <v>470</v>
      </c>
      <c r="N3524" s="6" t="s">
        <v>83</v>
      </c>
      <c r="O3524" s="6" t="s">
        <v>84</v>
      </c>
      <c r="P3524" s="19">
        <v>0</v>
      </c>
    </row>
    <row r="3525" spans="12:16" ht="15.75" customHeight="1" x14ac:dyDescent="0.3">
      <c r="L3525" s="6" t="s">
        <v>194</v>
      </c>
      <c r="M3525" s="6" t="s">
        <v>470</v>
      </c>
      <c r="N3525" s="6" t="s">
        <v>88</v>
      </c>
      <c r="O3525" s="6" t="s">
        <v>90</v>
      </c>
      <c r="P3525" s="19">
        <v>0</v>
      </c>
    </row>
    <row r="3526" spans="12:16" ht="15.75" customHeight="1" x14ac:dyDescent="0.3">
      <c r="L3526" s="6" t="s">
        <v>194</v>
      </c>
      <c r="M3526" s="6" t="s">
        <v>470</v>
      </c>
      <c r="N3526" s="6" t="s">
        <v>96</v>
      </c>
      <c r="O3526" s="6" t="s">
        <v>97</v>
      </c>
      <c r="P3526" s="19">
        <v>0</v>
      </c>
    </row>
    <row r="3527" spans="12:16" ht="15.75" customHeight="1" x14ac:dyDescent="0.3">
      <c r="L3527" s="6" t="s">
        <v>194</v>
      </c>
      <c r="M3527" s="6" t="s">
        <v>470</v>
      </c>
      <c r="N3527" s="6" t="s">
        <v>100</v>
      </c>
      <c r="O3527" s="6" t="s">
        <v>101</v>
      </c>
      <c r="P3527" s="19">
        <v>0</v>
      </c>
    </row>
    <row r="3528" spans="12:16" ht="15.75" customHeight="1" x14ac:dyDescent="0.3">
      <c r="L3528" s="6" t="s">
        <v>194</v>
      </c>
      <c r="M3528" s="6" t="s">
        <v>470</v>
      </c>
      <c r="N3528" s="6" t="s">
        <v>22</v>
      </c>
      <c r="O3528" s="6" t="s">
        <v>104</v>
      </c>
      <c r="P3528" s="19">
        <v>1</v>
      </c>
    </row>
    <row r="3529" spans="12:16" ht="15.75" customHeight="1" x14ac:dyDescent="0.3">
      <c r="L3529" s="6" t="s">
        <v>194</v>
      </c>
      <c r="M3529" s="6" t="s">
        <v>470</v>
      </c>
      <c r="N3529" s="6" t="s">
        <v>23</v>
      </c>
      <c r="O3529" s="6" t="s">
        <v>107</v>
      </c>
      <c r="P3529" s="19">
        <v>8</v>
      </c>
    </row>
    <row r="3530" spans="12:16" ht="15.75" customHeight="1" x14ac:dyDescent="0.3">
      <c r="L3530" s="6" t="s">
        <v>194</v>
      </c>
      <c r="M3530" s="6" t="s">
        <v>470</v>
      </c>
      <c r="N3530" s="6" t="s">
        <v>24</v>
      </c>
      <c r="O3530" s="6" t="s">
        <v>109</v>
      </c>
      <c r="P3530" s="17">
        <v>1.2999999999999999E-3</v>
      </c>
    </row>
    <row r="3531" spans="12:16" ht="15.75" customHeight="1" x14ac:dyDescent="0.3">
      <c r="L3531" s="6" t="s">
        <v>194</v>
      </c>
      <c r="M3531" s="6" t="s">
        <v>470</v>
      </c>
      <c r="N3531" s="6" t="s">
        <v>25</v>
      </c>
      <c r="O3531" s="6" t="s">
        <v>111</v>
      </c>
      <c r="P3531" s="19">
        <v>4</v>
      </c>
    </row>
    <row r="3532" spans="12:16" ht="15.75" customHeight="1" x14ac:dyDescent="0.3">
      <c r="L3532" s="6" t="s">
        <v>194</v>
      </c>
      <c r="M3532" s="6" t="s">
        <v>470</v>
      </c>
      <c r="N3532" s="6" t="s">
        <v>26</v>
      </c>
      <c r="O3532" s="6" t="s">
        <v>113</v>
      </c>
      <c r="P3532" s="19">
        <v>4</v>
      </c>
    </row>
    <row r="3533" spans="12:16" ht="15.75" customHeight="1" x14ac:dyDescent="0.3">
      <c r="L3533" s="6" t="s">
        <v>194</v>
      </c>
      <c r="M3533" s="6" t="s">
        <v>470</v>
      </c>
      <c r="N3533" s="6" t="s">
        <v>27</v>
      </c>
      <c r="O3533" s="6" t="s">
        <v>117</v>
      </c>
      <c r="P3533" s="19">
        <v>8</v>
      </c>
    </row>
    <row r="3534" spans="12:16" ht="15.75" customHeight="1" x14ac:dyDescent="0.3">
      <c r="L3534" s="6" t="s">
        <v>194</v>
      </c>
      <c r="M3534" s="6" t="s">
        <v>470</v>
      </c>
      <c r="N3534" s="6" t="s">
        <v>29</v>
      </c>
      <c r="O3534" s="6" t="s">
        <v>125</v>
      </c>
      <c r="P3534" s="19">
        <v>7</v>
      </c>
    </row>
    <row r="3535" spans="12:16" ht="15.75" customHeight="1" x14ac:dyDescent="0.3">
      <c r="L3535" s="6" t="s">
        <v>194</v>
      </c>
      <c r="M3535" s="6" t="s">
        <v>470</v>
      </c>
      <c r="N3535" s="6" t="s">
        <v>135</v>
      </c>
      <c r="O3535" s="6" t="s">
        <v>136</v>
      </c>
      <c r="P3535" s="19">
        <v>1</v>
      </c>
    </row>
    <row r="3536" spans="12:16" ht="15.75" customHeight="1" x14ac:dyDescent="0.3">
      <c r="L3536" s="6" t="s">
        <v>194</v>
      </c>
      <c r="M3536" s="6" t="s">
        <v>470</v>
      </c>
      <c r="N3536" s="6" t="s">
        <v>138</v>
      </c>
      <c r="O3536" s="6" t="s">
        <v>139</v>
      </c>
      <c r="P3536" s="19">
        <v>0</v>
      </c>
    </row>
    <row r="3537" spans="12:16" ht="15.75" customHeight="1" x14ac:dyDescent="0.3">
      <c r="L3537" s="6" t="s">
        <v>194</v>
      </c>
      <c r="M3537" s="6" t="s">
        <v>470</v>
      </c>
      <c r="N3537" s="6" t="s">
        <v>30</v>
      </c>
      <c r="O3537" s="6" t="s">
        <v>148</v>
      </c>
      <c r="P3537" s="17">
        <v>75.241600000000005</v>
      </c>
    </row>
    <row r="3538" spans="12:16" ht="15.75" customHeight="1" x14ac:dyDescent="0.3">
      <c r="L3538" s="6" t="s">
        <v>194</v>
      </c>
      <c r="M3538" s="6" t="s">
        <v>470</v>
      </c>
      <c r="N3538" s="6" t="s">
        <v>156</v>
      </c>
      <c r="O3538" s="6" t="s">
        <v>157</v>
      </c>
      <c r="P3538" s="19">
        <v>0</v>
      </c>
    </row>
    <row r="3539" spans="12:16" ht="15.75" customHeight="1" x14ac:dyDescent="0.3">
      <c r="L3539" s="6" t="s">
        <v>194</v>
      </c>
      <c r="M3539" s="6" t="s">
        <v>470</v>
      </c>
      <c r="N3539" s="6" t="s">
        <v>158</v>
      </c>
      <c r="O3539" s="6" t="s">
        <v>159</v>
      </c>
      <c r="P3539" s="19">
        <v>1</v>
      </c>
    </row>
    <row r="3540" spans="12:16" ht="15.75" customHeight="1" x14ac:dyDescent="0.3">
      <c r="L3540" s="6" t="s">
        <v>194</v>
      </c>
      <c r="M3540" s="6" t="s">
        <v>470</v>
      </c>
      <c r="N3540" s="6" t="s">
        <v>160</v>
      </c>
      <c r="O3540" s="6" t="s">
        <v>161</v>
      </c>
      <c r="P3540" s="19">
        <v>1</v>
      </c>
    </row>
    <row r="3541" spans="12:16" ht="15.75" customHeight="1" x14ac:dyDescent="0.3">
      <c r="L3541" s="6" t="s">
        <v>194</v>
      </c>
      <c r="M3541" s="6" t="s">
        <v>470</v>
      </c>
      <c r="N3541" s="6" t="s">
        <v>162</v>
      </c>
      <c r="O3541" s="6" t="s">
        <v>163</v>
      </c>
      <c r="P3541" s="19">
        <v>0</v>
      </c>
    </row>
    <row r="3542" spans="12:16" ht="15.75" customHeight="1" x14ac:dyDescent="0.3">
      <c r="L3542" s="6" t="s">
        <v>194</v>
      </c>
      <c r="M3542" s="6" t="s">
        <v>470</v>
      </c>
      <c r="N3542" s="6" t="s">
        <v>165</v>
      </c>
      <c r="O3542" s="6" t="s">
        <v>166</v>
      </c>
      <c r="P3542" s="19">
        <v>0</v>
      </c>
    </row>
    <row r="3543" spans="12:16" ht="15.75" customHeight="1" x14ac:dyDescent="0.3">
      <c r="L3543" s="6" t="s">
        <v>194</v>
      </c>
      <c r="M3543" s="6" t="s">
        <v>229</v>
      </c>
      <c r="N3543" s="6" t="s">
        <v>72</v>
      </c>
      <c r="O3543" s="6" t="s">
        <v>75</v>
      </c>
      <c r="P3543" s="19">
        <v>0</v>
      </c>
    </row>
    <row r="3544" spans="12:16" ht="15.75" customHeight="1" x14ac:dyDescent="0.3">
      <c r="L3544" s="6" t="s">
        <v>194</v>
      </c>
      <c r="M3544" s="6" t="s">
        <v>229</v>
      </c>
      <c r="N3544" s="6" t="s">
        <v>83</v>
      </c>
      <c r="O3544" s="6" t="s">
        <v>84</v>
      </c>
      <c r="P3544" s="19">
        <v>0</v>
      </c>
    </row>
    <row r="3545" spans="12:16" ht="15.75" customHeight="1" x14ac:dyDescent="0.3">
      <c r="L3545" s="6" t="s">
        <v>194</v>
      </c>
      <c r="M3545" s="6" t="s">
        <v>229</v>
      </c>
      <c r="N3545" s="6" t="s">
        <v>88</v>
      </c>
      <c r="O3545" s="6" t="s">
        <v>90</v>
      </c>
      <c r="P3545" s="19">
        <v>0</v>
      </c>
    </row>
    <row r="3546" spans="12:16" ht="15.75" customHeight="1" x14ac:dyDescent="0.3">
      <c r="L3546" s="6" t="s">
        <v>194</v>
      </c>
      <c r="M3546" s="6" t="s">
        <v>229</v>
      </c>
      <c r="N3546" s="6" t="s">
        <v>96</v>
      </c>
      <c r="O3546" s="6" t="s">
        <v>97</v>
      </c>
      <c r="P3546" s="19">
        <v>0</v>
      </c>
    </row>
    <row r="3547" spans="12:16" ht="15.75" customHeight="1" x14ac:dyDescent="0.3">
      <c r="L3547" s="6" t="s">
        <v>194</v>
      </c>
      <c r="M3547" s="6" t="s">
        <v>229</v>
      </c>
      <c r="N3547" s="6" t="s">
        <v>100</v>
      </c>
      <c r="O3547" s="6" t="s">
        <v>101</v>
      </c>
      <c r="P3547" s="19">
        <v>0</v>
      </c>
    </row>
    <row r="3548" spans="12:16" ht="15.75" customHeight="1" x14ac:dyDescent="0.3">
      <c r="L3548" s="6" t="s">
        <v>194</v>
      </c>
      <c r="M3548" s="6" t="s">
        <v>229</v>
      </c>
      <c r="N3548" s="6" t="s">
        <v>22</v>
      </c>
      <c r="O3548" s="6" t="s">
        <v>104</v>
      </c>
      <c r="P3548" s="19">
        <v>2</v>
      </c>
    </row>
    <row r="3549" spans="12:16" ht="15.75" customHeight="1" x14ac:dyDescent="0.3">
      <c r="L3549" s="6" t="s">
        <v>194</v>
      </c>
      <c r="M3549" s="6" t="s">
        <v>229</v>
      </c>
      <c r="N3549" s="6" t="s">
        <v>23</v>
      </c>
      <c r="O3549" s="6" t="s">
        <v>107</v>
      </c>
      <c r="P3549" s="17">
        <v>63.398499999999999</v>
      </c>
    </row>
    <row r="3550" spans="12:16" ht="15.75" customHeight="1" x14ac:dyDescent="0.3">
      <c r="L3550" s="6" t="s">
        <v>194</v>
      </c>
      <c r="M3550" s="6" t="s">
        <v>229</v>
      </c>
      <c r="N3550" s="6" t="s">
        <v>24</v>
      </c>
      <c r="O3550" s="6" t="s">
        <v>109</v>
      </c>
      <c r="P3550" s="17">
        <v>5.3E-3</v>
      </c>
    </row>
    <row r="3551" spans="12:16" ht="15.75" customHeight="1" x14ac:dyDescent="0.3">
      <c r="L3551" s="6" t="s">
        <v>194</v>
      </c>
      <c r="M3551" s="6" t="s">
        <v>229</v>
      </c>
      <c r="N3551" s="6" t="s">
        <v>25</v>
      </c>
      <c r="O3551" s="6" t="s">
        <v>111</v>
      </c>
      <c r="P3551" s="19">
        <v>10</v>
      </c>
    </row>
    <row r="3552" spans="12:16" ht="15.75" customHeight="1" x14ac:dyDescent="0.3">
      <c r="L3552" s="6" t="s">
        <v>194</v>
      </c>
      <c r="M3552" s="6" t="s">
        <v>229</v>
      </c>
      <c r="N3552" s="6" t="s">
        <v>26</v>
      </c>
      <c r="O3552" s="6" t="s">
        <v>113</v>
      </c>
      <c r="P3552" s="19">
        <v>9</v>
      </c>
    </row>
    <row r="3553" spans="12:16" ht="15.75" customHeight="1" x14ac:dyDescent="0.3">
      <c r="L3553" s="6" t="s">
        <v>194</v>
      </c>
      <c r="M3553" s="6" t="s">
        <v>229</v>
      </c>
      <c r="N3553" s="6" t="s">
        <v>27</v>
      </c>
      <c r="O3553" s="6" t="s">
        <v>117</v>
      </c>
      <c r="P3553" s="17">
        <v>31.699300000000001</v>
      </c>
    </row>
    <row r="3554" spans="12:16" ht="15.75" customHeight="1" x14ac:dyDescent="0.3">
      <c r="L3554" s="6" t="s">
        <v>194</v>
      </c>
      <c r="M3554" s="6" t="s">
        <v>229</v>
      </c>
      <c r="N3554" s="6" t="s">
        <v>29</v>
      </c>
      <c r="O3554" s="6" t="s">
        <v>125</v>
      </c>
      <c r="P3554" s="19">
        <v>11</v>
      </c>
    </row>
    <row r="3555" spans="12:16" ht="15.75" customHeight="1" x14ac:dyDescent="0.3">
      <c r="L3555" s="6" t="s">
        <v>194</v>
      </c>
      <c r="M3555" s="6" t="s">
        <v>229</v>
      </c>
      <c r="N3555" s="6" t="s">
        <v>135</v>
      </c>
      <c r="O3555" s="6" t="s">
        <v>136</v>
      </c>
      <c r="P3555" s="19">
        <v>1</v>
      </c>
    </row>
    <row r="3556" spans="12:16" ht="15.75" customHeight="1" x14ac:dyDescent="0.3">
      <c r="L3556" s="6" t="s">
        <v>194</v>
      </c>
      <c r="M3556" s="6" t="s">
        <v>229</v>
      </c>
      <c r="N3556" s="6" t="s">
        <v>138</v>
      </c>
      <c r="O3556" s="6" t="s">
        <v>139</v>
      </c>
      <c r="P3556" s="19">
        <v>0</v>
      </c>
    </row>
    <row r="3557" spans="12:16" ht="15.75" customHeight="1" x14ac:dyDescent="0.3">
      <c r="L3557" s="6" t="s">
        <v>194</v>
      </c>
      <c r="M3557" s="6" t="s">
        <v>229</v>
      </c>
      <c r="N3557" s="6" t="s">
        <v>30</v>
      </c>
      <c r="O3557" s="6" t="s">
        <v>148</v>
      </c>
      <c r="P3557" s="17">
        <v>66.840599999999995</v>
      </c>
    </row>
    <row r="3558" spans="12:16" ht="15.75" customHeight="1" x14ac:dyDescent="0.3">
      <c r="L3558" s="6" t="s">
        <v>194</v>
      </c>
      <c r="M3558" s="6" t="s">
        <v>229</v>
      </c>
      <c r="N3558" s="6" t="s">
        <v>156</v>
      </c>
      <c r="O3558" s="6" t="s">
        <v>157</v>
      </c>
      <c r="P3558" s="19">
        <v>0</v>
      </c>
    </row>
    <row r="3559" spans="12:16" ht="15.75" customHeight="1" x14ac:dyDescent="0.3">
      <c r="L3559" s="6" t="s">
        <v>194</v>
      </c>
      <c r="M3559" s="6" t="s">
        <v>229</v>
      </c>
      <c r="N3559" s="6" t="s">
        <v>158</v>
      </c>
      <c r="O3559" s="6" t="s">
        <v>159</v>
      </c>
      <c r="P3559" s="19">
        <v>1</v>
      </c>
    </row>
    <row r="3560" spans="12:16" ht="15.75" customHeight="1" x14ac:dyDescent="0.3">
      <c r="L3560" s="6" t="s">
        <v>194</v>
      </c>
      <c r="M3560" s="6" t="s">
        <v>229</v>
      </c>
      <c r="N3560" s="6" t="s">
        <v>160</v>
      </c>
      <c r="O3560" s="6" t="s">
        <v>161</v>
      </c>
      <c r="P3560" s="19">
        <v>2</v>
      </c>
    </row>
    <row r="3561" spans="12:16" ht="15.75" customHeight="1" x14ac:dyDescent="0.3">
      <c r="L3561" s="6" t="s">
        <v>194</v>
      </c>
      <c r="M3561" s="6" t="s">
        <v>229</v>
      </c>
      <c r="N3561" s="6" t="s">
        <v>162</v>
      </c>
      <c r="O3561" s="6" t="s">
        <v>163</v>
      </c>
      <c r="P3561" s="19">
        <v>0</v>
      </c>
    </row>
    <row r="3562" spans="12:16" ht="15.75" customHeight="1" x14ac:dyDescent="0.3">
      <c r="L3562" s="6" t="s">
        <v>194</v>
      </c>
      <c r="M3562" s="6" t="s">
        <v>229</v>
      </c>
      <c r="N3562" s="6" t="s">
        <v>165</v>
      </c>
      <c r="O3562" s="6" t="s">
        <v>166</v>
      </c>
      <c r="P3562" s="19">
        <v>0</v>
      </c>
    </row>
    <row r="3563" spans="12:16" ht="15.75" customHeight="1" x14ac:dyDescent="0.3">
      <c r="L3563" s="6" t="s">
        <v>195</v>
      </c>
      <c r="M3563" s="6" t="s">
        <v>400</v>
      </c>
      <c r="N3563" s="6" t="s">
        <v>72</v>
      </c>
      <c r="O3563" s="6" t="s">
        <v>75</v>
      </c>
      <c r="P3563" s="19">
        <v>0</v>
      </c>
    </row>
    <row r="3564" spans="12:16" ht="15.75" customHeight="1" x14ac:dyDescent="0.3">
      <c r="L3564" s="6" t="s">
        <v>195</v>
      </c>
      <c r="M3564" s="6" t="s">
        <v>400</v>
      </c>
      <c r="N3564" s="6" t="s">
        <v>83</v>
      </c>
      <c r="O3564" s="6" t="s">
        <v>84</v>
      </c>
      <c r="P3564" s="19">
        <v>0</v>
      </c>
    </row>
    <row r="3565" spans="12:16" ht="15.75" customHeight="1" x14ac:dyDescent="0.3">
      <c r="L3565" s="6" t="s">
        <v>195</v>
      </c>
      <c r="M3565" s="6" t="s">
        <v>400</v>
      </c>
      <c r="N3565" s="6" t="s">
        <v>88</v>
      </c>
      <c r="O3565" s="6" t="s">
        <v>90</v>
      </c>
      <c r="P3565" s="19">
        <v>1</v>
      </c>
    </row>
    <row r="3566" spans="12:16" ht="15.75" customHeight="1" x14ac:dyDescent="0.3">
      <c r="L3566" s="6" t="s">
        <v>195</v>
      </c>
      <c r="M3566" s="6" t="s">
        <v>400</v>
      </c>
      <c r="N3566" s="6" t="s">
        <v>96</v>
      </c>
      <c r="O3566" s="6" t="s">
        <v>97</v>
      </c>
      <c r="P3566" s="19">
        <v>1</v>
      </c>
    </row>
    <row r="3567" spans="12:16" ht="15.75" customHeight="1" x14ac:dyDescent="0.3">
      <c r="L3567" s="6" t="s">
        <v>195</v>
      </c>
      <c r="M3567" s="6" t="s">
        <v>400</v>
      </c>
      <c r="N3567" s="6" t="s">
        <v>100</v>
      </c>
      <c r="O3567" s="6" t="s">
        <v>101</v>
      </c>
      <c r="P3567" s="19">
        <v>0</v>
      </c>
    </row>
    <row r="3568" spans="12:16" ht="15.75" customHeight="1" x14ac:dyDescent="0.3">
      <c r="L3568" s="6" t="s">
        <v>195</v>
      </c>
      <c r="M3568" s="6" t="s">
        <v>400</v>
      </c>
      <c r="N3568" s="6" t="s">
        <v>22</v>
      </c>
      <c r="O3568" s="6" t="s">
        <v>104</v>
      </c>
      <c r="P3568" s="17">
        <v>3.75</v>
      </c>
    </row>
    <row r="3569" spans="12:16" ht="15.75" customHeight="1" x14ac:dyDescent="0.3">
      <c r="L3569" s="6" t="s">
        <v>195</v>
      </c>
      <c r="M3569" s="6" t="s">
        <v>400</v>
      </c>
      <c r="N3569" s="6" t="s">
        <v>23</v>
      </c>
      <c r="O3569" s="6" t="s">
        <v>107</v>
      </c>
      <c r="P3569" s="17">
        <v>475.16759999999999</v>
      </c>
    </row>
    <row r="3570" spans="12:16" ht="15.75" customHeight="1" x14ac:dyDescent="0.3">
      <c r="L3570" s="6" t="s">
        <v>195</v>
      </c>
      <c r="M3570" s="6" t="s">
        <v>400</v>
      </c>
      <c r="N3570" s="6" t="s">
        <v>24</v>
      </c>
      <c r="O3570" s="6" t="s">
        <v>109</v>
      </c>
      <c r="P3570" s="17">
        <v>2.0299999999999999E-2</v>
      </c>
    </row>
    <row r="3571" spans="12:16" ht="15.75" customHeight="1" x14ac:dyDescent="0.3">
      <c r="L3571" s="6" t="s">
        <v>195</v>
      </c>
      <c r="M3571" s="6" t="s">
        <v>400</v>
      </c>
      <c r="N3571" s="6" t="s">
        <v>25</v>
      </c>
      <c r="O3571" s="6" t="s">
        <v>111</v>
      </c>
      <c r="P3571" s="19">
        <v>31</v>
      </c>
    </row>
    <row r="3572" spans="12:16" ht="15.75" customHeight="1" x14ac:dyDescent="0.3">
      <c r="L3572" s="6" t="s">
        <v>195</v>
      </c>
      <c r="M3572" s="6" t="s">
        <v>400</v>
      </c>
      <c r="N3572" s="6" t="s">
        <v>26</v>
      </c>
      <c r="O3572" s="6" t="s">
        <v>113</v>
      </c>
      <c r="P3572" s="19">
        <v>17</v>
      </c>
    </row>
    <row r="3573" spans="12:16" ht="15.75" customHeight="1" x14ac:dyDescent="0.3">
      <c r="L3573" s="6" t="s">
        <v>195</v>
      </c>
      <c r="M3573" s="6" t="s">
        <v>400</v>
      </c>
      <c r="N3573" s="6" t="s">
        <v>27</v>
      </c>
      <c r="O3573" s="6" t="s">
        <v>117</v>
      </c>
      <c r="P3573" s="17">
        <v>126.71129999999999</v>
      </c>
    </row>
    <row r="3574" spans="12:16" ht="15.75" customHeight="1" x14ac:dyDescent="0.3">
      <c r="L3574" s="6" t="s">
        <v>195</v>
      </c>
      <c r="M3574" s="6" t="s">
        <v>400</v>
      </c>
      <c r="N3574" s="6" t="s">
        <v>29</v>
      </c>
      <c r="O3574" s="6" t="s">
        <v>125</v>
      </c>
      <c r="P3574" s="19">
        <v>19</v>
      </c>
    </row>
    <row r="3575" spans="12:16" ht="15.75" customHeight="1" x14ac:dyDescent="0.3">
      <c r="L3575" s="6" t="s">
        <v>195</v>
      </c>
      <c r="M3575" s="6" t="s">
        <v>400</v>
      </c>
      <c r="N3575" s="6" t="s">
        <v>135</v>
      </c>
      <c r="O3575" s="6" t="s">
        <v>136</v>
      </c>
      <c r="P3575" s="19">
        <v>1</v>
      </c>
    </row>
    <row r="3576" spans="12:16" ht="15.75" customHeight="1" x14ac:dyDescent="0.3">
      <c r="L3576" s="6" t="s">
        <v>195</v>
      </c>
      <c r="M3576" s="6" t="s">
        <v>400</v>
      </c>
      <c r="N3576" s="6" t="s">
        <v>138</v>
      </c>
      <c r="O3576" s="6" t="s">
        <v>139</v>
      </c>
      <c r="P3576" s="19">
        <v>0</v>
      </c>
    </row>
    <row r="3577" spans="12:16" ht="15.75" customHeight="1" x14ac:dyDescent="0.3">
      <c r="L3577" s="6" t="s">
        <v>195</v>
      </c>
      <c r="M3577" s="6" t="s">
        <v>400</v>
      </c>
      <c r="N3577" s="6" t="s">
        <v>30</v>
      </c>
      <c r="O3577" s="6" t="s">
        <v>148</v>
      </c>
      <c r="P3577" s="17">
        <v>57.398499999999999</v>
      </c>
    </row>
    <row r="3578" spans="12:16" ht="15.75" customHeight="1" x14ac:dyDescent="0.3">
      <c r="L3578" s="6" t="s">
        <v>195</v>
      </c>
      <c r="M3578" s="6" t="s">
        <v>400</v>
      </c>
      <c r="N3578" s="6" t="s">
        <v>156</v>
      </c>
      <c r="O3578" s="6" t="s">
        <v>157</v>
      </c>
      <c r="P3578" s="19">
        <v>0</v>
      </c>
    </row>
    <row r="3579" spans="12:16" ht="15.75" customHeight="1" x14ac:dyDescent="0.3">
      <c r="L3579" s="6" t="s">
        <v>195</v>
      </c>
      <c r="M3579" s="6" t="s">
        <v>400</v>
      </c>
      <c r="N3579" s="6" t="s">
        <v>158</v>
      </c>
      <c r="O3579" s="6" t="s">
        <v>159</v>
      </c>
      <c r="P3579" s="19">
        <v>1</v>
      </c>
    </row>
    <row r="3580" spans="12:16" ht="15.75" customHeight="1" x14ac:dyDescent="0.3">
      <c r="L3580" s="6" t="s">
        <v>195</v>
      </c>
      <c r="M3580" s="6" t="s">
        <v>400</v>
      </c>
      <c r="N3580" s="6" t="s">
        <v>160</v>
      </c>
      <c r="O3580" s="6" t="s">
        <v>161</v>
      </c>
      <c r="P3580" s="19">
        <v>9</v>
      </c>
    </row>
    <row r="3581" spans="12:16" ht="15.75" customHeight="1" x14ac:dyDescent="0.3">
      <c r="L3581" s="6" t="s">
        <v>195</v>
      </c>
      <c r="M3581" s="6" t="s">
        <v>400</v>
      </c>
      <c r="N3581" s="6" t="s">
        <v>162</v>
      </c>
      <c r="O3581" s="6" t="s">
        <v>163</v>
      </c>
      <c r="P3581" s="19">
        <v>0</v>
      </c>
    </row>
    <row r="3582" spans="12:16" ht="15.75" customHeight="1" x14ac:dyDescent="0.3">
      <c r="L3582" s="6" t="s">
        <v>195</v>
      </c>
      <c r="M3582" s="6" t="s">
        <v>400</v>
      </c>
      <c r="N3582" s="6" t="s">
        <v>165</v>
      </c>
      <c r="O3582" s="6" t="s">
        <v>166</v>
      </c>
      <c r="P3582" s="19">
        <v>4</v>
      </c>
    </row>
    <row r="3583" spans="12:16" ht="15.75" customHeight="1" x14ac:dyDescent="0.3">
      <c r="L3583" s="6" t="s">
        <v>195</v>
      </c>
      <c r="M3583" s="6" t="s">
        <v>268</v>
      </c>
      <c r="N3583" s="6" t="s">
        <v>72</v>
      </c>
      <c r="O3583" s="6" t="s">
        <v>75</v>
      </c>
      <c r="P3583" s="19">
        <v>1</v>
      </c>
    </row>
    <row r="3584" spans="12:16" ht="15.75" customHeight="1" x14ac:dyDescent="0.3">
      <c r="L3584" s="6" t="s">
        <v>195</v>
      </c>
      <c r="M3584" s="6" t="s">
        <v>268</v>
      </c>
      <c r="N3584" s="6" t="s">
        <v>83</v>
      </c>
      <c r="O3584" s="6" t="s">
        <v>84</v>
      </c>
      <c r="P3584" s="19">
        <v>0</v>
      </c>
    </row>
    <row r="3585" spans="12:16" ht="15.75" customHeight="1" x14ac:dyDescent="0.3">
      <c r="L3585" s="6" t="s">
        <v>195</v>
      </c>
      <c r="M3585" s="6" t="s">
        <v>268</v>
      </c>
      <c r="N3585" s="6" t="s">
        <v>88</v>
      </c>
      <c r="O3585" s="6" t="s">
        <v>90</v>
      </c>
      <c r="P3585" s="19">
        <v>0</v>
      </c>
    </row>
    <row r="3586" spans="12:16" ht="15.75" customHeight="1" x14ac:dyDescent="0.3">
      <c r="L3586" s="6" t="s">
        <v>195</v>
      </c>
      <c r="M3586" s="6" t="s">
        <v>268</v>
      </c>
      <c r="N3586" s="6" t="s">
        <v>96</v>
      </c>
      <c r="O3586" s="6" t="s">
        <v>97</v>
      </c>
      <c r="P3586" s="19">
        <v>0</v>
      </c>
    </row>
    <row r="3587" spans="12:16" ht="15.75" customHeight="1" x14ac:dyDescent="0.3">
      <c r="L3587" s="6" t="s">
        <v>195</v>
      </c>
      <c r="M3587" s="6" t="s">
        <v>268</v>
      </c>
      <c r="N3587" s="6" t="s">
        <v>100</v>
      </c>
      <c r="O3587" s="6" t="s">
        <v>101</v>
      </c>
      <c r="P3587" s="19">
        <v>0</v>
      </c>
    </row>
    <row r="3588" spans="12:16" ht="15.75" customHeight="1" x14ac:dyDescent="0.3">
      <c r="L3588" s="6" t="s">
        <v>195</v>
      </c>
      <c r="M3588" s="6" t="s">
        <v>268</v>
      </c>
      <c r="N3588" s="6" t="s">
        <v>22</v>
      </c>
      <c r="O3588" s="6" t="s">
        <v>104</v>
      </c>
      <c r="P3588" s="17">
        <v>13.5</v>
      </c>
    </row>
    <row r="3589" spans="12:16" ht="15.75" customHeight="1" x14ac:dyDescent="0.3">
      <c r="L3589" s="6" t="s">
        <v>195</v>
      </c>
      <c r="M3589" s="6" t="s">
        <v>268</v>
      </c>
      <c r="N3589" s="6" t="s">
        <v>23</v>
      </c>
      <c r="O3589" s="6" t="s">
        <v>107</v>
      </c>
      <c r="P3589" s="17">
        <v>3154.0862000000002</v>
      </c>
    </row>
    <row r="3590" spans="12:16" ht="15.75" customHeight="1" x14ac:dyDescent="0.3">
      <c r="L3590" s="6" t="s">
        <v>195</v>
      </c>
      <c r="M3590" s="6" t="s">
        <v>268</v>
      </c>
      <c r="N3590" s="6" t="s">
        <v>24</v>
      </c>
      <c r="O3590" s="6" t="s">
        <v>109</v>
      </c>
      <c r="P3590" s="17">
        <v>7.17E-2</v>
      </c>
    </row>
    <row r="3591" spans="12:16" ht="15.75" customHeight="1" x14ac:dyDescent="0.3">
      <c r="L3591" s="6" t="s">
        <v>195</v>
      </c>
      <c r="M3591" s="6" t="s">
        <v>268</v>
      </c>
      <c r="N3591" s="6" t="s">
        <v>25</v>
      </c>
      <c r="O3591" s="6" t="s">
        <v>111</v>
      </c>
      <c r="P3591" s="19">
        <v>55</v>
      </c>
    </row>
    <row r="3592" spans="12:16" ht="15.75" customHeight="1" x14ac:dyDescent="0.3">
      <c r="L3592" s="6" t="s">
        <v>195</v>
      </c>
      <c r="M3592" s="6" t="s">
        <v>268</v>
      </c>
      <c r="N3592" s="6" t="s">
        <v>26</v>
      </c>
      <c r="O3592" s="6" t="s">
        <v>113</v>
      </c>
      <c r="P3592" s="19">
        <v>19</v>
      </c>
    </row>
    <row r="3593" spans="12:16" ht="15.75" customHeight="1" x14ac:dyDescent="0.3">
      <c r="L3593" s="6" t="s">
        <v>195</v>
      </c>
      <c r="M3593" s="6" t="s">
        <v>268</v>
      </c>
      <c r="N3593" s="6" t="s">
        <v>27</v>
      </c>
      <c r="O3593" s="6" t="s">
        <v>117</v>
      </c>
      <c r="P3593" s="17">
        <v>233.636</v>
      </c>
    </row>
    <row r="3594" spans="12:16" ht="15.75" customHeight="1" x14ac:dyDescent="0.3">
      <c r="L3594" s="6" t="s">
        <v>195</v>
      </c>
      <c r="M3594" s="6" t="s">
        <v>268</v>
      </c>
      <c r="N3594" s="6" t="s">
        <v>29</v>
      </c>
      <c r="O3594" s="6" t="s">
        <v>125</v>
      </c>
      <c r="P3594" s="19">
        <v>36</v>
      </c>
    </row>
    <row r="3595" spans="12:16" ht="15.75" customHeight="1" x14ac:dyDescent="0.3">
      <c r="L3595" s="6" t="s">
        <v>195</v>
      </c>
      <c r="M3595" s="6" t="s">
        <v>268</v>
      </c>
      <c r="N3595" s="6" t="s">
        <v>135</v>
      </c>
      <c r="O3595" s="6" t="s">
        <v>136</v>
      </c>
      <c r="P3595" s="19">
        <v>1</v>
      </c>
    </row>
    <row r="3596" spans="12:16" ht="15.75" customHeight="1" x14ac:dyDescent="0.3">
      <c r="L3596" s="6" t="s">
        <v>195</v>
      </c>
      <c r="M3596" s="6" t="s">
        <v>268</v>
      </c>
      <c r="N3596" s="6" t="s">
        <v>138</v>
      </c>
      <c r="O3596" s="6" t="s">
        <v>139</v>
      </c>
      <c r="P3596" s="19">
        <v>0</v>
      </c>
    </row>
    <row r="3597" spans="12:16" ht="15.75" customHeight="1" x14ac:dyDescent="0.3">
      <c r="L3597" s="6" t="s">
        <v>195</v>
      </c>
      <c r="M3597" s="6" t="s">
        <v>268</v>
      </c>
      <c r="N3597" s="6" t="s">
        <v>30</v>
      </c>
      <c r="O3597" s="6" t="s">
        <v>148</v>
      </c>
      <c r="P3597" s="17">
        <v>49.212899999999998</v>
      </c>
    </row>
    <row r="3598" spans="12:16" ht="15.75" customHeight="1" x14ac:dyDescent="0.3">
      <c r="L3598" s="6" t="s">
        <v>195</v>
      </c>
      <c r="M3598" s="6" t="s">
        <v>268</v>
      </c>
      <c r="N3598" s="6" t="s">
        <v>156</v>
      </c>
      <c r="O3598" s="6" t="s">
        <v>157</v>
      </c>
      <c r="P3598" s="19">
        <v>1</v>
      </c>
    </row>
    <row r="3599" spans="12:16" ht="15.75" customHeight="1" x14ac:dyDescent="0.3">
      <c r="L3599" s="6" t="s">
        <v>195</v>
      </c>
      <c r="M3599" s="6" t="s">
        <v>268</v>
      </c>
      <c r="N3599" s="6" t="s">
        <v>158</v>
      </c>
      <c r="O3599" s="6" t="s">
        <v>159</v>
      </c>
      <c r="P3599" s="19">
        <v>7</v>
      </c>
    </row>
    <row r="3600" spans="12:16" ht="15.75" customHeight="1" x14ac:dyDescent="0.3">
      <c r="L3600" s="6" t="s">
        <v>195</v>
      </c>
      <c r="M3600" s="6" t="s">
        <v>268</v>
      </c>
      <c r="N3600" s="6" t="s">
        <v>160</v>
      </c>
      <c r="O3600" s="6" t="s">
        <v>161</v>
      </c>
      <c r="P3600" s="19">
        <v>9</v>
      </c>
    </row>
    <row r="3601" spans="12:16" ht="15.75" customHeight="1" x14ac:dyDescent="0.3">
      <c r="L3601" s="6" t="s">
        <v>195</v>
      </c>
      <c r="M3601" s="6" t="s">
        <v>268</v>
      </c>
      <c r="N3601" s="6" t="s">
        <v>162</v>
      </c>
      <c r="O3601" s="6" t="s">
        <v>163</v>
      </c>
      <c r="P3601" s="19">
        <v>0</v>
      </c>
    </row>
    <row r="3602" spans="12:16" ht="15.75" customHeight="1" x14ac:dyDescent="0.3">
      <c r="L3602" s="6" t="s">
        <v>195</v>
      </c>
      <c r="M3602" s="6" t="s">
        <v>268</v>
      </c>
      <c r="N3602" s="6" t="s">
        <v>165</v>
      </c>
      <c r="O3602" s="6" t="s">
        <v>166</v>
      </c>
      <c r="P3602" s="19">
        <v>3</v>
      </c>
    </row>
    <row r="3603" spans="12:16" ht="15.75" customHeight="1" x14ac:dyDescent="0.3">
      <c r="L3603" s="6" t="s">
        <v>195</v>
      </c>
      <c r="M3603" s="6" t="s">
        <v>300</v>
      </c>
      <c r="N3603" s="6" t="s">
        <v>72</v>
      </c>
      <c r="O3603" s="6" t="s">
        <v>75</v>
      </c>
      <c r="P3603" s="19">
        <v>4</v>
      </c>
    </row>
    <row r="3604" spans="12:16" ht="15.75" customHeight="1" x14ac:dyDescent="0.3">
      <c r="L3604" s="6" t="s">
        <v>195</v>
      </c>
      <c r="M3604" s="6" t="s">
        <v>300</v>
      </c>
      <c r="N3604" s="6" t="s">
        <v>83</v>
      </c>
      <c r="O3604" s="6" t="s">
        <v>84</v>
      </c>
      <c r="P3604" s="19">
        <v>1</v>
      </c>
    </row>
    <row r="3605" spans="12:16" ht="15.75" customHeight="1" x14ac:dyDescent="0.3">
      <c r="L3605" s="6" t="s">
        <v>195</v>
      </c>
      <c r="M3605" s="6" t="s">
        <v>300</v>
      </c>
      <c r="N3605" s="6" t="s">
        <v>88</v>
      </c>
      <c r="O3605" s="6" t="s">
        <v>90</v>
      </c>
      <c r="P3605" s="17">
        <v>0.5</v>
      </c>
    </row>
    <row r="3606" spans="12:16" ht="15.75" customHeight="1" x14ac:dyDescent="0.3">
      <c r="L3606" s="6" t="s">
        <v>195</v>
      </c>
      <c r="M3606" s="6" t="s">
        <v>300</v>
      </c>
      <c r="N3606" s="6" t="s">
        <v>96</v>
      </c>
      <c r="O3606" s="6" t="s">
        <v>97</v>
      </c>
      <c r="P3606" s="19">
        <v>3</v>
      </c>
    </row>
    <row r="3607" spans="12:16" ht="15.75" customHeight="1" x14ac:dyDescent="0.3">
      <c r="L3607" s="6" t="s">
        <v>195</v>
      </c>
      <c r="M3607" s="6" t="s">
        <v>300</v>
      </c>
      <c r="N3607" s="6" t="s">
        <v>100</v>
      </c>
      <c r="O3607" s="6" t="s">
        <v>101</v>
      </c>
      <c r="P3607" s="19">
        <v>0</v>
      </c>
    </row>
    <row r="3608" spans="12:16" ht="15.75" customHeight="1" x14ac:dyDescent="0.3">
      <c r="L3608" s="6" t="s">
        <v>195</v>
      </c>
      <c r="M3608" s="6" t="s">
        <v>300</v>
      </c>
      <c r="N3608" s="6" t="s">
        <v>22</v>
      </c>
      <c r="O3608" s="6" t="s">
        <v>104</v>
      </c>
      <c r="P3608" s="19">
        <v>11</v>
      </c>
    </row>
    <row r="3609" spans="12:16" ht="15.75" customHeight="1" x14ac:dyDescent="0.3">
      <c r="L3609" s="6" t="s">
        <v>195</v>
      </c>
      <c r="M3609" s="6" t="s">
        <v>300</v>
      </c>
      <c r="N3609" s="6" t="s">
        <v>23</v>
      </c>
      <c r="O3609" s="6" t="s">
        <v>107</v>
      </c>
      <c r="P3609" s="17">
        <v>988.44330000000002</v>
      </c>
    </row>
    <row r="3610" spans="12:16" ht="15.75" customHeight="1" x14ac:dyDescent="0.3">
      <c r="L3610" s="6" t="s">
        <v>195</v>
      </c>
      <c r="M3610" s="6" t="s">
        <v>300</v>
      </c>
      <c r="N3610" s="6" t="s">
        <v>24</v>
      </c>
      <c r="O3610" s="6" t="s">
        <v>109</v>
      </c>
      <c r="P3610" s="17">
        <v>3.3099999999999997E-2</v>
      </c>
    </row>
    <row r="3611" spans="12:16" ht="15.75" customHeight="1" x14ac:dyDescent="0.3">
      <c r="L3611" s="6" t="s">
        <v>195</v>
      </c>
      <c r="M3611" s="6" t="s">
        <v>300</v>
      </c>
      <c r="N3611" s="6" t="s">
        <v>25</v>
      </c>
      <c r="O3611" s="6" t="s">
        <v>111</v>
      </c>
      <c r="P3611" s="19">
        <v>23</v>
      </c>
    </row>
    <row r="3612" spans="12:16" ht="15.75" customHeight="1" x14ac:dyDescent="0.3">
      <c r="L3612" s="6" t="s">
        <v>195</v>
      </c>
      <c r="M3612" s="6" t="s">
        <v>300</v>
      </c>
      <c r="N3612" s="6" t="s">
        <v>26</v>
      </c>
      <c r="O3612" s="6" t="s">
        <v>113</v>
      </c>
      <c r="P3612" s="19">
        <v>15</v>
      </c>
    </row>
    <row r="3613" spans="12:16" ht="15.75" customHeight="1" x14ac:dyDescent="0.3">
      <c r="L3613" s="6" t="s">
        <v>195</v>
      </c>
      <c r="M3613" s="6" t="s">
        <v>300</v>
      </c>
      <c r="N3613" s="6" t="s">
        <v>27</v>
      </c>
      <c r="O3613" s="6" t="s">
        <v>117</v>
      </c>
      <c r="P3613" s="17">
        <v>89.858500000000006</v>
      </c>
    </row>
    <row r="3614" spans="12:16" ht="15.75" customHeight="1" x14ac:dyDescent="0.3">
      <c r="L3614" s="6" t="s">
        <v>195</v>
      </c>
      <c r="M3614" s="6" t="s">
        <v>300</v>
      </c>
      <c r="N3614" s="6" t="s">
        <v>29</v>
      </c>
      <c r="O3614" s="6" t="s">
        <v>125</v>
      </c>
      <c r="P3614" s="19">
        <v>19</v>
      </c>
    </row>
    <row r="3615" spans="12:16" ht="15.75" customHeight="1" x14ac:dyDescent="0.3">
      <c r="L3615" s="6" t="s">
        <v>195</v>
      </c>
      <c r="M3615" s="6" t="s">
        <v>300</v>
      </c>
      <c r="N3615" s="6" t="s">
        <v>135</v>
      </c>
      <c r="O3615" s="6" t="s">
        <v>136</v>
      </c>
      <c r="P3615" s="19">
        <v>1</v>
      </c>
    </row>
    <row r="3616" spans="12:16" ht="15.75" customHeight="1" x14ac:dyDescent="0.3">
      <c r="L3616" s="6" t="s">
        <v>195</v>
      </c>
      <c r="M3616" s="6" t="s">
        <v>300</v>
      </c>
      <c r="N3616" s="6" t="s">
        <v>138</v>
      </c>
      <c r="O3616" s="6" t="s">
        <v>139</v>
      </c>
      <c r="P3616" s="19">
        <v>2</v>
      </c>
    </row>
    <row r="3617" spans="12:16" ht="15.75" customHeight="1" x14ac:dyDescent="0.3">
      <c r="L3617" s="6" t="s">
        <v>195</v>
      </c>
      <c r="M3617" s="6" t="s">
        <v>300</v>
      </c>
      <c r="N3617" s="6" t="s">
        <v>30</v>
      </c>
      <c r="O3617" s="6" t="s">
        <v>148</v>
      </c>
      <c r="P3617" s="17">
        <v>58.239199999999997</v>
      </c>
    </row>
    <row r="3618" spans="12:16" ht="15.75" customHeight="1" x14ac:dyDescent="0.3">
      <c r="L3618" s="6" t="s">
        <v>195</v>
      </c>
      <c r="M3618" s="6" t="s">
        <v>300</v>
      </c>
      <c r="N3618" s="6" t="s">
        <v>156</v>
      </c>
      <c r="O3618" s="6" t="s">
        <v>157</v>
      </c>
      <c r="P3618" s="19">
        <v>1</v>
      </c>
    </row>
    <row r="3619" spans="12:16" ht="15.75" customHeight="1" x14ac:dyDescent="0.3">
      <c r="L3619" s="6" t="s">
        <v>195</v>
      </c>
      <c r="M3619" s="6" t="s">
        <v>300</v>
      </c>
      <c r="N3619" s="6" t="s">
        <v>158</v>
      </c>
      <c r="O3619" s="6" t="s">
        <v>159</v>
      </c>
      <c r="P3619" s="19">
        <v>5</v>
      </c>
    </row>
    <row r="3620" spans="12:16" ht="15.75" customHeight="1" x14ac:dyDescent="0.3">
      <c r="L3620" s="6" t="s">
        <v>195</v>
      </c>
      <c r="M3620" s="6" t="s">
        <v>300</v>
      </c>
      <c r="N3620" s="6" t="s">
        <v>160</v>
      </c>
      <c r="O3620" s="6" t="s">
        <v>161</v>
      </c>
      <c r="P3620" s="19">
        <v>4</v>
      </c>
    </row>
    <row r="3621" spans="12:16" ht="15.75" customHeight="1" x14ac:dyDescent="0.3">
      <c r="L3621" s="6" t="s">
        <v>195</v>
      </c>
      <c r="M3621" s="6" t="s">
        <v>300</v>
      </c>
      <c r="N3621" s="6" t="s">
        <v>162</v>
      </c>
      <c r="O3621" s="6" t="s">
        <v>163</v>
      </c>
      <c r="P3621" s="19">
        <v>2</v>
      </c>
    </row>
    <row r="3622" spans="12:16" ht="15.75" customHeight="1" x14ac:dyDescent="0.3">
      <c r="L3622" s="6" t="s">
        <v>195</v>
      </c>
      <c r="M3622" s="6" t="s">
        <v>300</v>
      </c>
      <c r="N3622" s="6" t="s">
        <v>165</v>
      </c>
      <c r="O3622" s="6" t="s">
        <v>166</v>
      </c>
      <c r="P3622" s="19">
        <v>0</v>
      </c>
    </row>
    <row r="3623" spans="12:16" ht="15.75" customHeight="1" x14ac:dyDescent="0.3">
      <c r="L3623" s="6" t="s">
        <v>195</v>
      </c>
      <c r="M3623" s="6" t="s">
        <v>406</v>
      </c>
      <c r="N3623" s="6" t="s">
        <v>72</v>
      </c>
      <c r="O3623" s="6" t="s">
        <v>75</v>
      </c>
      <c r="P3623" s="19">
        <v>0</v>
      </c>
    </row>
    <row r="3624" spans="12:16" ht="15.75" customHeight="1" x14ac:dyDescent="0.3">
      <c r="L3624" s="6" t="s">
        <v>195</v>
      </c>
      <c r="M3624" s="6" t="s">
        <v>406</v>
      </c>
      <c r="N3624" s="6" t="s">
        <v>83</v>
      </c>
      <c r="O3624" s="6" t="s">
        <v>84</v>
      </c>
      <c r="P3624" s="19">
        <v>0</v>
      </c>
    </row>
    <row r="3625" spans="12:16" ht="15.75" customHeight="1" x14ac:dyDescent="0.3">
      <c r="L3625" s="6" t="s">
        <v>195</v>
      </c>
      <c r="M3625" s="6" t="s">
        <v>406</v>
      </c>
      <c r="N3625" s="6" t="s">
        <v>88</v>
      </c>
      <c r="O3625" s="6" t="s">
        <v>90</v>
      </c>
      <c r="P3625" s="19">
        <v>0</v>
      </c>
    </row>
    <row r="3626" spans="12:16" ht="15.75" customHeight="1" x14ac:dyDescent="0.3">
      <c r="L3626" s="6" t="s">
        <v>195</v>
      </c>
      <c r="M3626" s="6" t="s">
        <v>406</v>
      </c>
      <c r="N3626" s="6" t="s">
        <v>96</v>
      </c>
      <c r="O3626" s="6" t="s">
        <v>97</v>
      </c>
      <c r="P3626" s="19">
        <v>0</v>
      </c>
    </row>
    <row r="3627" spans="12:16" ht="15.75" customHeight="1" x14ac:dyDescent="0.3">
      <c r="L3627" s="6" t="s">
        <v>195</v>
      </c>
      <c r="M3627" s="6" t="s">
        <v>406</v>
      </c>
      <c r="N3627" s="6" t="s">
        <v>100</v>
      </c>
      <c r="O3627" s="6" t="s">
        <v>101</v>
      </c>
      <c r="P3627" s="19">
        <v>0</v>
      </c>
    </row>
    <row r="3628" spans="12:16" ht="15.75" customHeight="1" x14ac:dyDescent="0.3">
      <c r="L3628" s="6" t="s">
        <v>195</v>
      </c>
      <c r="M3628" s="6" t="s">
        <v>406</v>
      </c>
      <c r="N3628" s="6" t="s">
        <v>22</v>
      </c>
      <c r="O3628" s="6" t="s">
        <v>104</v>
      </c>
      <c r="P3628" s="19">
        <v>1</v>
      </c>
    </row>
    <row r="3629" spans="12:16" ht="15.75" customHeight="1" x14ac:dyDescent="0.3">
      <c r="L3629" s="6" t="s">
        <v>195</v>
      </c>
      <c r="M3629" s="6" t="s">
        <v>406</v>
      </c>
      <c r="N3629" s="6" t="s">
        <v>23</v>
      </c>
      <c r="O3629" s="6" t="s">
        <v>107</v>
      </c>
      <c r="P3629" s="17">
        <v>4.7549000000000001</v>
      </c>
    </row>
    <row r="3630" spans="12:16" ht="15.75" customHeight="1" x14ac:dyDescent="0.3">
      <c r="L3630" s="6" t="s">
        <v>195</v>
      </c>
      <c r="M3630" s="6" t="s">
        <v>406</v>
      </c>
      <c r="N3630" s="6" t="s">
        <v>24</v>
      </c>
      <c r="O3630" s="6" t="s">
        <v>109</v>
      </c>
      <c r="P3630" s="17">
        <v>8.9999999999999998E-4</v>
      </c>
    </row>
    <row r="3631" spans="12:16" ht="15.75" customHeight="1" x14ac:dyDescent="0.3">
      <c r="L3631" s="6" t="s">
        <v>195</v>
      </c>
      <c r="M3631" s="6" t="s">
        <v>406</v>
      </c>
      <c r="N3631" s="6" t="s">
        <v>25</v>
      </c>
      <c r="O3631" s="6" t="s">
        <v>111</v>
      </c>
      <c r="P3631" s="19">
        <v>3</v>
      </c>
    </row>
    <row r="3632" spans="12:16" ht="15.75" customHeight="1" x14ac:dyDescent="0.3">
      <c r="L3632" s="6" t="s">
        <v>195</v>
      </c>
      <c r="M3632" s="6" t="s">
        <v>406</v>
      </c>
      <c r="N3632" s="6" t="s">
        <v>26</v>
      </c>
      <c r="O3632" s="6" t="s">
        <v>113</v>
      </c>
      <c r="P3632" s="19">
        <v>3</v>
      </c>
    </row>
    <row r="3633" spans="12:16" ht="15.75" customHeight="1" x14ac:dyDescent="0.3">
      <c r="L3633" s="6" t="s">
        <v>195</v>
      </c>
      <c r="M3633" s="6" t="s">
        <v>406</v>
      </c>
      <c r="N3633" s="6" t="s">
        <v>27</v>
      </c>
      <c r="O3633" s="6" t="s">
        <v>117</v>
      </c>
      <c r="P3633" s="17">
        <v>4.7549000000000001</v>
      </c>
    </row>
    <row r="3634" spans="12:16" ht="15.75" customHeight="1" x14ac:dyDescent="0.3">
      <c r="L3634" s="6" t="s">
        <v>195</v>
      </c>
      <c r="M3634" s="6" t="s">
        <v>406</v>
      </c>
      <c r="N3634" s="6" t="s">
        <v>29</v>
      </c>
      <c r="O3634" s="6" t="s">
        <v>125</v>
      </c>
      <c r="P3634" s="19">
        <v>15</v>
      </c>
    </row>
    <row r="3635" spans="12:16" ht="15.75" customHeight="1" x14ac:dyDescent="0.3">
      <c r="L3635" s="6" t="s">
        <v>195</v>
      </c>
      <c r="M3635" s="6" t="s">
        <v>406</v>
      </c>
      <c r="N3635" s="6" t="s">
        <v>135</v>
      </c>
      <c r="O3635" s="6" t="s">
        <v>136</v>
      </c>
      <c r="P3635" s="19">
        <v>1</v>
      </c>
    </row>
    <row r="3636" spans="12:16" ht="15.75" customHeight="1" x14ac:dyDescent="0.3">
      <c r="L3636" s="6" t="s">
        <v>195</v>
      </c>
      <c r="M3636" s="6" t="s">
        <v>406</v>
      </c>
      <c r="N3636" s="6" t="s">
        <v>138</v>
      </c>
      <c r="O3636" s="6" t="s">
        <v>139</v>
      </c>
      <c r="P3636" s="19">
        <v>0</v>
      </c>
    </row>
    <row r="3637" spans="12:16" ht="15.75" customHeight="1" x14ac:dyDescent="0.3">
      <c r="L3637" s="6" t="s">
        <v>195</v>
      </c>
      <c r="M3637" s="6" t="s">
        <v>406</v>
      </c>
      <c r="N3637" s="6" t="s">
        <v>30</v>
      </c>
      <c r="O3637" s="6" t="s">
        <v>148</v>
      </c>
      <c r="P3637" s="17">
        <v>70.129199999999997</v>
      </c>
    </row>
    <row r="3638" spans="12:16" ht="15.75" customHeight="1" x14ac:dyDescent="0.3">
      <c r="L3638" s="6" t="s">
        <v>195</v>
      </c>
      <c r="M3638" s="6" t="s">
        <v>406</v>
      </c>
      <c r="N3638" s="6" t="s">
        <v>156</v>
      </c>
      <c r="O3638" s="6" t="s">
        <v>157</v>
      </c>
      <c r="P3638" s="19">
        <v>0</v>
      </c>
    </row>
    <row r="3639" spans="12:16" ht="15.75" customHeight="1" x14ac:dyDescent="0.3">
      <c r="L3639" s="6" t="s">
        <v>195</v>
      </c>
      <c r="M3639" s="6" t="s">
        <v>406</v>
      </c>
      <c r="N3639" s="6" t="s">
        <v>158</v>
      </c>
      <c r="O3639" s="6" t="s">
        <v>159</v>
      </c>
      <c r="P3639" s="19">
        <v>1</v>
      </c>
    </row>
    <row r="3640" spans="12:16" ht="15.75" customHeight="1" x14ac:dyDescent="0.3">
      <c r="L3640" s="6" t="s">
        <v>195</v>
      </c>
      <c r="M3640" s="6" t="s">
        <v>406</v>
      </c>
      <c r="N3640" s="6" t="s">
        <v>160</v>
      </c>
      <c r="O3640" s="6" t="s">
        <v>161</v>
      </c>
      <c r="P3640" s="19">
        <v>1</v>
      </c>
    </row>
    <row r="3641" spans="12:16" ht="15.75" customHeight="1" x14ac:dyDescent="0.3">
      <c r="L3641" s="6" t="s">
        <v>195</v>
      </c>
      <c r="M3641" s="6" t="s">
        <v>406</v>
      </c>
      <c r="N3641" s="6" t="s">
        <v>162</v>
      </c>
      <c r="O3641" s="6" t="s">
        <v>163</v>
      </c>
      <c r="P3641" s="19">
        <v>0</v>
      </c>
    </row>
    <row r="3642" spans="12:16" ht="15.75" customHeight="1" x14ac:dyDescent="0.3">
      <c r="L3642" s="6" t="s">
        <v>195</v>
      </c>
      <c r="M3642" s="6" t="s">
        <v>406</v>
      </c>
      <c r="N3642" s="6" t="s">
        <v>165</v>
      </c>
      <c r="O3642" s="6" t="s">
        <v>166</v>
      </c>
      <c r="P3642" s="19">
        <v>0</v>
      </c>
    </row>
    <row r="3643" spans="12:16" ht="15.75" customHeight="1" x14ac:dyDescent="0.3">
      <c r="L3643" s="6" t="s">
        <v>195</v>
      </c>
      <c r="M3643" s="6" t="s">
        <v>350</v>
      </c>
      <c r="N3643" s="6" t="s">
        <v>72</v>
      </c>
      <c r="O3643" s="6" t="s">
        <v>75</v>
      </c>
      <c r="P3643" s="19">
        <v>2</v>
      </c>
    </row>
    <row r="3644" spans="12:16" ht="15.75" customHeight="1" x14ac:dyDescent="0.3">
      <c r="L3644" s="6" t="s">
        <v>195</v>
      </c>
      <c r="M3644" s="6" t="s">
        <v>350</v>
      </c>
      <c r="N3644" s="6" t="s">
        <v>83</v>
      </c>
      <c r="O3644" s="6" t="s">
        <v>84</v>
      </c>
      <c r="P3644" s="19">
        <v>1</v>
      </c>
    </row>
    <row r="3645" spans="12:16" ht="15.75" customHeight="1" x14ac:dyDescent="0.3">
      <c r="L3645" s="6" t="s">
        <v>195</v>
      </c>
      <c r="M3645" s="6" t="s">
        <v>350</v>
      </c>
      <c r="N3645" s="6" t="s">
        <v>88</v>
      </c>
      <c r="O3645" s="6" t="s">
        <v>90</v>
      </c>
      <c r="P3645" s="17">
        <v>0.5</v>
      </c>
    </row>
    <row r="3646" spans="12:16" ht="15.75" customHeight="1" x14ac:dyDescent="0.3">
      <c r="L3646" s="6" t="s">
        <v>195</v>
      </c>
      <c r="M3646" s="6" t="s">
        <v>350</v>
      </c>
      <c r="N3646" s="6" t="s">
        <v>96</v>
      </c>
      <c r="O3646" s="6" t="s">
        <v>97</v>
      </c>
      <c r="P3646" s="19">
        <v>2</v>
      </c>
    </row>
    <row r="3647" spans="12:16" ht="15.75" customHeight="1" x14ac:dyDescent="0.3">
      <c r="L3647" s="6" t="s">
        <v>195</v>
      </c>
      <c r="M3647" s="6" t="s">
        <v>350</v>
      </c>
      <c r="N3647" s="6" t="s">
        <v>100</v>
      </c>
      <c r="O3647" s="6" t="s">
        <v>101</v>
      </c>
      <c r="P3647" s="19">
        <v>0</v>
      </c>
    </row>
    <row r="3648" spans="12:16" ht="15.75" customHeight="1" x14ac:dyDescent="0.3">
      <c r="L3648" s="6" t="s">
        <v>195</v>
      </c>
      <c r="M3648" s="6" t="s">
        <v>350</v>
      </c>
      <c r="N3648" s="6" t="s">
        <v>22</v>
      </c>
      <c r="O3648" s="6" t="s">
        <v>104</v>
      </c>
      <c r="P3648" s="17">
        <v>13.5</v>
      </c>
    </row>
    <row r="3649" spans="12:16" ht="15.75" customHeight="1" x14ac:dyDescent="0.3">
      <c r="L3649" s="6" t="s">
        <v>195</v>
      </c>
      <c r="M3649" s="6" t="s">
        <v>350</v>
      </c>
      <c r="N3649" s="6" t="s">
        <v>23</v>
      </c>
      <c r="O3649" s="6" t="s">
        <v>107</v>
      </c>
      <c r="P3649" s="19">
        <v>1566</v>
      </c>
    </row>
    <row r="3650" spans="12:16" ht="15.75" customHeight="1" x14ac:dyDescent="0.3">
      <c r="L3650" s="6" t="s">
        <v>195</v>
      </c>
      <c r="M3650" s="6" t="s">
        <v>350</v>
      </c>
      <c r="N3650" s="6" t="s">
        <v>24</v>
      </c>
      <c r="O3650" s="6" t="s">
        <v>109</v>
      </c>
      <c r="P3650" s="17">
        <v>4.4999999999999998E-2</v>
      </c>
    </row>
    <row r="3651" spans="12:16" ht="15.75" customHeight="1" x14ac:dyDescent="0.3">
      <c r="L3651" s="6" t="s">
        <v>195</v>
      </c>
      <c r="M3651" s="6" t="s">
        <v>350</v>
      </c>
      <c r="N3651" s="6" t="s">
        <v>25</v>
      </c>
      <c r="O3651" s="6" t="s">
        <v>111</v>
      </c>
      <c r="P3651" s="19">
        <v>29</v>
      </c>
    </row>
    <row r="3652" spans="12:16" ht="15.75" customHeight="1" x14ac:dyDescent="0.3">
      <c r="L3652" s="6" t="s">
        <v>195</v>
      </c>
      <c r="M3652" s="6" t="s">
        <v>350</v>
      </c>
      <c r="N3652" s="6" t="s">
        <v>26</v>
      </c>
      <c r="O3652" s="6" t="s">
        <v>113</v>
      </c>
      <c r="P3652" s="19">
        <v>16</v>
      </c>
    </row>
    <row r="3653" spans="12:16" ht="15.75" customHeight="1" x14ac:dyDescent="0.3">
      <c r="L3653" s="6" t="s">
        <v>195</v>
      </c>
      <c r="M3653" s="6" t="s">
        <v>350</v>
      </c>
      <c r="N3653" s="6" t="s">
        <v>27</v>
      </c>
      <c r="O3653" s="6" t="s">
        <v>117</v>
      </c>
      <c r="P3653" s="19">
        <v>116</v>
      </c>
    </row>
    <row r="3654" spans="12:16" ht="15.75" customHeight="1" x14ac:dyDescent="0.3">
      <c r="L3654" s="6" t="s">
        <v>195</v>
      </c>
      <c r="M3654" s="6" t="s">
        <v>350</v>
      </c>
      <c r="N3654" s="6" t="s">
        <v>29</v>
      </c>
      <c r="O3654" s="6" t="s">
        <v>125</v>
      </c>
      <c r="P3654" s="19">
        <v>19</v>
      </c>
    </row>
    <row r="3655" spans="12:16" ht="15.75" customHeight="1" x14ac:dyDescent="0.3">
      <c r="L3655" s="6" t="s">
        <v>195</v>
      </c>
      <c r="M3655" s="6" t="s">
        <v>350</v>
      </c>
      <c r="N3655" s="6" t="s">
        <v>135</v>
      </c>
      <c r="O3655" s="6" t="s">
        <v>136</v>
      </c>
      <c r="P3655" s="19">
        <v>1</v>
      </c>
    </row>
    <row r="3656" spans="12:16" ht="15.75" customHeight="1" x14ac:dyDescent="0.3">
      <c r="L3656" s="6" t="s">
        <v>195</v>
      </c>
      <c r="M3656" s="6" t="s">
        <v>350</v>
      </c>
      <c r="N3656" s="6" t="s">
        <v>138</v>
      </c>
      <c r="O3656" s="6" t="s">
        <v>139</v>
      </c>
      <c r="P3656" s="19">
        <v>1</v>
      </c>
    </row>
    <row r="3657" spans="12:16" ht="15.75" customHeight="1" x14ac:dyDescent="0.3">
      <c r="L3657" s="6" t="s">
        <v>195</v>
      </c>
      <c r="M3657" s="6" t="s">
        <v>350</v>
      </c>
      <c r="N3657" s="6" t="s">
        <v>30</v>
      </c>
      <c r="O3657" s="6" t="s">
        <v>148</v>
      </c>
      <c r="P3657" s="17">
        <v>57.502200000000002</v>
      </c>
    </row>
    <row r="3658" spans="12:16" ht="15.75" customHeight="1" x14ac:dyDescent="0.3">
      <c r="L3658" s="6" t="s">
        <v>195</v>
      </c>
      <c r="M3658" s="6" t="s">
        <v>350</v>
      </c>
      <c r="N3658" s="6" t="s">
        <v>156</v>
      </c>
      <c r="O3658" s="6" t="s">
        <v>157</v>
      </c>
      <c r="P3658" s="19">
        <v>0</v>
      </c>
    </row>
    <row r="3659" spans="12:16" ht="15.75" customHeight="1" x14ac:dyDescent="0.3">
      <c r="L3659" s="6" t="s">
        <v>195</v>
      </c>
      <c r="M3659" s="6" t="s">
        <v>350</v>
      </c>
      <c r="N3659" s="6" t="s">
        <v>158</v>
      </c>
      <c r="O3659" s="6" t="s">
        <v>159</v>
      </c>
      <c r="P3659" s="19">
        <v>3</v>
      </c>
    </row>
    <row r="3660" spans="12:16" ht="15.75" customHeight="1" x14ac:dyDescent="0.3">
      <c r="L3660" s="6" t="s">
        <v>195</v>
      </c>
      <c r="M3660" s="6" t="s">
        <v>350</v>
      </c>
      <c r="N3660" s="6" t="s">
        <v>160</v>
      </c>
      <c r="O3660" s="6" t="s">
        <v>161</v>
      </c>
      <c r="P3660" s="19">
        <v>2</v>
      </c>
    </row>
    <row r="3661" spans="12:16" ht="15.75" customHeight="1" x14ac:dyDescent="0.3">
      <c r="L3661" s="6" t="s">
        <v>195</v>
      </c>
      <c r="M3661" s="6" t="s">
        <v>350</v>
      </c>
      <c r="N3661" s="6" t="s">
        <v>162</v>
      </c>
      <c r="O3661" s="6" t="s">
        <v>163</v>
      </c>
      <c r="P3661" s="19">
        <v>1</v>
      </c>
    </row>
    <row r="3662" spans="12:16" ht="15.75" customHeight="1" x14ac:dyDescent="0.3">
      <c r="L3662" s="6" t="s">
        <v>195</v>
      </c>
      <c r="M3662" s="6" t="s">
        <v>350</v>
      </c>
      <c r="N3662" s="6" t="s">
        <v>165</v>
      </c>
      <c r="O3662" s="6" t="s">
        <v>166</v>
      </c>
      <c r="P3662" s="19">
        <v>0</v>
      </c>
    </row>
    <row r="3663" spans="12:16" ht="15.75" customHeight="1" x14ac:dyDescent="0.3">
      <c r="L3663" s="6" t="s">
        <v>195</v>
      </c>
      <c r="M3663" s="6" t="s">
        <v>409</v>
      </c>
      <c r="N3663" s="6" t="s">
        <v>72</v>
      </c>
      <c r="O3663" s="6" t="s">
        <v>75</v>
      </c>
      <c r="P3663" s="19">
        <v>0</v>
      </c>
    </row>
    <row r="3664" spans="12:16" ht="15.75" customHeight="1" x14ac:dyDescent="0.3">
      <c r="L3664" s="6" t="s">
        <v>195</v>
      </c>
      <c r="M3664" s="6" t="s">
        <v>409</v>
      </c>
      <c r="N3664" s="6" t="s">
        <v>83</v>
      </c>
      <c r="O3664" s="6" t="s">
        <v>84</v>
      </c>
      <c r="P3664" s="19">
        <v>0</v>
      </c>
    </row>
    <row r="3665" spans="12:16" ht="15.75" customHeight="1" x14ac:dyDescent="0.3">
      <c r="L3665" s="6" t="s">
        <v>195</v>
      </c>
      <c r="M3665" s="6" t="s">
        <v>409</v>
      </c>
      <c r="N3665" s="6" t="s">
        <v>88</v>
      </c>
      <c r="O3665" s="6" t="s">
        <v>90</v>
      </c>
      <c r="P3665" s="19">
        <v>0</v>
      </c>
    </row>
    <row r="3666" spans="12:16" ht="15.75" customHeight="1" x14ac:dyDescent="0.3">
      <c r="L3666" s="6" t="s">
        <v>195</v>
      </c>
      <c r="M3666" s="6" t="s">
        <v>409</v>
      </c>
      <c r="N3666" s="6" t="s">
        <v>96</v>
      </c>
      <c r="O3666" s="6" t="s">
        <v>97</v>
      </c>
      <c r="P3666" s="19">
        <v>0</v>
      </c>
    </row>
    <row r="3667" spans="12:16" ht="15.75" customHeight="1" x14ac:dyDescent="0.3">
      <c r="L3667" s="6" t="s">
        <v>195</v>
      </c>
      <c r="M3667" s="6" t="s">
        <v>409</v>
      </c>
      <c r="N3667" s="6" t="s">
        <v>100</v>
      </c>
      <c r="O3667" s="6" t="s">
        <v>101</v>
      </c>
      <c r="P3667" s="19">
        <v>0</v>
      </c>
    </row>
    <row r="3668" spans="12:16" ht="15.75" customHeight="1" x14ac:dyDescent="0.3">
      <c r="L3668" s="6" t="s">
        <v>195</v>
      </c>
      <c r="M3668" s="6" t="s">
        <v>409</v>
      </c>
      <c r="N3668" s="6" t="s">
        <v>22</v>
      </c>
      <c r="O3668" s="6" t="s">
        <v>104</v>
      </c>
      <c r="P3668" s="19">
        <v>1</v>
      </c>
    </row>
    <row r="3669" spans="12:16" ht="15.75" customHeight="1" x14ac:dyDescent="0.3">
      <c r="L3669" s="6" t="s">
        <v>195</v>
      </c>
      <c r="M3669" s="6" t="s">
        <v>409</v>
      </c>
      <c r="N3669" s="6" t="s">
        <v>23</v>
      </c>
      <c r="O3669" s="6" t="s">
        <v>107</v>
      </c>
      <c r="P3669" s="17">
        <v>4.7549000000000001</v>
      </c>
    </row>
    <row r="3670" spans="12:16" ht="15.75" customHeight="1" x14ac:dyDescent="0.3">
      <c r="L3670" s="6" t="s">
        <v>195</v>
      </c>
      <c r="M3670" s="6" t="s">
        <v>409</v>
      </c>
      <c r="N3670" s="6" t="s">
        <v>24</v>
      </c>
      <c r="O3670" s="6" t="s">
        <v>109</v>
      </c>
      <c r="P3670" s="17">
        <v>8.9999999999999998E-4</v>
      </c>
    </row>
    <row r="3671" spans="12:16" ht="15.75" customHeight="1" x14ac:dyDescent="0.3">
      <c r="L3671" s="6" t="s">
        <v>195</v>
      </c>
      <c r="M3671" s="6" t="s">
        <v>409</v>
      </c>
      <c r="N3671" s="6" t="s">
        <v>25</v>
      </c>
      <c r="O3671" s="6" t="s">
        <v>111</v>
      </c>
      <c r="P3671" s="19">
        <v>3</v>
      </c>
    </row>
    <row r="3672" spans="12:16" ht="15.75" customHeight="1" x14ac:dyDescent="0.3">
      <c r="L3672" s="6" t="s">
        <v>195</v>
      </c>
      <c r="M3672" s="6" t="s">
        <v>409</v>
      </c>
      <c r="N3672" s="6" t="s">
        <v>26</v>
      </c>
      <c r="O3672" s="6" t="s">
        <v>113</v>
      </c>
      <c r="P3672" s="19">
        <v>3</v>
      </c>
    </row>
    <row r="3673" spans="12:16" ht="15.75" customHeight="1" x14ac:dyDescent="0.3">
      <c r="L3673" s="6" t="s">
        <v>195</v>
      </c>
      <c r="M3673" s="6" t="s">
        <v>409</v>
      </c>
      <c r="N3673" s="6" t="s">
        <v>27</v>
      </c>
      <c r="O3673" s="6" t="s">
        <v>117</v>
      </c>
      <c r="P3673" s="17">
        <v>4.7549000000000001</v>
      </c>
    </row>
    <row r="3674" spans="12:16" ht="15.75" customHeight="1" x14ac:dyDescent="0.3">
      <c r="L3674" s="6" t="s">
        <v>195</v>
      </c>
      <c r="M3674" s="6" t="s">
        <v>409</v>
      </c>
      <c r="N3674" s="6" t="s">
        <v>29</v>
      </c>
      <c r="O3674" s="6" t="s">
        <v>125</v>
      </c>
      <c r="P3674" s="19">
        <v>15</v>
      </c>
    </row>
    <row r="3675" spans="12:16" ht="15.75" customHeight="1" x14ac:dyDescent="0.3">
      <c r="L3675" s="6" t="s">
        <v>195</v>
      </c>
      <c r="M3675" s="6" t="s">
        <v>409</v>
      </c>
      <c r="N3675" s="6" t="s">
        <v>135</v>
      </c>
      <c r="O3675" s="6" t="s">
        <v>136</v>
      </c>
      <c r="P3675" s="19">
        <v>1</v>
      </c>
    </row>
    <row r="3676" spans="12:16" ht="15.75" customHeight="1" x14ac:dyDescent="0.3">
      <c r="L3676" s="6" t="s">
        <v>195</v>
      </c>
      <c r="M3676" s="6" t="s">
        <v>409</v>
      </c>
      <c r="N3676" s="6" t="s">
        <v>138</v>
      </c>
      <c r="O3676" s="6" t="s">
        <v>139</v>
      </c>
      <c r="P3676" s="19">
        <v>0</v>
      </c>
    </row>
    <row r="3677" spans="12:16" ht="15.75" customHeight="1" x14ac:dyDescent="0.3">
      <c r="L3677" s="6" t="s">
        <v>195</v>
      </c>
      <c r="M3677" s="6" t="s">
        <v>409</v>
      </c>
      <c r="N3677" s="6" t="s">
        <v>30</v>
      </c>
      <c r="O3677" s="6" t="s">
        <v>148</v>
      </c>
      <c r="P3677" s="17">
        <v>70.129199999999997</v>
      </c>
    </row>
    <row r="3678" spans="12:16" ht="15.75" customHeight="1" x14ac:dyDescent="0.3">
      <c r="L3678" s="6" t="s">
        <v>195</v>
      </c>
      <c r="M3678" s="6" t="s">
        <v>409</v>
      </c>
      <c r="N3678" s="6" t="s">
        <v>156</v>
      </c>
      <c r="O3678" s="6" t="s">
        <v>157</v>
      </c>
      <c r="P3678" s="19">
        <v>0</v>
      </c>
    </row>
    <row r="3679" spans="12:16" ht="15.75" customHeight="1" x14ac:dyDescent="0.3">
      <c r="L3679" s="6" t="s">
        <v>195</v>
      </c>
      <c r="M3679" s="6" t="s">
        <v>409</v>
      </c>
      <c r="N3679" s="6" t="s">
        <v>158</v>
      </c>
      <c r="O3679" s="6" t="s">
        <v>159</v>
      </c>
      <c r="P3679" s="19">
        <v>1</v>
      </c>
    </row>
    <row r="3680" spans="12:16" ht="15.75" customHeight="1" x14ac:dyDescent="0.3">
      <c r="L3680" s="6" t="s">
        <v>195</v>
      </c>
      <c r="M3680" s="6" t="s">
        <v>409</v>
      </c>
      <c r="N3680" s="6" t="s">
        <v>160</v>
      </c>
      <c r="O3680" s="6" t="s">
        <v>161</v>
      </c>
      <c r="P3680" s="19">
        <v>1</v>
      </c>
    </row>
    <row r="3681" spans="12:16" ht="15.75" customHeight="1" x14ac:dyDescent="0.3">
      <c r="L3681" s="6" t="s">
        <v>195</v>
      </c>
      <c r="M3681" s="6" t="s">
        <v>409</v>
      </c>
      <c r="N3681" s="6" t="s">
        <v>162</v>
      </c>
      <c r="O3681" s="6" t="s">
        <v>163</v>
      </c>
      <c r="P3681" s="19">
        <v>0</v>
      </c>
    </row>
    <row r="3682" spans="12:16" ht="15.75" customHeight="1" x14ac:dyDescent="0.3">
      <c r="L3682" s="6" t="s">
        <v>195</v>
      </c>
      <c r="M3682" s="6" t="s">
        <v>409</v>
      </c>
      <c r="N3682" s="6" t="s">
        <v>165</v>
      </c>
      <c r="O3682" s="6" t="s">
        <v>166</v>
      </c>
      <c r="P3682" s="19">
        <v>0</v>
      </c>
    </row>
    <row r="3683" spans="12:16" ht="15.75" customHeight="1" x14ac:dyDescent="0.3">
      <c r="L3683" s="6" t="s">
        <v>195</v>
      </c>
      <c r="M3683" s="6" t="s">
        <v>352</v>
      </c>
      <c r="N3683" s="6" t="s">
        <v>72</v>
      </c>
      <c r="O3683" s="6" t="s">
        <v>75</v>
      </c>
      <c r="P3683" s="19">
        <v>2</v>
      </c>
    </row>
    <row r="3684" spans="12:16" ht="15.75" customHeight="1" x14ac:dyDescent="0.3">
      <c r="L3684" s="6" t="s">
        <v>195</v>
      </c>
      <c r="M3684" s="6" t="s">
        <v>352</v>
      </c>
      <c r="N3684" s="6" t="s">
        <v>83</v>
      </c>
      <c r="O3684" s="6" t="s">
        <v>84</v>
      </c>
      <c r="P3684" s="19">
        <v>1</v>
      </c>
    </row>
    <row r="3685" spans="12:16" ht="15.75" customHeight="1" x14ac:dyDescent="0.3">
      <c r="L3685" s="6" t="s">
        <v>195</v>
      </c>
      <c r="M3685" s="6" t="s">
        <v>352</v>
      </c>
      <c r="N3685" s="6" t="s">
        <v>88</v>
      </c>
      <c r="O3685" s="6" t="s">
        <v>90</v>
      </c>
      <c r="P3685" s="17">
        <v>0.5</v>
      </c>
    </row>
    <row r="3686" spans="12:16" ht="15.75" customHeight="1" x14ac:dyDescent="0.3">
      <c r="L3686" s="6" t="s">
        <v>195</v>
      </c>
      <c r="M3686" s="6" t="s">
        <v>352</v>
      </c>
      <c r="N3686" s="6" t="s">
        <v>96</v>
      </c>
      <c r="O3686" s="6" t="s">
        <v>97</v>
      </c>
      <c r="P3686" s="19">
        <v>2</v>
      </c>
    </row>
    <row r="3687" spans="12:16" ht="15.75" customHeight="1" x14ac:dyDescent="0.3">
      <c r="L3687" s="6" t="s">
        <v>195</v>
      </c>
      <c r="M3687" s="6" t="s">
        <v>352</v>
      </c>
      <c r="N3687" s="6" t="s">
        <v>100</v>
      </c>
      <c r="O3687" s="6" t="s">
        <v>101</v>
      </c>
      <c r="P3687" s="19">
        <v>0</v>
      </c>
    </row>
    <row r="3688" spans="12:16" ht="15.75" customHeight="1" x14ac:dyDescent="0.3">
      <c r="L3688" s="6" t="s">
        <v>195</v>
      </c>
      <c r="M3688" s="6" t="s">
        <v>352</v>
      </c>
      <c r="N3688" s="6" t="s">
        <v>22</v>
      </c>
      <c r="O3688" s="6" t="s">
        <v>104</v>
      </c>
      <c r="P3688" s="17">
        <v>12.375</v>
      </c>
    </row>
    <row r="3689" spans="12:16" ht="15.75" customHeight="1" x14ac:dyDescent="0.3">
      <c r="L3689" s="6" t="s">
        <v>195</v>
      </c>
      <c r="M3689" s="6" t="s">
        <v>352</v>
      </c>
      <c r="N3689" s="6" t="s">
        <v>23</v>
      </c>
      <c r="O3689" s="6" t="s">
        <v>107</v>
      </c>
      <c r="P3689" s="17">
        <v>1402.0853999999999</v>
      </c>
    </row>
    <row r="3690" spans="12:16" ht="15.75" customHeight="1" x14ac:dyDescent="0.3">
      <c r="L3690" s="6" t="s">
        <v>195</v>
      </c>
      <c r="M3690" s="6" t="s">
        <v>352</v>
      </c>
      <c r="N3690" s="6" t="s">
        <v>24</v>
      </c>
      <c r="O3690" s="6" t="s">
        <v>109</v>
      </c>
      <c r="P3690" s="17">
        <v>4.1799999999999997E-2</v>
      </c>
    </row>
    <row r="3691" spans="12:16" ht="15.75" customHeight="1" x14ac:dyDescent="0.3">
      <c r="L3691" s="6" t="s">
        <v>195</v>
      </c>
      <c r="M3691" s="6" t="s">
        <v>352</v>
      </c>
      <c r="N3691" s="6" t="s">
        <v>25</v>
      </c>
      <c r="O3691" s="6" t="s">
        <v>111</v>
      </c>
      <c r="P3691" s="19">
        <v>29</v>
      </c>
    </row>
    <row r="3692" spans="12:16" ht="15.75" customHeight="1" x14ac:dyDescent="0.3">
      <c r="L3692" s="6" t="s">
        <v>195</v>
      </c>
      <c r="M3692" s="6" t="s">
        <v>352</v>
      </c>
      <c r="N3692" s="6" t="s">
        <v>26</v>
      </c>
      <c r="O3692" s="6" t="s">
        <v>113</v>
      </c>
      <c r="P3692" s="19">
        <v>15</v>
      </c>
    </row>
    <row r="3693" spans="12:16" ht="15.75" customHeight="1" x14ac:dyDescent="0.3">
      <c r="L3693" s="6" t="s">
        <v>195</v>
      </c>
      <c r="M3693" s="6" t="s">
        <v>352</v>
      </c>
      <c r="N3693" s="6" t="s">
        <v>27</v>
      </c>
      <c r="O3693" s="6" t="s">
        <v>117</v>
      </c>
      <c r="P3693" s="17">
        <v>113.2998</v>
      </c>
    </row>
    <row r="3694" spans="12:16" ht="15.75" customHeight="1" x14ac:dyDescent="0.3">
      <c r="L3694" s="6" t="s">
        <v>195</v>
      </c>
      <c r="M3694" s="6" t="s">
        <v>352</v>
      </c>
      <c r="N3694" s="6" t="s">
        <v>29</v>
      </c>
      <c r="O3694" s="6" t="s">
        <v>125</v>
      </c>
      <c r="P3694" s="19">
        <v>19</v>
      </c>
    </row>
    <row r="3695" spans="12:16" ht="15.75" customHeight="1" x14ac:dyDescent="0.3">
      <c r="L3695" s="6" t="s">
        <v>195</v>
      </c>
      <c r="M3695" s="6" t="s">
        <v>352</v>
      </c>
      <c r="N3695" s="6" t="s">
        <v>135</v>
      </c>
      <c r="O3695" s="6" t="s">
        <v>136</v>
      </c>
      <c r="P3695" s="19">
        <v>1</v>
      </c>
    </row>
    <row r="3696" spans="12:16" ht="15.75" customHeight="1" x14ac:dyDescent="0.3">
      <c r="L3696" s="6" t="s">
        <v>195</v>
      </c>
      <c r="M3696" s="6" t="s">
        <v>352</v>
      </c>
      <c r="N3696" s="6" t="s">
        <v>138</v>
      </c>
      <c r="O3696" s="6" t="s">
        <v>139</v>
      </c>
      <c r="P3696" s="19">
        <v>1</v>
      </c>
    </row>
    <row r="3697" spans="12:16" ht="15.75" customHeight="1" x14ac:dyDescent="0.3">
      <c r="L3697" s="6" t="s">
        <v>195</v>
      </c>
      <c r="M3697" s="6" t="s">
        <v>352</v>
      </c>
      <c r="N3697" s="6" t="s">
        <v>30</v>
      </c>
      <c r="O3697" s="6" t="s">
        <v>148</v>
      </c>
      <c r="P3697" s="17">
        <v>57.581899999999997</v>
      </c>
    </row>
    <row r="3698" spans="12:16" ht="15.75" customHeight="1" x14ac:dyDescent="0.3">
      <c r="L3698" s="6" t="s">
        <v>195</v>
      </c>
      <c r="M3698" s="6" t="s">
        <v>352</v>
      </c>
      <c r="N3698" s="6" t="s">
        <v>156</v>
      </c>
      <c r="O3698" s="6" t="s">
        <v>157</v>
      </c>
      <c r="P3698" s="19">
        <v>0</v>
      </c>
    </row>
    <row r="3699" spans="12:16" ht="15.75" customHeight="1" x14ac:dyDescent="0.3">
      <c r="L3699" s="6" t="s">
        <v>195</v>
      </c>
      <c r="M3699" s="6" t="s">
        <v>352</v>
      </c>
      <c r="N3699" s="6" t="s">
        <v>158</v>
      </c>
      <c r="O3699" s="6" t="s">
        <v>159</v>
      </c>
      <c r="P3699" s="19">
        <v>3</v>
      </c>
    </row>
    <row r="3700" spans="12:16" ht="15.75" customHeight="1" x14ac:dyDescent="0.3">
      <c r="L3700" s="6" t="s">
        <v>195</v>
      </c>
      <c r="M3700" s="6" t="s">
        <v>352</v>
      </c>
      <c r="N3700" s="6" t="s">
        <v>160</v>
      </c>
      <c r="O3700" s="6" t="s">
        <v>161</v>
      </c>
      <c r="P3700" s="19">
        <v>2</v>
      </c>
    </row>
    <row r="3701" spans="12:16" ht="15.75" customHeight="1" x14ac:dyDescent="0.3">
      <c r="L3701" s="6" t="s">
        <v>195</v>
      </c>
      <c r="M3701" s="6" t="s">
        <v>352</v>
      </c>
      <c r="N3701" s="6" t="s">
        <v>162</v>
      </c>
      <c r="O3701" s="6" t="s">
        <v>163</v>
      </c>
      <c r="P3701" s="19">
        <v>1</v>
      </c>
    </row>
    <row r="3702" spans="12:16" ht="15.75" customHeight="1" x14ac:dyDescent="0.3">
      <c r="L3702" s="6" t="s">
        <v>195</v>
      </c>
      <c r="M3702" s="6" t="s">
        <v>352</v>
      </c>
      <c r="N3702" s="6" t="s">
        <v>165</v>
      </c>
      <c r="O3702" s="6" t="s">
        <v>166</v>
      </c>
      <c r="P3702" s="19">
        <v>0</v>
      </c>
    </row>
    <row r="3703" spans="12:16" ht="15.75" customHeight="1" x14ac:dyDescent="0.3">
      <c r="L3703" s="6" t="s">
        <v>195</v>
      </c>
      <c r="M3703" s="6" t="s">
        <v>411</v>
      </c>
      <c r="N3703" s="6" t="s">
        <v>72</v>
      </c>
      <c r="O3703" s="6" t="s">
        <v>75</v>
      </c>
      <c r="P3703" s="19">
        <v>0</v>
      </c>
    </row>
    <row r="3704" spans="12:16" ht="15.75" customHeight="1" x14ac:dyDescent="0.3">
      <c r="L3704" s="6" t="s">
        <v>195</v>
      </c>
      <c r="M3704" s="6" t="s">
        <v>411</v>
      </c>
      <c r="N3704" s="6" t="s">
        <v>83</v>
      </c>
      <c r="O3704" s="6" t="s">
        <v>84</v>
      </c>
      <c r="P3704" s="19">
        <v>0</v>
      </c>
    </row>
    <row r="3705" spans="12:16" ht="15.75" customHeight="1" x14ac:dyDescent="0.3">
      <c r="L3705" s="6" t="s">
        <v>195</v>
      </c>
      <c r="M3705" s="6" t="s">
        <v>411</v>
      </c>
      <c r="N3705" s="6" t="s">
        <v>88</v>
      </c>
      <c r="O3705" s="6" t="s">
        <v>90</v>
      </c>
      <c r="P3705" s="19">
        <v>0</v>
      </c>
    </row>
    <row r="3706" spans="12:16" ht="15.75" customHeight="1" x14ac:dyDescent="0.3">
      <c r="L3706" s="6" t="s">
        <v>195</v>
      </c>
      <c r="M3706" s="6" t="s">
        <v>411</v>
      </c>
      <c r="N3706" s="6" t="s">
        <v>96</v>
      </c>
      <c r="O3706" s="6" t="s">
        <v>97</v>
      </c>
      <c r="P3706" s="19">
        <v>0</v>
      </c>
    </row>
    <row r="3707" spans="12:16" ht="15.75" customHeight="1" x14ac:dyDescent="0.3">
      <c r="L3707" s="6" t="s">
        <v>195</v>
      </c>
      <c r="M3707" s="6" t="s">
        <v>411</v>
      </c>
      <c r="N3707" s="6" t="s">
        <v>100</v>
      </c>
      <c r="O3707" s="6" t="s">
        <v>101</v>
      </c>
      <c r="P3707" s="19">
        <v>0</v>
      </c>
    </row>
    <row r="3708" spans="12:16" ht="15.75" customHeight="1" x14ac:dyDescent="0.3">
      <c r="L3708" s="6" t="s">
        <v>195</v>
      </c>
      <c r="M3708" s="6" t="s">
        <v>411</v>
      </c>
      <c r="N3708" s="6" t="s">
        <v>22</v>
      </c>
      <c r="O3708" s="6" t="s">
        <v>104</v>
      </c>
      <c r="P3708" s="19">
        <v>1</v>
      </c>
    </row>
    <row r="3709" spans="12:16" ht="15.75" customHeight="1" x14ac:dyDescent="0.3">
      <c r="L3709" s="6" t="s">
        <v>195</v>
      </c>
      <c r="M3709" s="6" t="s">
        <v>411</v>
      </c>
      <c r="N3709" s="6" t="s">
        <v>23</v>
      </c>
      <c r="O3709" s="6" t="s">
        <v>107</v>
      </c>
      <c r="P3709" s="17">
        <v>4.7549000000000001</v>
      </c>
    </row>
    <row r="3710" spans="12:16" ht="15.75" customHeight="1" x14ac:dyDescent="0.3">
      <c r="L3710" s="6" t="s">
        <v>195</v>
      </c>
      <c r="M3710" s="6" t="s">
        <v>411</v>
      </c>
      <c r="N3710" s="6" t="s">
        <v>24</v>
      </c>
      <c r="O3710" s="6" t="s">
        <v>109</v>
      </c>
      <c r="P3710" s="17">
        <v>8.9999999999999998E-4</v>
      </c>
    </row>
    <row r="3711" spans="12:16" ht="15.75" customHeight="1" x14ac:dyDescent="0.3">
      <c r="L3711" s="6" t="s">
        <v>195</v>
      </c>
      <c r="M3711" s="6" t="s">
        <v>411</v>
      </c>
      <c r="N3711" s="6" t="s">
        <v>25</v>
      </c>
      <c r="O3711" s="6" t="s">
        <v>111</v>
      </c>
      <c r="P3711" s="19">
        <v>3</v>
      </c>
    </row>
    <row r="3712" spans="12:16" ht="15.75" customHeight="1" x14ac:dyDescent="0.3">
      <c r="L3712" s="6" t="s">
        <v>195</v>
      </c>
      <c r="M3712" s="6" t="s">
        <v>411</v>
      </c>
      <c r="N3712" s="6" t="s">
        <v>26</v>
      </c>
      <c r="O3712" s="6" t="s">
        <v>113</v>
      </c>
      <c r="P3712" s="19">
        <v>3</v>
      </c>
    </row>
    <row r="3713" spans="12:16" ht="15.75" customHeight="1" x14ac:dyDescent="0.3">
      <c r="L3713" s="6" t="s">
        <v>195</v>
      </c>
      <c r="M3713" s="6" t="s">
        <v>411</v>
      </c>
      <c r="N3713" s="6" t="s">
        <v>27</v>
      </c>
      <c r="O3713" s="6" t="s">
        <v>117</v>
      </c>
      <c r="P3713" s="17">
        <v>4.7549000000000001</v>
      </c>
    </row>
    <row r="3714" spans="12:16" ht="15.75" customHeight="1" x14ac:dyDescent="0.3">
      <c r="L3714" s="6" t="s">
        <v>195</v>
      </c>
      <c r="M3714" s="6" t="s">
        <v>411</v>
      </c>
      <c r="N3714" s="6" t="s">
        <v>29</v>
      </c>
      <c r="O3714" s="6" t="s">
        <v>125</v>
      </c>
      <c r="P3714" s="19">
        <v>15</v>
      </c>
    </row>
    <row r="3715" spans="12:16" ht="15.75" customHeight="1" x14ac:dyDescent="0.3">
      <c r="L3715" s="6" t="s">
        <v>195</v>
      </c>
      <c r="M3715" s="6" t="s">
        <v>411</v>
      </c>
      <c r="N3715" s="6" t="s">
        <v>135</v>
      </c>
      <c r="O3715" s="6" t="s">
        <v>136</v>
      </c>
      <c r="P3715" s="19">
        <v>1</v>
      </c>
    </row>
    <row r="3716" spans="12:16" ht="15.75" customHeight="1" x14ac:dyDescent="0.3">
      <c r="L3716" s="6" t="s">
        <v>195</v>
      </c>
      <c r="M3716" s="6" t="s">
        <v>411</v>
      </c>
      <c r="N3716" s="6" t="s">
        <v>138</v>
      </c>
      <c r="O3716" s="6" t="s">
        <v>139</v>
      </c>
      <c r="P3716" s="19">
        <v>0</v>
      </c>
    </row>
    <row r="3717" spans="12:16" ht="15.75" customHeight="1" x14ac:dyDescent="0.3">
      <c r="L3717" s="6" t="s">
        <v>195</v>
      </c>
      <c r="M3717" s="6" t="s">
        <v>411</v>
      </c>
      <c r="N3717" s="6" t="s">
        <v>30</v>
      </c>
      <c r="O3717" s="6" t="s">
        <v>148</v>
      </c>
      <c r="P3717" s="17">
        <v>70.129199999999997</v>
      </c>
    </row>
    <row r="3718" spans="12:16" ht="15.75" customHeight="1" x14ac:dyDescent="0.3">
      <c r="L3718" s="6" t="s">
        <v>195</v>
      </c>
      <c r="M3718" s="6" t="s">
        <v>411</v>
      </c>
      <c r="N3718" s="6" t="s">
        <v>156</v>
      </c>
      <c r="O3718" s="6" t="s">
        <v>157</v>
      </c>
      <c r="P3718" s="19">
        <v>0</v>
      </c>
    </row>
    <row r="3719" spans="12:16" ht="15.75" customHeight="1" x14ac:dyDescent="0.3">
      <c r="L3719" s="6" t="s">
        <v>195</v>
      </c>
      <c r="M3719" s="6" t="s">
        <v>411</v>
      </c>
      <c r="N3719" s="6" t="s">
        <v>158</v>
      </c>
      <c r="O3719" s="6" t="s">
        <v>159</v>
      </c>
      <c r="P3719" s="19">
        <v>1</v>
      </c>
    </row>
    <row r="3720" spans="12:16" ht="15.75" customHeight="1" x14ac:dyDescent="0.3">
      <c r="L3720" s="6" t="s">
        <v>195</v>
      </c>
      <c r="M3720" s="6" t="s">
        <v>411</v>
      </c>
      <c r="N3720" s="6" t="s">
        <v>160</v>
      </c>
      <c r="O3720" s="6" t="s">
        <v>161</v>
      </c>
      <c r="P3720" s="19">
        <v>1</v>
      </c>
    </row>
    <row r="3721" spans="12:16" ht="15.75" customHeight="1" x14ac:dyDescent="0.3">
      <c r="L3721" s="6" t="s">
        <v>195</v>
      </c>
      <c r="M3721" s="6" t="s">
        <v>411</v>
      </c>
      <c r="N3721" s="6" t="s">
        <v>162</v>
      </c>
      <c r="O3721" s="6" t="s">
        <v>163</v>
      </c>
      <c r="P3721" s="19">
        <v>0</v>
      </c>
    </row>
    <row r="3722" spans="12:16" ht="15.75" customHeight="1" x14ac:dyDescent="0.3">
      <c r="L3722" s="6" t="s">
        <v>195</v>
      </c>
      <c r="M3722" s="6" t="s">
        <v>411</v>
      </c>
      <c r="N3722" s="6" t="s">
        <v>165</v>
      </c>
      <c r="O3722" s="6" t="s">
        <v>166</v>
      </c>
      <c r="P3722" s="19">
        <v>0</v>
      </c>
    </row>
    <row r="3723" spans="12:16" ht="15.75" customHeight="1" x14ac:dyDescent="0.3">
      <c r="L3723" s="6" t="s">
        <v>195</v>
      </c>
      <c r="M3723" s="6" t="s">
        <v>442</v>
      </c>
      <c r="N3723" s="6" t="s">
        <v>72</v>
      </c>
      <c r="O3723" s="6" t="s">
        <v>75</v>
      </c>
      <c r="P3723" s="19">
        <v>0</v>
      </c>
    </row>
    <row r="3724" spans="12:16" ht="15.75" customHeight="1" x14ac:dyDescent="0.3">
      <c r="L3724" s="6" t="s">
        <v>195</v>
      </c>
      <c r="M3724" s="6" t="s">
        <v>442</v>
      </c>
      <c r="N3724" s="6" t="s">
        <v>83</v>
      </c>
      <c r="O3724" s="6" t="s">
        <v>84</v>
      </c>
      <c r="P3724" s="19">
        <v>0</v>
      </c>
    </row>
    <row r="3725" spans="12:16" ht="15.75" customHeight="1" x14ac:dyDescent="0.3">
      <c r="L3725" s="6" t="s">
        <v>195</v>
      </c>
      <c r="M3725" s="6" t="s">
        <v>442</v>
      </c>
      <c r="N3725" s="6" t="s">
        <v>88</v>
      </c>
      <c r="O3725" s="6" t="s">
        <v>90</v>
      </c>
      <c r="P3725" s="19">
        <v>0</v>
      </c>
    </row>
    <row r="3726" spans="12:16" ht="15.75" customHeight="1" x14ac:dyDescent="0.3">
      <c r="L3726" s="6" t="s">
        <v>195</v>
      </c>
      <c r="M3726" s="6" t="s">
        <v>442</v>
      </c>
      <c r="N3726" s="6" t="s">
        <v>96</v>
      </c>
      <c r="O3726" s="6" t="s">
        <v>97</v>
      </c>
      <c r="P3726" s="19">
        <v>0</v>
      </c>
    </row>
    <row r="3727" spans="12:16" ht="15.75" customHeight="1" x14ac:dyDescent="0.3">
      <c r="L3727" s="6" t="s">
        <v>195</v>
      </c>
      <c r="M3727" s="6" t="s">
        <v>442</v>
      </c>
      <c r="N3727" s="6" t="s">
        <v>100</v>
      </c>
      <c r="O3727" s="6" t="s">
        <v>101</v>
      </c>
      <c r="P3727" s="19">
        <v>0</v>
      </c>
    </row>
    <row r="3728" spans="12:16" ht="15.75" customHeight="1" x14ac:dyDescent="0.3">
      <c r="L3728" s="6" t="s">
        <v>195</v>
      </c>
      <c r="M3728" s="6" t="s">
        <v>442</v>
      </c>
      <c r="N3728" s="6" t="s">
        <v>22</v>
      </c>
      <c r="O3728" s="6" t="s">
        <v>104</v>
      </c>
      <c r="P3728" s="19">
        <v>1</v>
      </c>
    </row>
    <row r="3729" spans="12:16" ht="15.75" customHeight="1" x14ac:dyDescent="0.3">
      <c r="L3729" s="6" t="s">
        <v>195</v>
      </c>
      <c r="M3729" s="6" t="s">
        <v>442</v>
      </c>
      <c r="N3729" s="6" t="s">
        <v>23</v>
      </c>
      <c r="O3729" s="6" t="s">
        <v>107</v>
      </c>
      <c r="P3729" s="17">
        <v>4.7549000000000001</v>
      </c>
    </row>
    <row r="3730" spans="12:16" ht="15.75" customHeight="1" x14ac:dyDescent="0.3">
      <c r="L3730" s="6" t="s">
        <v>195</v>
      </c>
      <c r="M3730" s="6" t="s">
        <v>442</v>
      </c>
      <c r="N3730" s="6" t="s">
        <v>24</v>
      </c>
      <c r="O3730" s="6" t="s">
        <v>109</v>
      </c>
      <c r="P3730" s="17">
        <v>8.9999999999999998E-4</v>
      </c>
    </row>
    <row r="3731" spans="12:16" ht="15.75" customHeight="1" x14ac:dyDescent="0.3">
      <c r="L3731" s="6" t="s">
        <v>195</v>
      </c>
      <c r="M3731" s="6" t="s">
        <v>442</v>
      </c>
      <c r="N3731" s="6" t="s">
        <v>25</v>
      </c>
      <c r="O3731" s="6" t="s">
        <v>111</v>
      </c>
      <c r="P3731" s="19">
        <v>3</v>
      </c>
    </row>
    <row r="3732" spans="12:16" ht="15.75" customHeight="1" x14ac:dyDescent="0.3">
      <c r="L3732" s="6" t="s">
        <v>195</v>
      </c>
      <c r="M3732" s="6" t="s">
        <v>442</v>
      </c>
      <c r="N3732" s="6" t="s">
        <v>26</v>
      </c>
      <c r="O3732" s="6" t="s">
        <v>113</v>
      </c>
      <c r="P3732" s="19">
        <v>3</v>
      </c>
    </row>
    <row r="3733" spans="12:16" ht="15.75" customHeight="1" x14ac:dyDescent="0.3">
      <c r="L3733" s="6" t="s">
        <v>195</v>
      </c>
      <c r="M3733" s="6" t="s">
        <v>442</v>
      </c>
      <c r="N3733" s="6" t="s">
        <v>27</v>
      </c>
      <c r="O3733" s="6" t="s">
        <v>117</v>
      </c>
      <c r="P3733" s="17">
        <v>4.7549000000000001</v>
      </c>
    </row>
    <row r="3734" spans="12:16" ht="15.75" customHeight="1" x14ac:dyDescent="0.3">
      <c r="L3734" s="6" t="s">
        <v>195</v>
      </c>
      <c r="M3734" s="6" t="s">
        <v>442</v>
      </c>
      <c r="N3734" s="6" t="s">
        <v>29</v>
      </c>
      <c r="O3734" s="6" t="s">
        <v>125</v>
      </c>
      <c r="P3734" s="19">
        <v>9</v>
      </c>
    </row>
    <row r="3735" spans="12:16" ht="15.75" customHeight="1" x14ac:dyDescent="0.3">
      <c r="L3735" s="6" t="s">
        <v>195</v>
      </c>
      <c r="M3735" s="6" t="s">
        <v>442</v>
      </c>
      <c r="N3735" s="6" t="s">
        <v>135</v>
      </c>
      <c r="O3735" s="6" t="s">
        <v>136</v>
      </c>
      <c r="P3735" s="19">
        <v>1</v>
      </c>
    </row>
    <row r="3736" spans="12:16" ht="15.75" customHeight="1" x14ac:dyDescent="0.3">
      <c r="L3736" s="6" t="s">
        <v>195</v>
      </c>
      <c r="M3736" s="6" t="s">
        <v>442</v>
      </c>
      <c r="N3736" s="6" t="s">
        <v>138</v>
      </c>
      <c r="O3736" s="6" t="s">
        <v>139</v>
      </c>
      <c r="P3736" s="19">
        <v>0</v>
      </c>
    </row>
    <row r="3737" spans="12:16" ht="15.75" customHeight="1" x14ac:dyDescent="0.3">
      <c r="L3737" s="6" t="s">
        <v>195</v>
      </c>
      <c r="M3737" s="6" t="s">
        <v>442</v>
      </c>
      <c r="N3737" s="6" t="s">
        <v>30</v>
      </c>
      <c r="O3737" s="6" t="s">
        <v>148</v>
      </c>
      <c r="P3737" s="17">
        <v>74.968599999999995</v>
      </c>
    </row>
    <row r="3738" spans="12:16" ht="15.75" customHeight="1" x14ac:dyDescent="0.3">
      <c r="L3738" s="6" t="s">
        <v>195</v>
      </c>
      <c r="M3738" s="6" t="s">
        <v>442</v>
      </c>
      <c r="N3738" s="6" t="s">
        <v>156</v>
      </c>
      <c r="O3738" s="6" t="s">
        <v>157</v>
      </c>
      <c r="P3738" s="19">
        <v>0</v>
      </c>
    </row>
    <row r="3739" spans="12:16" ht="15.75" customHeight="1" x14ac:dyDescent="0.3">
      <c r="L3739" s="6" t="s">
        <v>195</v>
      </c>
      <c r="M3739" s="6" t="s">
        <v>442</v>
      </c>
      <c r="N3739" s="6" t="s">
        <v>158</v>
      </c>
      <c r="O3739" s="6" t="s">
        <v>159</v>
      </c>
      <c r="P3739" s="19">
        <v>1</v>
      </c>
    </row>
    <row r="3740" spans="12:16" ht="15.75" customHeight="1" x14ac:dyDescent="0.3">
      <c r="L3740" s="6" t="s">
        <v>195</v>
      </c>
      <c r="M3740" s="6" t="s">
        <v>442</v>
      </c>
      <c r="N3740" s="6" t="s">
        <v>160</v>
      </c>
      <c r="O3740" s="6" t="s">
        <v>161</v>
      </c>
      <c r="P3740" s="19">
        <v>1</v>
      </c>
    </row>
    <row r="3741" spans="12:16" ht="15.75" customHeight="1" x14ac:dyDescent="0.3">
      <c r="L3741" s="6" t="s">
        <v>195</v>
      </c>
      <c r="M3741" s="6" t="s">
        <v>442</v>
      </c>
      <c r="N3741" s="6" t="s">
        <v>162</v>
      </c>
      <c r="O3741" s="6" t="s">
        <v>163</v>
      </c>
      <c r="P3741" s="19">
        <v>0</v>
      </c>
    </row>
    <row r="3742" spans="12:16" ht="15.75" customHeight="1" x14ac:dyDescent="0.3">
      <c r="L3742" s="6" t="s">
        <v>195</v>
      </c>
      <c r="M3742" s="6" t="s">
        <v>442</v>
      </c>
      <c r="N3742" s="6" t="s">
        <v>165</v>
      </c>
      <c r="O3742" s="6" t="s">
        <v>166</v>
      </c>
      <c r="P3742" s="19">
        <v>0</v>
      </c>
    </row>
    <row r="3743" spans="12:16" ht="15.75" customHeight="1" x14ac:dyDescent="0.3">
      <c r="L3743" s="6" t="s">
        <v>195</v>
      </c>
      <c r="M3743" s="6" t="s">
        <v>354</v>
      </c>
      <c r="N3743" s="6" t="s">
        <v>72</v>
      </c>
      <c r="O3743" s="6" t="s">
        <v>75</v>
      </c>
      <c r="P3743" s="19">
        <v>2</v>
      </c>
    </row>
    <row r="3744" spans="12:16" ht="15.75" customHeight="1" x14ac:dyDescent="0.3">
      <c r="L3744" s="6" t="s">
        <v>195</v>
      </c>
      <c r="M3744" s="6" t="s">
        <v>354</v>
      </c>
      <c r="N3744" s="6" t="s">
        <v>83</v>
      </c>
      <c r="O3744" s="6" t="s">
        <v>84</v>
      </c>
      <c r="P3744" s="19">
        <v>1</v>
      </c>
    </row>
    <row r="3745" spans="12:16" ht="15.75" customHeight="1" x14ac:dyDescent="0.3">
      <c r="L3745" s="6" t="s">
        <v>195</v>
      </c>
      <c r="M3745" s="6" t="s">
        <v>354</v>
      </c>
      <c r="N3745" s="6" t="s">
        <v>88</v>
      </c>
      <c r="O3745" s="6" t="s">
        <v>90</v>
      </c>
      <c r="P3745" s="17">
        <v>0.5</v>
      </c>
    </row>
    <row r="3746" spans="12:16" ht="15.75" customHeight="1" x14ac:dyDescent="0.3">
      <c r="L3746" s="6" t="s">
        <v>195</v>
      </c>
      <c r="M3746" s="6" t="s">
        <v>354</v>
      </c>
      <c r="N3746" s="6" t="s">
        <v>96</v>
      </c>
      <c r="O3746" s="6" t="s">
        <v>97</v>
      </c>
      <c r="P3746" s="19">
        <v>2</v>
      </c>
    </row>
    <row r="3747" spans="12:16" ht="15.75" customHeight="1" x14ac:dyDescent="0.3">
      <c r="L3747" s="6" t="s">
        <v>195</v>
      </c>
      <c r="M3747" s="6" t="s">
        <v>354</v>
      </c>
      <c r="N3747" s="6" t="s">
        <v>100</v>
      </c>
      <c r="O3747" s="6" t="s">
        <v>101</v>
      </c>
      <c r="P3747" s="19">
        <v>0</v>
      </c>
    </row>
    <row r="3748" spans="12:16" ht="15.75" customHeight="1" x14ac:dyDescent="0.3">
      <c r="L3748" s="6" t="s">
        <v>195</v>
      </c>
      <c r="M3748" s="6" t="s">
        <v>354</v>
      </c>
      <c r="N3748" s="6" t="s">
        <v>22</v>
      </c>
      <c r="O3748" s="6" t="s">
        <v>104</v>
      </c>
      <c r="P3748" s="17">
        <v>13.5</v>
      </c>
    </row>
    <row r="3749" spans="12:16" ht="15.75" customHeight="1" x14ac:dyDescent="0.3">
      <c r="L3749" s="6" t="s">
        <v>195</v>
      </c>
      <c r="M3749" s="6" t="s">
        <v>354</v>
      </c>
      <c r="N3749" s="6" t="s">
        <v>23</v>
      </c>
      <c r="O3749" s="6" t="s">
        <v>107</v>
      </c>
      <c r="P3749" s="19">
        <v>1566</v>
      </c>
    </row>
    <row r="3750" spans="12:16" ht="15.75" customHeight="1" x14ac:dyDescent="0.3">
      <c r="L3750" s="6" t="s">
        <v>195</v>
      </c>
      <c r="M3750" s="6" t="s">
        <v>354</v>
      </c>
      <c r="N3750" s="6" t="s">
        <v>24</v>
      </c>
      <c r="O3750" s="6" t="s">
        <v>109</v>
      </c>
      <c r="P3750" s="17">
        <v>4.4999999999999998E-2</v>
      </c>
    </row>
    <row r="3751" spans="12:16" ht="15.75" customHeight="1" x14ac:dyDescent="0.3">
      <c r="L3751" s="6" t="s">
        <v>195</v>
      </c>
      <c r="M3751" s="6" t="s">
        <v>354</v>
      </c>
      <c r="N3751" s="6" t="s">
        <v>25</v>
      </c>
      <c r="O3751" s="6" t="s">
        <v>111</v>
      </c>
      <c r="P3751" s="19">
        <v>29</v>
      </c>
    </row>
    <row r="3752" spans="12:16" ht="15.75" customHeight="1" x14ac:dyDescent="0.3">
      <c r="L3752" s="6" t="s">
        <v>195</v>
      </c>
      <c r="M3752" s="6" t="s">
        <v>354</v>
      </c>
      <c r="N3752" s="6" t="s">
        <v>26</v>
      </c>
      <c r="O3752" s="6" t="s">
        <v>113</v>
      </c>
      <c r="P3752" s="19">
        <v>16</v>
      </c>
    </row>
    <row r="3753" spans="12:16" ht="15.75" customHeight="1" x14ac:dyDescent="0.3">
      <c r="L3753" s="6" t="s">
        <v>195</v>
      </c>
      <c r="M3753" s="6" t="s">
        <v>354</v>
      </c>
      <c r="N3753" s="6" t="s">
        <v>27</v>
      </c>
      <c r="O3753" s="6" t="s">
        <v>117</v>
      </c>
      <c r="P3753" s="19">
        <v>116</v>
      </c>
    </row>
    <row r="3754" spans="12:16" ht="15.75" customHeight="1" x14ac:dyDescent="0.3">
      <c r="L3754" s="6" t="s">
        <v>195</v>
      </c>
      <c r="M3754" s="6" t="s">
        <v>354</v>
      </c>
      <c r="N3754" s="6" t="s">
        <v>29</v>
      </c>
      <c r="O3754" s="6" t="s">
        <v>125</v>
      </c>
      <c r="P3754" s="19">
        <v>19</v>
      </c>
    </row>
    <row r="3755" spans="12:16" ht="15.75" customHeight="1" x14ac:dyDescent="0.3">
      <c r="L3755" s="6" t="s">
        <v>195</v>
      </c>
      <c r="M3755" s="6" t="s">
        <v>354</v>
      </c>
      <c r="N3755" s="6" t="s">
        <v>135</v>
      </c>
      <c r="O3755" s="6" t="s">
        <v>136</v>
      </c>
      <c r="P3755" s="19">
        <v>1</v>
      </c>
    </row>
    <row r="3756" spans="12:16" ht="15.75" customHeight="1" x14ac:dyDescent="0.3">
      <c r="L3756" s="6" t="s">
        <v>195</v>
      </c>
      <c r="M3756" s="6" t="s">
        <v>354</v>
      </c>
      <c r="N3756" s="6" t="s">
        <v>138</v>
      </c>
      <c r="O3756" s="6" t="s">
        <v>139</v>
      </c>
      <c r="P3756" s="19">
        <v>1</v>
      </c>
    </row>
    <row r="3757" spans="12:16" ht="15.75" customHeight="1" x14ac:dyDescent="0.3">
      <c r="L3757" s="6" t="s">
        <v>195</v>
      </c>
      <c r="M3757" s="6" t="s">
        <v>354</v>
      </c>
      <c r="N3757" s="6" t="s">
        <v>30</v>
      </c>
      <c r="O3757" s="6" t="s">
        <v>148</v>
      </c>
      <c r="P3757" s="17">
        <v>57.502200000000002</v>
      </c>
    </row>
    <row r="3758" spans="12:16" ht="15.75" customHeight="1" x14ac:dyDescent="0.3">
      <c r="L3758" s="6" t="s">
        <v>195</v>
      </c>
      <c r="M3758" s="6" t="s">
        <v>354</v>
      </c>
      <c r="N3758" s="6" t="s">
        <v>156</v>
      </c>
      <c r="O3758" s="6" t="s">
        <v>157</v>
      </c>
      <c r="P3758" s="19">
        <v>0</v>
      </c>
    </row>
    <row r="3759" spans="12:16" ht="15.75" customHeight="1" x14ac:dyDescent="0.3">
      <c r="L3759" s="6" t="s">
        <v>195</v>
      </c>
      <c r="M3759" s="6" t="s">
        <v>354</v>
      </c>
      <c r="N3759" s="6" t="s">
        <v>158</v>
      </c>
      <c r="O3759" s="6" t="s">
        <v>159</v>
      </c>
      <c r="P3759" s="19">
        <v>3</v>
      </c>
    </row>
    <row r="3760" spans="12:16" ht="15.75" customHeight="1" x14ac:dyDescent="0.3">
      <c r="L3760" s="6" t="s">
        <v>195</v>
      </c>
      <c r="M3760" s="6" t="s">
        <v>354</v>
      </c>
      <c r="N3760" s="6" t="s">
        <v>160</v>
      </c>
      <c r="O3760" s="6" t="s">
        <v>161</v>
      </c>
      <c r="P3760" s="19">
        <v>2</v>
      </c>
    </row>
    <row r="3761" spans="12:16" ht="15.75" customHeight="1" x14ac:dyDescent="0.3">
      <c r="L3761" s="6" t="s">
        <v>195</v>
      </c>
      <c r="M3761" s="6" t="s">
        <v>354</v>
      </c>
      <c r="N3761" s="6" t="s">
        <v>162</v>
      </c>
      <c r="O3761" s="6" t="s">
        <v>163</v>
      </c>
      <c r="P3761" s="19">
        <v>1</v>
      </c>
    </row>
    <row r="3762" spans="12:16" ht="15.75" customHeight="1" x14ac:dyDescent="0.3">
      <c r="L3762" s="6" t="s">
        <v>195</v>
      </c>
      <c r="M3762" s="6" t="s">
        <v>354</v>
      </c>
      <c r="N3762" s="6" t="s">
        <v>165</v>
      </c>
      <c r="O3762" s="6" t="s">
        <v>166</v>
      </c>
      <c r="P3762" s="19">
        <v>0</v>
      </c>
    </row>
    <row r="3763" spans="12:16" ht="15.75" customHeight="1" x14ac:dyDescent="0.3">
      <c r="L3763" s="6" t="s">
        <v>195</v>
      </c>
      <c r="M3763" s="6" t="s">
        <v>444</v>
      </c>
      <c r="N3763" s="6" t="s">
        <v>72</v>
      </c>
      <c r="O3763" s="6" t="s">
        <v>75</v>
      </c>
      <c r="P3763" s="19">
        <v>0</v>
      </c>
    </row>
    <row r="3764" spans="12:16" ht="15.75" customHeight="1" x14ac:dyDescent="0.3">
      <c r="L3764" s="6" t="s">
        <v>195</v>
      </c>
      <c r="M3764" s="6" t="s">
        <v>444</v>
      </c>
      <c r="N3764" s="6" t="s">
        <v>83</v>
      </c>
      <c r="O3764" s="6" t="s">
        <v>84</v>
      </c>
      <c r="P3764" s="19">
        <v>0</v>
      </c>
    </row>
    <row r="3765" spans="12:16" ht="15.75" customHeight="1" x14ac:dyDescent="0.3">
      <c r="L3765" s="6" t="s">
        <v>195</v>
      </c>
      <c r="M3765" s="6" t="s">
        <v>444</v>
      </c>
      <c r="N3765" s="6" t="s">
        <v>88</v>
      </c>
      <c r="O3765" s="6" t="s">
        <v>90</v>
      </c>
      <c r="P3765" s="19">
        <v>0</v>
      </c>
    </row>
    <row r="3766" spans="12:16" ht="15.75" customHeight="1" x14ac:dyDescent="0.3">
      <c r="L3766" s="6" t="s">
        <v>195</v>
      </c>
      <c r="M3766" s="6" t="s">
        <v>444</v>
      </c>
      <c r="N3766" s="6" t="s">
        <v>96</v>
      </c>
      <c r="O3766" s="6" t="s">
        <v>97</v>
      </c>
      <c r="P3766" s="19">
        <v>0</v>
      </c>
    </row>
    <row r="3767" spans="12:16" ht="15.75" customHeight="1" x14ac:dyDescent="0.3">
      <c r="L3767" s="6" t="s">
        <v>195</v>
      </c>
      <c r="M3767" s="6" t="s">
        <v>444</v>
      </c>
      <c r="N3767" s="6" t="s">
        <v>100</v>
      </c>
      <c r="O3767" s="6" t="s">
        <v>101</v>
      </c>
      <c r="P3767" s="19">
        <v>0</v>
      </c>
    </row>
    <row r="3768" spans="12:16" ht="15.75" customHeight="1" x14ac:dyDescent="0.3">
      <c r="L3768" s="6" t="s">
        <v>195</v>
      </c>
      <c r="M3768" s="6" t="s">
        <v>444</v>
      </c>
      <c r="N3768" s="6" t="s">
        <v>22</v>
      </c>
      <c r="O3768" s="6" t="s">
        <v>104</v>
      </c>
      <c r="P3768" s="19">
        <v>1</v>
      </c>
    </row>
    <row r="3769" spans="12:16" ht="15.75" customHeight="1" x14ac:dyDescent="0.3">
      <c r="L3769" s="6" t="s">
        <v>195</v>
      </c>
      <c r="M3769" s="6" t="s">
        <v>444</v>
      </c>
      <c r="N3769" s="6" t="s">
        <v>23</v>
      </c>
      <c r="O3769" s="6" t="s">
        <v>107</v>
      </c>
      <c r="P3769" s="17">
        <v>4.7549000000000001</v>
      </c>
    </row>
    <row r="3770" spans="12:16" ht="15.75" customHeight="1" x14ac:dyDescent="0.3">
      <c r="L3770" s="6" t="s">
        <v>195</v>
      </c>
      <c r="M3770" s="6" t="s">
        <v>444</v>
      </c>
      <c r="N3770" s="6" t="s">
        <v>24</v>
      </c>
      <c r="O3770" s="6" t="s">
        <v>109</v>
      </c>
      <c r="P3770" s="17">
        <v>8.9999999999999998E-4</v>
      </c>
    </row>
    <row r="3771" spans="12:16" ht="15.75" customHeight="1" x14ac:dyDescent="0.3">
      <c r="L3771" s="6" t="s">
        <v>195</v>
      </c>
      <c r="M3771" s="6" t="s">
        <v>444</v>
      </c>
      <c r="N3771" s="6" t="s">
        <v>25</v>
      </c>
      <c r="O3771" s="6" t="s">
        <v>111</v>
      </c>
      <c r="P3771" s="19">
        <v>3</v>
      </c>
    </row>
    <row r="3772" spans="12:16" ht="15.75" customHeight="1" x14ac:dyDescent="0.3">
      <c r="L3772" s="6" t="s">
        <v>195</v>
      </c>
      <c r="M3772" s="6" t="s">
        <v>444</v>
      </c>
      <c r="N3772" s="6" t="s">
        <v>26</v>
      </c>
      <c r="O3772" s="6" t="s">
        <v>113</v>
      </c>
      <c r="P3772" s="19">
        <v>3</v>
      </c>
    </row>
    <row r="3773" spans="12:16" ht="15.75" customHeight="1" x14ac:dyDescent="0.3">
      <c r="L3773" s="6" t="s">
        <v>195</v>
      </c>
      <c r="M3773" s="6" t="s">
        <v>444</v>
      </c>
      <c r="N3773" s="6" t="s">
        <v>27</v>
      </c>
      <c r="O3773" s="6" t="s">
        <v>117</v>
      </c>
      <c r="P3773" s="17">
        <v>4.7549000000000001</v>
      </c>
    </row>
    <row r="3774" spans="12:16" ht="15.75" customHeight="1" x14ac:dyDescent="0.3">
      <c r="L3774" s="6" t="s">
        <v>195</v>
      </c>
      <c r="M3774" s="6" t="s">
        <v>444</v>
      </c>
      <c r="N3774" s="6" t="s">
        <v>29</v>
      </c>
      <c r="O3774" s="6" t="s">
        <v>125</v>
      </c>
      <c r="P3774" s="19">
        <v>9</v>
      </c>
    </row>
    <row r="3775" spans="12:16" ht="15.75" customHeight="1" x14ac:dyDescent="0.3">
      <c r="L3775" s="6" t="s">
        <v>195</v>
      </c>
      <c r="M3775" s="6" t="s">
        <v>444</v>
      </c>
      <c r="N3775" s="6" t="s">
        <v>135</v>
      </c>
      <c r="O3775" s="6" t="s">
        <v>136</v>
      </c>
      <c r="P3775" s="19">
        <v>1</v>
      </c>
    </row>
    <row r="3776" spans="12:16" ht="15.75" customHeight="1" x14ac:dyDescent="0.3">
      <c r="L3776" s="6" t="s">
        <v>195</v>
      </c>
      <c r="M3776" s="6" t="s">
        <v>444</v>
      </c>
      <c r="N3776" s="6" t="s">
        <v>138</v>
      </c>
      <c r="O3776" s="6" t="s">
        <v>139</v>
      </c>
      <c r="P3776" s="19">
        <v>0</v>
      </c>
    </row>
    <row r="3777" spans="12:16" ht="15.75" customHeight="1" x14ac:dyDescent="0.3">
      <c r="L3777" s="6" t="s">
        <v>195</v>
      </c>
      <c r="M3777" s="6" t="s">
        <v>444</v>
      </c>
      <c r="N3777" s="6" t="s">
        <v>30</v>
      </c>
      <c r="O3777" s="6" t="s">
        <v>148</v>
      </c>
      <c r="P3777" s="17">
        <v>74.968599999999995</v>
      </c>
    </row>
    <row r="3778" spans="12:16" ht="15.75" customHeight="1" x14ac:dyDescent="0.3">
      <c r="L3778" s="6" t="s">
        <v>195</v>
      </c>
      <c r="M3778" s="6" t="s">
        <v>444</v>
      </c>
      <c r="N3778" s="6" t="s">
        <v>156</v>
      </c>
      <c r="O3778" s="6" t="s">
        <v>157</v>
      </c>
      <c r="P3778" s="19">
        <v>0</v>
      </c>
    </row>
    <row r="3779" spans="12:16" ht="15.75" customHeight="1" x14ac:dyDescent="0.3">
      <c r="L3779" s="6" t="s">
        <v>195</v>
      </c>
      <c r="M3779" s="6" t="s">
        <v>444</v>
      </c>
      <c r="N3779" s="6" t="s">
        <v>158</v>
      </c>
      <c r="O3779" s="6" t="s">
        <v>159</v>
      </c>
      <c r="P3779" s="19">
        <v>1</v>
      </c>
    </row>
    <row r="3780" spans="12:16" ht="15.75" customHeight="1" x14ac:dyDescent="0.3">
      <c r="L3780" s="6" t="s">
        <v>195</v>
      </c>
      <c r="M3780" s="6" t="s">
        <v>444</v>
      </c>
      <c r="N3780" s="6" t="s">
        <v>160</v>
      </c>
      <c r="O3780" s="6" t="s">
        <v>161</v>
      </c>
      <c r="P3780" s="19">
        <v>1</v>
      </c>
    </row>
    <row r="3781" spans="12:16" ht="15.75" customHeight="1" x14ac:dyDescent="0.3">
      <c r="L3781" s="6" t="s">
        <v>195</v>
      </c>
      <c r="M3781" s="6" t="s">
        <v>444</v>
      </c>
      <c r="N3781" s="6" t="s">
        <v>162</v>
      </c>
      <c r="O3781" s="6" t="s">
        <v>163</v>
      </c>
      <c r="P3781" s="19">
        <v>0</v>
      </c>
    </row>
    <row r="3782" spans="12:16" ht="15.75" customHeight="1" x14ac:dyDescent="0.3">
      <c r="L3782" s="6" t="s">
        <v>195</v>
      </c>
      <c r="M3782" s="6" t="s">
        <v>444</v>
      </c>
      <c r="N3782" s="6" t="s">
        <v>165</v>
      </c>
      <c r="O3782" s="6" t="s">
        <v>166</v>
      </c>
      <c r="P3782" s="19">
        <v>0</v>
      </c>
    </row>
    <row r="3783" spans="12:16" ht="15.75" customHeight="1" x14ac:dyDescent="0.3">
      <c r="L3783" s="6" t="s">
        <v>195</v>
      </c>
      <c r="M3783" s="6" t="s">
        <v>356</v>
      </c>
      <c r="N3783" s="6" t="s">
        <v>72</v>
      </c>
      <c r="O3783" s="6" t="s">
        <v>75</v>
      </c>
      <c r="P3783" s="19">
        <v>2</v>
      </c>
    </row>
    <row r="3784" spans="12:16" ht="15.75" customHeight="1" x14ac:dyDescent="0.3">
      <c r="L3784" s="6" t="s">
        <v>195</v>
      </c>
      <c r="M3784" s="6" t="s">
        <v>356</v>
      </c>
      <c r="N3784" s="6" t="s">
        <v>83</v>
      </c>
      <c r="O3784" s="6" t="s">
        <v>84</v>
      </c>
      <c r="P3784" s="19">
        <v>1</v>
      </c>
    </row>
    <row r="3785" spans="12:16" ht="15.75" customHeight="1" x14ac:dyDescent="0.3">
      <c r="L3785" s="6" t="s">
        <v>195</v>
      </c>
      <c r="M3785" s="6" t="s">
        <v>356</v>
      </c>
      <c r="N3785" s="6" t="s">
        <v>88</v>
      </c>
      <c r="O3785" s="6" t="s">
        <v>90</v>
      </c>
      <c r="P3785" s="17">
        <v>0.5</v>
      </c>
    </row>
    <row r="3786" spans="12:16" ht="15.75" customHeight="1" x14ac:dyDescent="0.3">
      <c r="L3786" s="6" t="s">
        <v>195</v>
      </c>
      <c r="M3786" s="6" t="s">
        <v>356</v>
      </c>
      <c r="N3786" s="6" t="s">
        <v>96</v>
      </c>
      <c r="O3786" s="6" t="s">
        <v>97</v>
      </c>
      <c r="P3786" s="19">
        <v>2</v>
      </c>
    </row>
    <row r="3787" spans="12:16" ht="15.75" customHeight="1" x14ac:dyDescent="0.3">
      <c r="L3787" s="6" t="s">
        <v>195</v>
      </c>
      <c r="M3787" s="6" t="s">
        <v>356</v>
      </c>
      <c r="N3787" s="6" t="s">
        <v>100</v>
      </c>
      <c r="O3787" s="6" t="s">
        <v>101</v>
      </c>
      <c r="P3787" s="19">
        <v>0</v>
      </c>
    </row>
    <row r="3788" spans="12:16" ht="15.75" customHeight="1" x14ac:dyDescent="0.3">
      <c r="L3788" s="6" t="s">
        <v>195</v>
      </c>
      <c r="M3788" s="6" t="s">
        <v>356</v>
      </c>
      <c r="N3788" s="6" t="s">
        <v>22</v>
      </c>
      <c r="O3788" s="6" t="s">
        <v>104</v>
      </c>
      <c r="P3788" s="17">
        <v>12.375</v>
      </c>
    </row>
    <row r="3789" spans="12:16" ht="15.75" customHeight="1" x14ac:dyDescent="0.3">
      <c r="L3789" s="6" t="s">
        <v>195</v>
      </c>
      <c r="M3789" s="6" t="s">
        <v>356</v>
      </c>
      <c r="N3789" s="6" t="s">
        <v>23</v>
      </c>
      <c r="O3789" s="6" t="s">
        <v>107</v>
      </c>
      <c r="P3789" s="17">
        <v>1402.0853999999999</v>
      </c>
    </row>
    <row r="3790" spans="12:16" ht="15.75" customHeight="1" x14ac:dyDescent="0.3">
      <c r="L3790" s="6" t="s">
        <v>195</v>
      </c>
      <c r="M3790" s="6" t="s">
        <v>356</v>
      </c>
      <c r="N3790" s="6" t="s">
        <v>24</v>
      </c>
      <c r="O3790" s="6" t="s">
        <v>109</v>
      </c>
      <c r="P3790" s="17">
        <v>4.1799999999999997E-2</v>
      </c>
    </row>
    <row r="3791" spans="12:16" ht="15.75" customHeight="1" x14ac:dyDescent="0.3">
      <c r="L3791" s="6" t="s">
        <v>195</v>
      </c>
      <c r="M3791" s="6" t="s">
        <v>356</v>
      </c>
      <c r="N3791" s="6" t="s">
        <v>25</v>
      </c>
      <c r="O3791" s="6" t="s">
        <v>111</v>
      </c>
      <c r="P3791" s="19">
        <v>29</v>
      </c>
    </row>
    <row r="3792" spans="12:16" ht="15.75" customHeight="1" x14ac:dyDescent="0.3">
      <c r="L3792" s="6" t="s">
        <v>195</v>
      </c>
      <c r="M3792" s="6" t="s">
        <v>356</v>
      </c>
      <c r="N3792" s="6" t="s">
        <v>26</v>
      </c>
      <c r="O3792" s="6" t="s">
        <v>113</v>
      </c>
      <c r="P3792" s="19">
        <v>15</v>
      </c>
    </row>
    <row r="3793" spans="12:16" ht="15.75" customHeight="1" x14ac:dyDescent="0.3">
      <c r="L3793" s="6" t="s">
        <v>195</v>
      </c>
      <c r="M3793" s="6" t="s">
        <v>356</v>
      </c>
      <c r="N3793" s="6" t="s">
        <v>27</v>
      </c>
      <c r="O3793" s="6" t="s">
        <v>117</v>
      </c>
      <c r="P3793" s="17">
        <v>113.2998</v>
      </c>
    </row>
    <row r="3794" spans="12:16" ht="15.75" customHeight="1" x14ac:dyDescent="0.3">
      <c r="L3794" s="6" t="s">
        <v>195</v>
      </c>
      <c r="M3794" s="6" t="s">
        <v>356</v>
      </c>
      <c r="N3794" s="6" t="s">
        <v>29</v>
      </c>
      <c r="O3794" s="6" t="s">
        <v>125</v>
      </c>
      <c r="P3794" s="19">
        <v>19</v>
      </c>
    </row>
    <row r="3795" spans="12:16" ht="15.75" customHeight="1" x14ac:dyDescent="0.3">
      <c r="L3795" s="6" t="s">
        <v>195</v>
      </c>
      <c r="M3795" s="6" t="s">
        <v>356</v>
      </c>
      <c r="N3795" s="6" t="s">
        <v>135</v>
      </c>
      <c r="O3795" s="6" t="s">
        <v>136</v>
      </c>
      <c r="P3795" s="19">
        <v>1</v>
      </c>
    </row>
    <row r="3796" spans="12:16" ht="15.75" customHeight="1" x14ac:dyDescent="0.3">
      <c r="L3796" s="6" t="s">
        <v>195</v>
      </c>
      <c r="M3796" s="6" t="s">
        <v>356</v>
      </c>
      <c r="N3796" s="6" t="s">
        <v>138</v>
      </c>
      <c r="O3796" s="6" t="s">
        <v>139</v>
      </c>
      <c r="P3796" s="19">
        <v>1</v>
      </c>
    </row>
    <row r="3797" spans="12:16" ht="15.75" customHeight="1" x14ac:dyDescent="0.3">
      <c r="L3797" s="6" t="s">
        <v>195</v>
      </c>
      <c r="M3797" s="6" t="s">
        <v>356</v>
      </c>
      <c r="N3797" s="6" t="s">
        <v>30</v>
      </c>
      <c r="O3797" s="6" t="s">
        <v>148</v>
      </c>
      <c r="P3797" s="17">
        <v>57.581899999999997</v>
      </c>
    </row>
    <row r="3798" spans="12:16" ht="15.75" customHeight="1" x14ac:dyDescent="0.3">
      <c r="L3798" s="6" t="s">
        <v>195</v>
      </c>
      <c r="M3798" s="6" t="s">
        <v>356</v>
      </c>
      <c r="N3798" s="6" t="s">
        <v>156</v>
      </c>
      <c r="O3798" s="6" t="s">
        <v>157</v>
      </c>
      <c r="P3798" s="19">
        <v>0</v>
      </c>
    </row>
    <row r="3799" spans="12:16" ht="15.75" customHeight="1" x14ac:dyDescent="0.3">
      <c r="L3799" s="6" t="s">
        <v>195</v>
      </c>
      <c r="M3799" s="6" t="s">
        <v>356</v>
      </c>
      <c r="N3799" s="6" t="s">
        <v>158</v>
      </c>
      <c r="O3799" s="6" t="s">
        <v>159</v>
      </c>
      <c r="P3799" s="19">
        <v>3</v>
      </c>
    </row>
    <row r="3800" spans="12:16" ht="15.75" customHeight="1" x14ac:dyDescent="0.3">
      <c r="L3800" s="6" t="s">
        <v>195</v>
      </c>
      <c r="M3800" s="6" t="s">
        <v>356</v>
      </c>
      <c r="N3800" s="6" t="s">
        <v>160</v>
      </c>
      <c r="O3800" s="6" t="s">
        <v>161</v>
      </c>
      <c r="P3800" s="19">
        <v>2</v>
      </c>
    </row>
    <row r="3801" spans="12:16" ht="15.75" customHeight="1" x14ac:dyDescent="0.3">
      <c r="L3801" s="6" t="s">
        <v>195</v>
      </c>
      <c r="M3801" s="6" t="s">
        <v>356</v>
      </c>
      <c r="N3801" s="6" t="s">
        <v>162</v>
      </c>
      <c r="O3801" s="6" t="s">
        <v>163</v>
      </c>
      <c r="P3801" s="19">
        <v>1</v>
      </c>
    </row>
    <row r="3802" spans="12:16" ht="15.75" customHeight="1" x14ac:dyDescent="0.3">
      <c r="L3802" s="6" t="s">
        <v>195</v>
      </c>
      <c r="M3802" s="6" t="s">
        <v>356</v>
      </c>
      <c r="N3802" s="6" t="s">
        <v>165</v>
      </c>
      <c r="O3802" s="6" t="s">
        <v>166</v>
      </c>
      <c r="P3802" s="19">
        <v>0</v>
      </c>
    </row>
    <row r="3803" spans="12:16" ht="15.75" customHeight="1" x14ac:dyDescent="0.3">
      <c r="L3803" s="6" t="s">
        <v>195</v>
      </c>
      <c r="M3803" s="6" t="s">
        <v>323</v>
      </c>
      <c r="N3803" s="6" t="s">
        <v>72</v>
      </c>
      <c r="O3803" s="6" t="s">
        <v>75</v>
      </c>
      <c r="P3803" s="19">
        <v>0</v>
      </c>
    </row>
    <row r="3804" spans="12:16" ht="15.75" customHeight="1" x14ac:dyDescent="0.3">
      <c r="L3804" s="6" t="s">
        <v>195</v>
      </c>
      <c r="M3804" s="6" t="s">
        <v>323</v>
      </c>
      <c r="N3804" s="6" t="s">
        <v>83</v>
      </c>
      <c r="O3804" s="6" t="s">
        <v>84</v>
      </c>
      <c r="P3804" s="19">
        <v>0</v>
      </c>
    </row>
    <row r="3805" spans="12:16" ht="15.75" customHeight="1" x14ac:dyDescent="0.3">
      <c r="L3805" s="6" t="s">
        <v>195</v>
      </c>
      <c r="M3805" s="6" t="s">
        <v>323</v>
      </c>
      <c r="N3805" s="6" t="s">
        <v>88</v>
      </c>
      <c r="O3805" s="6" t="s">
        <v>90</v>
      </c>
      <c r="P3805" s="19">
        <v>0</v>
      </c>
    </row>
    <row r="3806" spans="12:16" ht="15.75" customHeight="1" x14ac:dyDescent="0.3">
      <c r="L3806" s="6" t="s">
        <v>195</v>
      </c>
      <c r="M3806" s="6" t="s">
        <v>323</v>
      </c>
      <c r="N3806" s="6" t="s">
        <v>96</v>
      </c>
      <c r="O3806" s="6" t="s">
        <v>97</v>
      </c>
      <c r="P3806" s="19">
        <v>0</v>
      </c>
    </row>
    <row r="3807" spans="12:16" ht="15.75" customHeight="1" x14ac:dyDescent="0.3">
      <c r="L3807" s="6" t="s">
        <v>195</v>
      </c>
      <c r="M3807" s="6" t="s">
        <v>323</v>
      </c>
      <c r="N3807" s="6" t="s">
        <v>100</v>
      </c>
      <c r="O3807" s="6" t="s">
        <v>101</v>
      </c>
      <c r="P3807" s="19">
        <v>1</v>
      </c>
    </row>
    <row r="3808" spans="12:16" ht="15.75" customHeight="1" x14ac:dyDescent="0.3">
      <c r="L3808" s="6" t="s">
        <v>195</v>
      </c>
      <c r="M3808" s="6" t="s">
        <v>323</v>
      </c>
      <c r="N3808" s="6" t="s">
        <v>22</v>
      </c>
      <c r="O3808" s="6" t="s">
        <v>104</v>
      </c>
      <c r="P3808" s="17">
        <v>11.375</v>
      </c>
    </row>
    <row r="3809" spans="12:16" ht="15.75" customHeight="1" x14ac:dyDescent="0.3">
      <c r="L3809" s="6" t="s">
        <v>195</v>
      </c>
      <c r="M3809" s="6" t="s">
        <v>323</v>
      </c>
      <c r="N3809" s="6" t="s">
        <v>23</v>
      </c>
      <c r="O3809" s="6" t="s">
        <v>107</v>
      </c>
      <c r="P3809" s="17">
        <v>1069.3824999999999</v>
      </c>
    </row>
    <row r="3810" spans="12:16" ht="15.75" customHeight="1" x14ac:dyDescent="0.3">
      <c r="L3810" s="6" t="s">
        <v>195</v>
      </c>
      <c r="M3810" s="6" t="s">
        <v>323</v>
      </c>
      <c r="N3810" s="6" t="s">
        <v>24</v>
      </c>
      <c r="O3810" s="6" t="s">
        <v>109</v>
      </c>
      <c r="P3810" s="17">
        <v>3.49E-2</v>
      </c>
    </row>
    <row r="3811" spans="12:16" ht="15.75" customHeight="1" x14ac:dyDescent="0.3">
      <c r="L3811" s="6" t="s">
        <v>195</v>
      </c>
      <c r="M3811" s="6" t="s">
        <v>323</v>
      </c>
      <c r="N3811" s="6" t="s">
        <v>25</v>
      </c>
      <c r="O3811" s="6" t="s">
        <v>111</v>
      </c>
      <c r="P3811" s="19">
        <v>23</v>
      </c>
    </row>
    <row r="3812" spans="12:16" ht="15.75" customHeight="1" x14ac:dyDescent="0.3">
      <c r="L3812" s="6" t="s">
        <v>195</v>
      </c>
      <c r="M3812" s="6" t="s">
        <v>323</v>
      </c>
      <c r="N3812" s="6" t="s">
        <v>26</v>
      </c>
      <c r="O3812" s="6" t="s">
        <v>113</v>
      </c>
      <c r="P3812" s="19">
        <v>17</v>
      </c>
    </row>
    <row r="3813" spans="12:16" ht="15.75" customHeight="1" x14ac:dyDescent="0.3">
      <c r="L3813" s="6" t="s">
        <v>195</v>
      </c>
      <c r="M3813" s="6" t="s">
        <v>323</v>
      </c>
      <c r="N3813" s="6" t="s">
        <v>27</v>
      </c>
      <c r="O3813" s="6" t="s">
        <v>117</v>
      </c>
      <c r="P3813" s="17">
        <v>94.011600000000001</v>
      </c>
    </row>
    <row r="3814" spans="12:16" ht="15.75" customHeight="1" x14ac:dyDescent="0.3">
      <c r="L3814" s="6" t="s">
        <v>195</v>
      </c>
      <c r="M3814" s="6" t="s">
        <v>323</v>
      </c>
      <c r="N3814" s="6" t="s">
        <v>29</v>
      </c>
      <c r="O3814" s="6" t="s">
        <v>125</v>
      </c>
      <c r="P3814" s="19">
        <v>6</v>
      </c>
    </row>
    <row r="3815" spans="12:16" ht="15.75" customHeight="1" x14ac:dyDescent="0.3">
      <c r="L3815" s="6" t="s">
        <v>195</v>
      </c>
      <c r="M3815" s="6" t="s">
        <v>323</v>
      </c>
      <c r="N3815" s="6" t="s">
        <v>135</v>
      </c>
      <c r="O3815" s="6" t="s">
        <v>136</v>
      </c>
      <c r="P3815" s="19">
        <v>0</v>
      </c>
    </row>
    <row r="3816" spans="12:16" ht="15.75" customHeight="1" x14ac:dyDescent="0.3">
      <c r="L3816" s="6" t="s">
        <v>195</v>
      </c>
      <c r="M3816" s="6" t="s">
        <v>323</v>
      </c>
      <c r="N3816" s="6" t="s">
        <v>138</v>
      </c>
      <c r="O3816" s="6" t="s">
        <v>139</v>
      </c>
      <c r="P3816" s="19">
        <v>0</v>
      </c>
    </row>
    <row r="3817" spans="12:16" ht="15.75" customHeight="1" x14ac:dyDescent="0.3">
      <c r="L3817" s="6" t="s">
        <v>195</v>
      </c>
      <c r="M3817" s="6" t="s">
        <v>323</v>
      </c>
      <c r="N3817" s="6" t="s">
        <v>30</v>
      </c>
      <c r="O3817" s="6" t="s">
        <v>148</v>
      </c>
      <c r="P3817" s="17">
        <v>69.023099999999999</v>
      </c>
    </row>
    <row r="3818" spans="12:16" ht="15.75" customHeight="1" x14ac:dyDescent="0.3">
      <c r="L3818" s="6" t="s">
        <v>195</v>
      </c>
      <c r="M3818" s="6" t="s">
        <v>323</v>
      </c>
      <c r="N3818" s="6" t="s">
        <v>156</v>
      </c>
      <c r="O3818" s="6" t="s">
        <v>157</v>
      </c>
      <c r="P3818" s="19">
        <v>0</v>
      </c>
    </row>
    <row r="3819" spans="12:16" ht="15.75" customHeight="1" x14ac:dyDescent="0.3">
      <c r="L3819" s="6" t="s">
        <v>195</v>
      </c>
      <c r="M3819" s="6" t="s">
        <v>323</v>
      </c>
      <c r="N3819" s="6" t="s">
        <v>158</v>
      </c>
      <c r="O3819" s="6" t="s">
        <v>159</v>
      </c>
      <c r="P3819" s="19">
        <v>4</v>
      </c>
    </row>
    <row r="3820" spans="12:16" ht="15.75" customHeight="1" x14ac:dyDescent="0.3">
      <c r="L3820" s="6" t="s">
        <v>195</v>
      </c>
      <c r="M3820" s="6" t="s">
        <v>323</v>
      </c>
      <c r="N3820" s="6" t="s">
        <v>160</v>
      </c>
      <c r="O3820" s="6" t="s">
        <v>161</v>
      </c>
      <c r="P3820" s="19">
        <v>1</v>
      </c>
    </row>
    <row r="3821" spans="12:16" ht="15.75" customHeight="1" x14ac:dyDescent="0.3">
      <c r="L3821" s="6" t="s">
        <v>195</v>
      </c>
      <c r="M3821" s="6" t="s">
        <v>323</v>
      </c>
      <c r="N3821" s="6" t="s">
        <v>162</v>
      </c>
      <c r="O3821" s="6" t="s">
        <v>163</v>
      </c>
      <c r="P3821" s="19">
        <v>0</v>
      </c>
    </row>
    <row r="3822" spans="12:16" ht="15.75" customHeight="1" x14ac:dyDescent="0.3">
      <c r="L3822" s="6" t="s">
        <v>195</v>
      </c>
      <c r="M3822" s="6" t="s">
        <v>323</v>
      </c>
      <c r="N3822" s="6" t="s">
        <v>165</v>
      </c>
      <c r="O3822" s="6" t="s">
        <v>166</v>
      </c>
      <c r="P3822" s="19">
        <v>0</v>
      </c>
    </row>
    <row r="3823" spans="12:16" ht="15.75" customHeight="1" x14ac:dyDescent="0.3">
      <c r="L3823" s="6" t="s">
        <v>195</v>
      </c>
      <c r="M3823" s="6" t="s">
        <v>343</v>
      </c>
      <c r="N3823" s="6" t="s">
        <v>72</v>
      </c>
      <c r="O3823" s="6" t="s">
        <v>75</v>
      </c>
      <c r="P3823" s="19">
        <v>2</v>
      </c>
    </row>
    <row r="3824" spans="12:16" ht="15.75" customHeight="1" x14ac:dyDescent="0.3">
      <c r="L3824" s="6" t="s">
        <v>195</v>
      </c>
      <c r="M3824" s="6" t="s">
        <v>343</v>
      </c>
      <c r="N3824" s="6" t="s">
        <v>83</v>
      </c>
      <c r="O3824" s="6" t="s">
        <v>84</v>
      </c>
      <c r="P3824" s="19">
        <v>1</v>
      </c>
    </row>
    <row r="3825" spans="12:16" ht="15.75" customHeight="1" x14ac:dyDescent="0.3">
      <c r="L3825" s="6" t="s">
        <v>195</v>
      </c>
      <c r="M3825" s="6" t="s">
        <v>343</v>
      </c>
      <c r="N3825" s="6" t="s">
        <v>88</v>
      </c>
      <c r="O3825" s="6" t="s">
        <v>90</v>
      </c>
      <c r="P3825" s="17">
        <v>0.5</v>
      </c>
    </row>
    <row r="3826" spans="12:16" ht="15.75" customHeight="1" x14ac:dyDescent="0.3">
      <c r="L3826" s="6" t="s">
        <v>195</v>
      </c>
      <c r="M3826" s="6" t="s">
        <v>343</v>
      </c>
      <c r="N3826" s="6" t="s">
        <v>96</v>
      </c>
      <c r="O3826" s="6" t="s">
        <v>97</v>
      </c>
      <c r="P3826" s="19">
        <v>2</v>
      </c>
    </row>
    <row r="3827" spans="12:16" ht="15.75" customHeight="1" x14ac:dyDescent="0.3">
      <c r="L3827" s="6" t="s">
        <v>195</v>
      </c>
      <c r="M3827" s="6" t="s">
        <v>343</v>
      </c>
      <c r="N3827" s="6" t="s">
        <v>100</v>
      </c>
      <c r="O3827" s="6" t="s">
        <v>101</v>
      </c>
      <c r="P3827" s="19">
        <v>0</v>
      </c>
    </row>
    <row r="3828" spans="12:16" ht="15.75" customHeight="1" x14ac:dyDescent="0.3">
      <c r="L3828" s="6" t="s">
        <v>195</v>
      </c>
      <c r="M3828" s="6" t="s">
        <v>343</v>
      </c>
      <c r="N3828" s="6" t="s">
        <v>22</v>
      </c>
      <c r="O3828" s="6" t="s">
        <v>104</v>
      </c>
      <c r="P3828" s="17">
        <v>10.5</v>
      </c>
    </row>
    <row r="3829" spans="12:16" ht="15.75" customHeight="1" x14ac:dyDescent="0.3">
      <c r="L3829" s="6" t="s">
        <v>195</v>
      </c>
      <c r="M3829" s="6" t="s">
        <v>343</v>
      </c>
      <c r="N3829" s="6" t="s">
        <v>23</v>
      </c>
      <c r="O3829" s="6" t="s">
        <v>107</v>
      </c>
      <c r="P3829" s="17">
        <v>1089.1259</v>
      </c>
    </row>
    <row r="3830" spans="12:16" ht="15.75" customHeight="1" x14ac:dyDescent="0.3">
      <c r="L3830" s="6" t="s">
        <v>195</v>
      </c>
      <c r="M3830" s="6" t="s">
        <v>343</v>
      </c>
      <c r="N3830" s="6" t="s">
        <v>24</v>
      </c>
      <c r="O3830" s="6" t="s">
        <v>109</v>
      </c>
      <c r="P3830" s="17">
        <v>3.5299999999999998E-2</v>
      </c>
    </row>
    <row r="3831" spans="12:16" ht="15.75" customHeight="1" x14ac:dyDescent="0.3">
      <c r="L3831" s="6" t="s">
        <v>195</v>
      </c>
      <c r="M3831" s="6" t="s">
        <v>343</v>
      </c>
      <c r="N3831" s="6" t="s">
        <v>25</v>
      </c>
      <c r="O3831" s="6" t="s">
        <v>111</v>
      </c>
      <c r="P3831" s="19">
        <v>24</v>
      </c>
    </row>
    <row r="3832" spans="12:16" ht="15.75" customHeight="1" x14ac:dyDescent="0.3">
      <c r="L3832" s="6" t="s">
        <v>195</v>
      </c>
      <c r="M3832" s="6" t="s">
        <v>343</v>
      </c>
      <c r="N3832" s="6" t="s">
        <v>26</v>
      </c>
      <c r="O3832" s="6" t="s">
        <v>113</v>
      </c>
      <c r="P3832" s="19">
        <v>20</v>
      </c>
    </row>
    <row r="3833" spans="12:16" ht="15.75" customHeight="1" x14ac:dyDescent="0.3">
      <c r="L3833" s="6" t="s">
        <v>195</v>
      </c>
      <c r="M3833" s="6" t="s">
        <v>343</v>
      </c>
      <c r="N3833" s="6" t="s">
        <v>27</v>
      </c>
      <c r="O3833" s="6" t="s">
        <v>117</v>
      </c>
      <c r="P3833" s="17">
        <v>103.72629999999999</v>
      </c>
    </row>
    <row r="3834" spans="12:16" ht="15.75" customHeight="1" x14ac:dyDescent="0.3">
      <c r="L3834" s="6" t="s">
        <v>195</v>
      </c>
      <c r="M3834" s="6" t="s">
        <v>343</v>
      </c>
      <c r="N3834" s="6" t="s">
        <v>29</v>
      </c>
      <c r="O3834" s="6" t="s">
        <v>125</v>
      </c>
      <c r="P3834" s="19">
        <v>20</v>
      </c>
    </row>
    <row r="3835" spans="12:16" ht="15.75" customHeight="1" x14ac:dyDescent="0.3">
      <c r="L3835" s="6" t="s">
        <v>195</v>
      </c>
      <c r="M3835" s="6" t="s">
        <v>343</v>
      </c>
      <c r="N3835" s="6" t="s">
        <v>135</v>
      </c>
      <c r="O3835" s="6" t="s">
        <v>136</v>
      </c>
      <c r="P3835" s="19">
        <v>1</v>
      </c>
    </row>
    <row r="3836" spans="12:16" ht="15.75" customHeight="1" x14ac:dyDescent="0.3">
      <c r="L3836" s="6" t="s">
        <v>195</v>
      </c>
      <c r="M3836" s="6" t="s">
        <v>343</v>
      </c>
      <c r="N3836" s="6" t="s">
        <v>138</v>
      </c>
      <c r="O3836" s="6" t="s">
        <v>139</v>
      </c>
      <c r="P3836" s="19">
        <v>1</v>
      </c>
    </row>
    <row r="3837" spans="12:16" ht="15.75" customHeight="1" x14ac:dyDescent="0.3">
      <c r="L3837" s="6" t="s">
        <v>195</v>
      </c>
      <c r="M3837" s="6" t="s">
        <v>343</v>
      </c>
      <c r="N3837" s="6" t="s">
        <v>30</v>
      </c>
      <c r="O3837" s="6" t="s">
        <v>148</v>
      </c>
      <c r="P3837" s="17">
        <v>57.377699999999997</v>
      </c>
    </row>
    <row r="3838" spans="12:16" ht="15.75" customHeight="1" x14ac:dyDescent="0.3">
      <c r="L3838" s="6" t="s">
        <v>195</v>
      </c>
      <c r="M3838" s="6" t="s">
        <v>343</v>
      </c>
      <c r="N3838" s="6" t="s">
        <v>156</v>
      </c>
      <c r="O3838" s="6" t="s">
        <v>157</v>
      </c>
      <c r="P3838" s="19">
        <v>0</v>
      </c>
    </row>
    <row r="3839" spans="12:16" ht="15.75" customHeight="1" x14ac:dyDescent="0.3">
      <c r="L3839" s="6" t="s">
        <v>195</v>
      </c>
      <c r="M3839" s="6" t="s">
        <v>343</v>
      </c>
      <c r="N3839" s="6" t="s">
        <v>158</v>
      </c>
      <c r="O3839" s="6" t="s">
        <v>159</v>
      </c>
      <c r="P3839" s="19">
        <v>3</v>
      </c>
    </row>
    <row r="3840" spans="12:16" ht="15.75" customHeight="1" x14ac:dyDescent="0.3">
      <c r="L3840" s="6" t="s">
        <v>195</v>
      </c>
      <c r="M3840" s="6" t="s">
        <v>343</v>
      </c>
      <c r="N3840" s="6" t="s">
        <v>160</v>
      </c>
      <c r="O3840" s="6" t="s">
        <v>161</v>
      </c>
      <c r="P3840" s="19">
        <v>2</v>
      </c>
    </row>
    <row r="3841" spans="12:16" ht="15.75" customHeight="1" x14ac:dyDescent="0.3">
      <c r="L3841" s="6" t="s">
        <v>195</v>
      </c>
      <c r="M3841" s="6" t="s">
        <v>343</v>
      </c>
      <c r="N3841" s="6" t="s">
        <v>162</v>
      </c>
      <c r="O3841" s="6" t="s">
        <v>163</v>
      </c>
      <c r="P3841" s="19">
        <v>1</v>
      </c>
    </row>
    <row r="3842" spans="12:16" ht="15.75" customHeight="1" x14ac:dyDescent="0.3">
      <c r="L3842" s="6" t="s">
        <v>195</v>
      </c>
      <c r="M3842" s="6" t="s">
        <v>343</v>
      </c>
      <c r="N3842" s="6" t="s">
        <v>165</v>
      </c>
      <c r="O3842" s="6" t="s">
        <v>166</v>
      </c>
      <c r="P3842" s="19">
        <v>1</v>
      </c>
    </row>
    <row r="3843" spans="12:16" ht="15.75" customHeight="1" x14ac:dyDescent="0.3">
      <c r="L3843" s="6" t="s">
        <v>195</v>
      </c>
      <c r="M3843" s="6" t="s">
        <v>337</v>
      </c>
      <c r="N3843" s="6" t="s">
        <v>72</v>
      </c>
      <c r="O3843" s="6" t="s">
        <v>75</v>
      </c>
      <c r="P3843" s="19">
        <v>2</v>
      </c>
    </row>
    <row r="3844" spans="12:16" ht="15.75" customHeight="1" x14ac:dyDescent="0.3">
      <c r="L3844" s="6" t="s">
        <v>195</v>
      </c>
      <c r="M3844" s="6" t="s">
        <v>337</v>
      </c>
      <c r="N3844" s="6" t="s">
        <v>83</v>
      </c>
      <c r="O3844" s="6" t="s">
        <v>84</v>
      </c>
      <c r="P3844" s="19">
        <v>1</v>
      </c>
    </row>
    <row r="3845" spans="12:16" ht="15.75" customHeight="1" x14ac:dyDescent="0.3">
      <c r="L3845" s="6" t="s">
        <v>195</v>
      </c>
      <c r="M3845" s="6" t="s">
        <v>337</v>
      </c>
      <c r="N3845" s="6" t="s">
        <v>88</v>
      </c>
      <c r="O3845" s="6" t="s">
        <v>90</v>
      </c>
      <c r="P3845" s="17">
        <v>0.25</v>
      </c>
    </row>
    <row r="3846" spans="12:16" ht="15.75" customHeight="1" x14ac:dyDescent="0.3">
      <c r="L3846" s="6" t="s">
        <v>195</v>
      </c>
      <c r="M3846" s="6" t="s">
        <v>337</v>
      </c>
      <c r="N3846" s="6" t="s">
        <v>96</v>
      </c>
      <c r="O3846" s="6" t="s">
        <v>97</v>
      </c>
      <c r="P3846" s="19">
        <v>3</v>
      </c>
    </row>
    <row r="3847" spans="12:16" ht="15.75" customHeight="1" x14ac:dyDescent="0.3">
      <c r="L3847" s="6" t="s">
        <v>195</v>
      </c>
      <c r="M3847" s="6" t="s">
        <v>337</v>
      </c>
      <c r="N3847" s="6" t="s">
        <v>100</v>
      </c>
      <c r="O3847" s="6" t="s">
        <v>101</v>
      </c>
      <c r="P3847" s="19">
        <v>0</v>
      </c>
    </row>
    <row r="3848" spans="12:16" ht="15.75" customHeight="1" x14ac:dyDescent="0.3">
      <c r="L3848" s="6" t="s">
        <v>195</v>
      </c>
      <c r="M3848" s="6" t="s">
        <v>337</v>
      </c>
      <c r="N3848" s="6" t="s">
        <v>22</v>
      </c>
      <c r="O3848" s="6" t="s">
        <v>104</v>
      </c>
      <c r="P3848" s="19">
        <v>10</v>
      </c>
    </row>
    <row r="3849" spans="12:16" ht="15.75" customHeight="1" x14ac:dyDescent="0.3">
      <c r="L3849" s="6" t="s">
        <v>195</v>
      </c>
      <c r="M3849" s="6" t="s">
        <v>337</v>
      </c>
      <c r="N3849" s="6" t="s">
        <v>23</v>
      </c>
      <c r="O3849" s="6" t="s">
        <v>107</v>
      </c>
      <c r="P3849" s="17">
        <v>629.07479999999998</v>
      </c>
    </row>
    <row r="3850" spans="12:16" ht="15.75" customHeight="1" x14ac:dyDescent="0.3">
      <c r="L3850" s="6" t="s">
        <v>195</v>
      </c>
      <c r="M3850" s="6" t="s">
        <v>337</v>
      </c>
      <c r="N3850" s="6" t="s">
        <v>24</v>
      </c>
      <c r="O3850" s="6" t="s">
        <v>109</v>
      </c>
      <c r="P3850" s="17">
        <v>2.4500000000000001E-2</v>
      </c>
    </row>
    <row r="3851" spans="12:16" ht="15.75" customHeight="1" x14ac:dyDescent="0.3">
      <c r="L3851" s="6" t="s">
        <v>195</v>
      </c>
      <c r="M3851" s="6" t="s">
        <v>337</v>
      </c>
      <c r="N3851" s="6" t="s">
        <v>25</v>
      </c>
      <c r="O3851" s="6" t="s">
        <v>111</v>
      </c>
      <c r="P3851" s="19">
        <v>17</v>
      </c>
    </row>
    <row r="3852" spans="12:16" ht="15.75" customHeight="1" x14ac:dyDescent="0.3">
      <c r="L3852" s="6" t="s">
        <v>195</v>
      </c>
      <c r="M3852" s="6" t="s">
        <v>337</v>
      </c>
      <c r="N3852" s="6" t="s">
        <v>26</v>
      </c>
      <c r="O3852" s="6" t="s">
        <v>113</v>
      </c>
      <c r="P3852" s="19">
        <v>13</v>
      </c>
    </row>
    <row r="3853" spans="12:16" ht="15.75" customHeight="1" x14ac:dyDescent="0.3">
      <c r="L3853" s="6" t="s">
        <v>195</v>
      </c>
      <c r="M3853" s="6" t="s">
        <v>337</v>
      </c>
      <c r="N3853" s="6" t="s">
        <v>27</v>
      </c>
      <c r="O3853" s="6" t="s">
        <v>117</v>
      </c>
      <c r="P3853" s="17">
        <v>62.907499999999999</v>
      </c>
    </row>
    <row r="3854" spans="12:16" ht="15.75" customHeight="1" x14ac:dyDescent="0.3">
      <c r="L3854" s="6" t="s">
        <v>195</v>
      </c>
      <c r="M3854" s="6" t="s">
        <v>337</v>
      </c>
      <c r="N3854" s="6" t="s">
        <v>29</v>
      </c>
      <c r="O3854" s="6" t="s">
        <v>125</v>
      </c>
      <c r="P3854" s="19">
        <v>21</v>
      </c>
    </row>
    <row r="3855" spans="12:16" ht="15.75" customHeight="1" x14ac:dyDescent="0.3">
      <c r="L3855" s="6" t="s">
        <v>195</v>
      </c>
      <c r="M3855" s="6" t="s">
        <v>337</v>
      </c>
      <c r="N3855" s="6" t="s">
        <v>135</v>
      </c>
      <c r="O3855" s="6" t="s">
        <v>136</v>
      </c>
      <c r="P3855" s="19">
        <v>1</v>
      </c>
    </row>
    <row r="3856" spans="12:16" ht="15.75" customHeight="1" x14ac:dyDescent="0.3">
      <c r="L3856" s="6" t="s">
        <v>195</v>
      </c>
      <c r="M3856" s="6" t="s">
        <v>337</v>
      </c>
      <c r="N3856" s="6" t="s">
        <v>138</v>
      </c>
      <c r="O3856" s="6" t="s">
        <v>139</v>
      </c>
      <c r="P3856" s="19">
        <v>1</v>
      </c>
    </row>
    <row r="3857" spans="12:16" ht="15.75" customHeight="1" x14ac:dyDescent="0.3">
      <c r="L3857" s="6" t="s">
        <v>195</v>
      </c>
      <c r="M3857" s="6" t="s">
        <v>337</v>
      </c>
      <c r="N3857" s="6" t="s">
        <v>30</v>
      </c>
      <c r="O3857" s="6" t="s">
        <v>148</v>
      </c>
      <c r="P3857" s="17">
        <v>58.459000000000003</v>
      </c>
    </row>
    <row r="3858" spans="12:16" ht="15.75" customHeight="1" x14ac:dyDescent="0.3">
      <c r="L3858" s="6" t="s">
        <v>195</v>
      </c>
      <c r="M3858" s="6" t="s">
        <v>337</v>
      </c>
      <c r="N3858" s="6" t="s">
        <v>156</v>
      </c>
      <c r="O3858" s="6" t="s">
        <v>157</v>
      </c>
      <c r="P3858" s="19">
        <v>1</v>
      </c>
    </row>
    <row r="3859" spans="12:16" ht="15.75" customHeight="1" x14ac:dyDescent="0.3">
      <c r="L3859" s="6" t="s">
        <v>195</v>
      </c>
      <c r="M3859" s="6" t="s">
        <v>337</v>
      </c>
      <c r="N3859" s="6" t="s">
        <v>158</v>
      </c>
      <c r="O3859" s="6" t="s">
        <v>159</v>
      </c>
      <c r="P3859" s="19">
        <v>3</v>
      </c>
    </row>
    <row r="3860" spans="12:16" ht="15.75" customHeight="1" x14ac:dyDescent="0.3">
      <c r="L3860" s="6" t="s">
        <v>195</v>
      </c>
      <c r="M3860" s="6" t="s">
        <v>337</v>
      </c>
      <c r="N3860" s="6" t="s">
        <v>160</v>
      </c>
      <c r="O3860" s="6" t="s">
        <v>161</v>
      </c>
      <c r="P3860" s="19">
        <v>2</v>
      </c>
    </row>
    <row r="3861" spans="12:16" ht="15.75" customHeight="1" x14ac:dyDescent="0.3">
      <c r="L3861" s="6" t="s">
        <v>195</v>
      </c>
      <c r="M3861" s="6" t="s">
        <v>337</v>
      </c>
      <c r="N3861" s="6" t="s">
        <v>162</v>
      </c>
      <c r="O3861" s="6" t="s">
        <v>163</v>
      </c>
      <c r="P3861" s="19">
        <v>1</v>
      </c>
    </row>
    <row r="3862" spans="12:16" ht="15.75" customHeight="1" x14ac:dyDescent="0.3">
      <c r="L3862" s="6" t="s">
        <v>195</v>
      </c>
      <c r="M3862" s="6" t="s">
        <v>337</v>
      </c>
      <c r="N3862" s="6" t="s">
        <v>165</v>
      </c>
      <c r="O3862" s="6" t="s">
        <v>166</v>
      </c>
      <c r="P3862" s="19">
        <v>1</v>
      </c>
    </row>
    <row r="3863" spans="12:16" ht="15.75" customHeight="1" x14ac:dyDescent="0.3">
      <c r="L3863" s="6" t="s">
        <v>195</v>
      </c>
      <c r="M3863" s="6" t="s">
        <v>372</v>
      </c>
      <c r="N3863" s="6" t="s">
        <v>72</v>
      </c>
      <c r="O3863" s="6" t="s">
        <v>75</v>
      </c>
      <c r="P3863" s="19">
        <v>1</v>
      </c>
    </row>
    <row r="3864" spans="12:16" ht="15.75" customHeight="1" x14ac:dyDescent="0.3">
      <c r="L3864" s="6" t="s">
        <v>195</v>
      </c>
      <c r="M3864" s="6" t="s">
        <v>372</v>
      </c>
      <c r="N3864" s="6" t="s">
        <v>83</v>
      </c>
      <c r="O3864" s="6" t="s">
        <v>84</v>
      </c>
      <c r="P3864" s="19">
        <v>0</v>
      </c>
    </row>
    <row r="3865" spans="12:16" ht="15.75" customHeight="1" x14ac:dyDescent="0.3">
      <c r="L3865" s="6" t="s">
        <v>195</v>
      </c>
      <c r="M3865" s="6" t="s">
        <v>372</v>
      </c>
      <c r="N3865" s="6" t="s">
        <v>88</v>
      </c>
      <c r="O3865" s="6" t="s">
        <v>90</v>
      </c>
      <c r="P3865" s="17">
        <v>0.5</v>
      </c>
    </row>
    <row r="3866" spans="12:16" ht="15.75" customHeight="1" x14ac:dyDescent="0.3">
      <c r="L3866" s="6" t="s">
        <v>195</v>
      </c>
      <c r="M3866" s="6" t="s">
        <v>372</v>
      </c>
      <c r="N3866" s="6" t="s">
        <v>96</v>
      </c>
      <c r="O3866" s="6" t="s">
        <v>97</v>
      </c>
      <c r="P3866" s="19">
        <v>1</v>
      </c>
    </row>
    <row r="3867" spans="12:16" ht="15.75" customHeight="1" x14ac:dyDescent="0.3">
      <c r="L3867" s="6" t="s">
        <v>195</v>
      </c>
      <c r="M3867" s="6" t="s">
        <v>372</v>
      </c>
      <c r="N3867" s="6" t="s">
        <v>100</v>
      </c>
      <c r="O3867" s="6" t="s">
        <v>101</v>
      </c>
      <c r="P3867" s="19">
        <v>0</v>
      </c>
    </row>
    <row r="3868" spans="12:16" ht="15.75" customHeight="1" x14ac:dyDescent="0.3">
      <c r="L3868" s="6" t="s">
        <v>195</v>
      </c>
      <c r="M3868" s="6" t="s">
        <v>372</v>
      </c>
      <c r="N3868" s="6" t="s">
        <v>22</v>
      </c>
      <c r="O3868" s="6" t="s">
        <v>104</v>
      </c>
      <c r="P3868" s="17">
        <v>2.5</v>
      </c>
    </row>
    <row r="3869" spans="12:16" ht="15.75" customHeight="1" x14ac:dyDescent="0.3">
      <c r="L3869" s="6" t="s">
        <v>195</v>
      </c>
      <c r="M3869" s="6" t="s">
        <v>372</v>
      </c>
      <c r="N3869" s="6" t="s">
        <v>23</v>
      </c>
      <c r="O3869" s="6" t="s">
        <v>107</v>
      </c>
      <c r="P3869" s="17">
        <v>38.7744</v>
      </c>
    </row>
    <row r="3870" spans="12:16" ht="15.75" customHeight="1" x14ac:dyDescent="0.3">
      <c r="L3870" s="6" t="s">
        <v>195</v>
      </c>
      <c r="M3870" s="6" t="s">
        <v>372</v>
      </c>
      <c r="N3870" s="6" t="s">
        <v>24</v>
      </c>
      <c r="O3870" s="6" t="s">
        <v>109</v>
      </c>
      <c r="P3870" s="17">
        <v>3.8E-3</v>
      </c>
    </row>
    <row r="3871" spans="12:16" ht="15.75" customHeight="1" x14ac:dyDescent="0.3">
      <c r="L3871" s="6" t="s">
        <v>195</v>
      </c>
      <c r="M3871" s="6" t="s">
        <v>372</v>
      </c>
      <c r="N3871" s="6" t="s">
        <v>25</v>
      </c>
      <c r="O3871" s="6" t="s">
        <v>111</v>
      </c>
      <c r="P3871" s="19">
        <v>6</v>
      </c>
    </row>
    <row r="3872" spans="12:16" ht="15.75" customHeight="1" x14ac:dyDescent="0.3">
      <c r="L3872" s="6" t="s">
        <v>195</v>
      </c>
      <c r="M3872" s="6" t="s">
        <v>372</v>
      </c>
      <c r="N3872" s="6" t="s">
        <v>26</v>
      </c>
      <c r="O3872" s="6" t="s">
        <v>113</v>
      </c>
      <c r="P3872" s="19">
        <v>6</v>
      </c>
    </row>
    <row r="3873" spans="12:16" ht="15.75" customHeight="1" x14ac:dyDescent="0.3">
      <c r="L3873" s="6" t="s">
        <v>195</v>
      </c>
      <c r="M3873" s="6" t="s">
        <v>372</v>
      </c>
      <c r="N3873" s="6" t="s">
        <v>27</v>
      </c>
      <c r="O3873" s="6" t="s">
        <v>117</v>
      </c>
      <c r="P3873" s="17">
        <v>15.5098</v>
      </c>
    </row>
    <row r="3874" spans="12:16" ht="15.75" customHeight="1" x14ac:dyDescent="0.3">
      <c r="L3874" s="6" t="s">
        <v>195</v>
      </c>
      <c r="M3874" s="6" t="s">
        <v>372</v>
      </c>
      <c r="N3874" s="6" t="s">
        <v>29</v>
      </c>
      <c r="O3874" s="6" t="s">
        <v>125</v>
      </c>
      <c r="P3874" s="19">
        <v>13</v>
      </c>
    </row>
    <row r="3875" spans="12:16" ht="15.75" customHeight="1" x14ac:dyDescent="0.3">
      <c r="L3875" s="6" t="s">
        <v>195</v>
      </c>
      <c r="M3875" s="6" t="s">
        <v>372</v>
      </c>
      <c r="N3875" s="6" t="s">
        <v>135</v>
      </c>
      <c r="O3875" s="6" t="s">
        <v>136</v>
      </c>
      <c r="P3875" s="19">
        <v>1</v>
      </c>
    </row>
    <row r="3876" spans="12:16" ht="15.75" customHeight="1" x14ac:dyDescent="0.3">
      <c r="L3876" s="6" t="s">
        <v>195</v>
      </c>
      <c r="M3876" s="6" t="s">
        <v>372</v>
      </c>
      <c r="N3876" s="6" t="s">
        <v>138</v>
      </c>
      <c r="O3876" s="6" t="s">
        <v>139</v>
      </c>
      <c r="P3876" s="19">
        <v>1</v>
      </c>
    </row>
    <row r="3877" spans="12:16" ht="15.75" customHeight="1" x14ac:dyDescent="0.3">
      <c r="L3877" s="6" t="s">
        <v>195</v>
      </c>
      <c r="M3877" s="6" t="s">
        <v>372</v>
      </c>
      <c r="N3877" s="6" t="s">
        <v>30</v>
      </c>
      <c r="O3877" s="6" t="s">
        <v>148</v>
      </c>
      <c r="P3877" s="17">
        <v>67.372200000000007</v>
      </c>
    </row>
    <row r="3878" spans="12:16" ht="15.75" customHeight="1" x14ac:dyDescent="0.3">
      <c r="L3878" s="6" t="s">
        <v>195</v>
      </c>
      <c r="M3878" s="6" t="s">
        <v>372</v>
      </c>
      <c r="N3878" s="6" t="s">
        <v>156</v>
      </c>
      <c r="O3878" s="6" t="s">
        <v>157</v>
      </c>
      <c r="P3878" s="19">
        <v>0</v>
      </c>
    </row>
    <row r="3879" spans="12:16" ht="15.75" customHeight="1" x14ac:dyDescent="0.3">
      <c r="L3879" s="6" t="s">
        <v>195</v>
      </c>
      <c r="M3879" s="6" t="s">
        <v>372</v>
      </c>
      <c r="N3879" s="6" t="s">
        <v>158</v>
      </c>
      <c r="O3879" s="6" t="s">
        <v>159</v>
      </c>
      <c r="P3879" s="19">
        <v>2</v>
      </c>
    </row>
    <row r="3880" spans="12:16" ht="15.75" customHeight="1" x14ac:dyDescent="0.3">
      <c r="L3880" s="6" t="s">
        <v>195</v>
      </c>
      <c r="M3880" s="6" t="s">
        <v>372</v>
      </c>
      <c r="N3880" s="6" t="s">
        <v>160</v>
      </c>
      <c r="O3880" s="6" t="s">
        <v>161</v>
      </c>
      <c r="P3880" s="19">
        <v>1</v>
      </c>
    </row>
    <row r="3881" spans="12:16" ht="15.75" customHeight="1" x14ac:dyDescent="0.3">
      <c r="L3881" s="6" t="s">
        <v>195</v>
      </c>
      <c r="M3881" s="6" t="s">
        <v>372</v>
      </c>
      <c r="N3881" s="6" t="s">
        <v>162</v>
      </c>
      <c r="O3881" s="6" t="s">
        <v>163</v>
      </c>
      <c r="P3881" s="19">
        <v>1</v>
      </c>
    </row>
    <row r="3882" spans="12:16" ht="15.75" customHeight="1" x14ac:dyDescent="0.3">
      <c r="L3882" s="6" t="s">
        <v>195</v>
      </c>
      <c r="M3882" s="6" t="s">
        <v>372</v>
      </c>
      <c r="N3882" s="6" t="s">
        <v>165</v>
      </c>
      <c r="O3882" s="6" t="s">
        <v>166</v>
      </c>
      <c r="P3882" s="19">
        <v>0</v>
      </c>
    </row>
    <row r="3883" spans="12:16" ht="15.75" customHeight="1" x14ac:dyDescent="0.3">
      <c r="L3883" s="6" t="s">
        <v>195</v>
      </c>
      <c r="M3883" s="6" t="s">
        <v>359</v>
      </c>
      <c r="N3883" s="6" t="s">
        <v>72</v>
      </c>
      <c r="O3883" s="6" t="s">
        <v>75</v>
      </c>
      <c r="P3883" s="19">
        <v>2</v>
      </c>
    </row>
    <row r="3884" spans="12:16" ht="15.75" customHeight="1" x14ac:dyDescent="0.3">
      <c r="L3884" s="6" t="s">
        <v>195</v>
      </c>
      <c r="M3884" s="6" t="s">
        <v>359</v>
      </c>
      <c r="N3884" s="6" t="s">
        <v>83</v>
      </c>
      <c r="O3884" s="6" t="s">
        <v>84</v>
      </c>
      <c r="P3884" s="19">
        <v>1</v>
      </c>
    </row>
    <row r="3885" spans="12:16" ht="15.75" customHeight="1" x14ac:dyDescent="0.3">
      <c r="L3885" s="6" t="s">
        <v>195</v>
      </c>
      <c r="M3885" s="6" t="s">
        <v>359</v>
      </c>
      <c r="N3885" s="6" t="s">
        <v>88</v>
      </c>
      <c r="O3885" s="6" t="s">
        <v>90</v>
      </c>
      <c r="P3885" s="17">
        <v>0.5</v>
      </c>
    </row>
    <row r="3886" spans="12:16" ht="15.75" customHeight="1" x14ac:dyDescent="0.3">
      <c r="L3886" s="6" t="s">
        <v>195</v>
      </c>
      <c r="M3886" s="6" t="s">
        <v>359</v>
      </c>
      <c r="N3886" s="6" t="s">
        <v>96</v>
      </c>
      <c r="O3886" s="6" t="s">
        <v>97</v>
      </c>
      <c r="P3886" s="19">
        <v>2</v>
      </c>
    </row>
    <row r="3887" spans="12:16" ht="15.75" customHeight="1" x14ac:dyDescent="0.3">
      <c r="L3887" s="6" t="s">
        <v>195</v>
      </c>
      <c r="M3887" s="6" t="s">
        <v>359</v>
      </c>
      <c r="N3887" s="6" t="s">
        <v>100</v>
      </c>
      <c r="O3887" s="6" t="s">
        <v>101</v>
      </c>
      <c r="P3887" s="19">
        <v>0</v>
      </c>
    </row>
    <row r="3888" spans="12:16" ht="15.75" customHeight="1" x14ac:dyDescent="0.3">
      <c r="L3888" s="6" t="s">
        <v>195</v>
      </c>
      <c r="M3888" s="6" t="s">
        <v>359</v>
      </c>
      <c r="N3888" s="6" t="s">
        <v>22</v>
      </c>
      <c r="O3888" s="6" t="s">
        <v>104</v>
      </c>
      <c r="P3888" s="17">
        <v>9.75</v>
      </c>
    </row>
    <row r="3889" spans="12:16" ht="15.75" customHeight="1" x14ac:dyDescent="0.3">
      <c r="L3889" s="6" t="s">
        <v>195</v>
      </c>
      <c r="M3889" s="6" t="s">
        <v>359</v>
      </c>
      <c r="N3889" s="6" t="s">
        <v>23</v>
      </c>
      <c r="O3889" s="6" t="s">
        <v>107</v>
      </c>
      <c r="P3889" s="17">
        <v>797.05529999999999</v>
      </c>
    </row>
    <row r="3890" spans="12:16" ht="15.75" customHeight="1" x14ac:dyDescent="0.3">
      <c r="L3890" s="6" t="s">
        <v>195</v>
      </c>
      <c r="M3890" s="6" t="s">
        <v>359</v>
      </c>
      <c r="N3890" s="6" t="s">
        <v>24</v>
      </c>
      <c r="O3890" s="6" t="s">
        <v>109</v>
      </c>
      <c r="P3890" s="17">
        <v>2.87E-2</v>
      </c>
    </row>
    <row r="3891" spans="12:16" ht="15.75" customHeight="1" x14ac:dyDescent="0.3">
      <c r="L3891" s="6" t="s">
        <v>195</v>
      </c>
      <c r="M3891" s="6" t="s">
        <v>359</v>
      </c>
      <c r="N3891" s="6" t="s">
        <v>25</v>
      </c>
      <c r="O3891" s="6" t="s">
        <v>111</v>
      </c>
      <c r="P3891" s="19">
        <v>20</v>
      </c>
    </row>
    <row r="3892" spans="12:16" ht="15.75" customHeight="1" x14ac:dyDescent="0.3">
      <c r="L3892" s="6" t="s">
        <v>195</v>
      </c>
      <c r="M3892" s="6" t="s">
        <v>359</v>
      </c>
      <c r="N3892" s="6" t="s">
        <v>26</v>
      </c>
      <c r="O3892" s="6" t="s">
        <v>113</v>
      </c>
      <c r="P3892" s="19">
        <v>17</v>
      </c>
    </row>
    <row r="3893" spans="12:16" ht="15.75" customHeight="1" x14ac:dyDescent="0.3">
      <c r="L3893" s="6" t="s">
        <v>195</v>
      </c>
      <c r="M3893" s="6" t="s">
        <v>359</v>
      </c>
      <c r="N3893" s="6" t="s">
        <v>27</v>
      </c>
      <c r="O3893" s="6" t="s">
        <v>117</v>
      </c>
      <c r="P3893" s="17">
        <v>81.749300000000005</v>
      </c>
    </row>
    <row r="3894" spans="12:16" ht="15.75" customHeight="1" x14ac:dyDescent="0.3">
      <c r="L3894" s="6" t="s">
        <v>195</v>
      </c>
      <c r="M3894" s="6" t="s">
        <v>359</v>
      </c>
      <c r="N3894" s="6" t="s">
        <v>29</v>
      </c>
      <c r="O3894" s="6" t="s">
        <v>125</v>
      </c>
      <c r="P3894" s="19">
        <v>18</v>
      </c>
    </row>
    <row r="3895" spans="12:16" ht="15.75" customHeight="1" x14ac:dyDescent="0.3">
      <c r="L3895" s="6" t="s">
        <v>195</v>
      </c>
      <c r="M3895" s="6" t="s">
        <v>359</v>
      </c>
      <c r="N3895" s="6" t="s">
        <v>135</v>
      </c>
      <c r="O3895" s="6" t="s">
        <v>136</v>
      </c>
      <c r="P3895" s="19">
        <v>1</v>
      </c>
    </row>
    <row r="3896" spans="12:16" ht="15.75" customHeight="1" x14ac:dyDescent="0.3">
      <c r="L3896" s="6" t="s">
        <v>195</v>
      </c>
      <c r="M3896" s="6" t="s">
        <v>359</v>
      </c>
      <c r="N3896" s="6" t="s">
        <v>138</v>
      </c>
      <c r="O3896" s="6" t="s">
        <v>139</v>
      </c>
      <c r="P3896" s="19">
        <v>1</v>
      </c>
    </row>
    <row r="3897" spans="12:16" ht="15.75" customHeight="1" x14ac:dyDescent="0.3">
      <c r="L3897" s="6" t="s">
        <v>195</v>
      </c>
      <c r="M3897" s="6" t="s">
        <v>359</v>
      </c>
      <c r="N3897" s="6" t="s">
        <v>30</v>
      </c>
      <c r="O3897" s="6" t="s">
        <v>148</v>
      </c>
      <c r="P3897" s="17">
        <v>59.106499999999997</v>
      </c>
    </row>
    <row r="3898" spans="12:16" ht="15.75" customHeight="1" x14ac:dyDescent="0.3">
      <c r="L3898" s="6" t="s">
        <v>195</v>
      </c>
      <c r="M3898" s="6" t="s">
        <v>359</v>
      </c>
      <c r="N3898" s="6" t="s">
        <v>156</v>
      </c>
      <c r="O3898" s="6" t="s">
        <v>157</v>
      </c>
      <c r="P3898" s="19">
        <v>0</v>
      </c>
    </row>
    <row r="3899" spans="12:16" ht="15.75" customHeight="1" x14ac:dyDescent="0.3">
      <c r="L3899" s="6" t="s">
        <v>195</v>
      </c>
      <c r="M3899" s="6" t="s">
        <v>359</v>
      </c>
      <c r="N3899" s="6" t="s">
        <v>158</v>
      </c>
      <c r="O3899" s="6" t="s">
        <v>159</v>
      </c>
      <c r="P3899" s="19">
        <v>3</v>
      </c>
    </row>
    <row r="3900" spans="12:16" ht="15.75" customHeight="1" x14ac:dyDescent="0.3">
      <c r="L3900" s="6" t="s">
        <v>195</v>
      </c>
      <c r="M3900" s="6" t="s">
        <v>359</v>
      </c>
      <c r="N3900" s="6" t="s">
        <v>160</v>
      </c>
      <c r="O3900" s="6" t="s">
        <v>161</v>
      </c>
      <c r="P3900" s="19">
        <v>1</v>
      </c>
    </row>
    <row r="3901" spans="12:16" ht="15.75" customHeight="1" x14ac:dyDescent="0.3">
      <c r="L3901" s="6" t="s">
        <v>195</v>
      </c>
      <c r="M3901" s="6" t="s">
        <v>359</v>
      </c>
      <c r="N3901" s="6" t="s">
        <v>162</v>
      </c>
      <c r="O3901" s="6" t="s">
        <v>163</v>
      </c>
      <c r="P3901" s="19">
        <v>1</v>
      </c>
    </row>
    <row r="3902" spans="12:16" ht="15.75" customHeight="1" x14ac:dyDescent="0.3">
      <c r="L3902" s="6" t="s">
        <v>195</v>
      </c>
      <c r="M3902" s="6" t="s">
        <v>359</v>
      </c>
      <c r="N3902" s="6" t="s">
        <v>165</v>
      </c>
      <c r="O3902" s="6" t="s">
        <v>166</v>
      </c>
      <c r="P3902" s="19">
        <v>0</v>
      </c>
    </row>
    <row r="3903" spans="12:16" ht="15.75" customHeight="1" x14ac:dyDescent="0.3">
      <c r="L3903" s="6" t="s">
        <v>195</v>
      </c>
      <c r="M3903" s="6" t="s">
        <v>229</v>
      </c>
      <c r="N3903" s="6" t="s">
        <v>72</v>
      </c>
      <c r="O3903" s="6" t="s">
        <v>75</v>
      </c>
      <c r="P3903" s="19">
        <v>0</v>
      </c>
    </row>
    <row r="3904" spans="12:16" ht="15.75" customHeight="1" x14ac:dyDescent="0.3">
      <c r="L3904" s="6" t="s">
        <v>195</v>
      </c>
      <c r="M3904" s="6" t="s">
        <v>229</v>
      </c>
      <c r="N3904" s="6" t="s">
        <v>83</v>
      </c>
      <c r="O3904" s="6" t="s">
        <v>84</v>
      </c>
      <c r="P3904" s="19">
        <v>0</v>
      </c>
    </row>
    <row r="3905" spans="12:16" ht="15.75" customHeight="1" x14ac:dyDescent="0.3">
      <c r="L3905" s="6" t="s">
        <v>195</v>
      </c>
      <c r="M3905" s="6" t="s">
        <v>229</v>
      </c>
      <c r="N3905" s="6" t="s">
        <v>88</v>
      </c>
      <c r="O3905" s="6" t="s">
        <v>90</v>
      </c>
      <c r="P3905" s="19">
        <v>0</v>
      </c>
    </row>
    <row r="3906" spans="12:16" ht="15.75" customHeight="1" x14ac:dyDescent="0.3">
      <c r="L3906" s="6" t="s">
        <v>195</v>
      </c>
      <c r="M3906" s="6" t="s">
        <v>229</v>
      </c>
      <c r="N3906" s="6" t="s">
        <v>96</v>
      </c>
      <c r="O3906" s="6" t="s">
        <v>97</v>
      </c>
      <c r="P3906" s="19">
        <v>0</v>
      </c>
    </row>
    <row r="3907" spans="12:16" ht="15.75" customHeight="1" x14ac:dyDescent="0.3">
      <c r="L3907" s="6" t="s">
        <v>195</v>
      </c>
      <c r="M3907" s="6" t="s">
        <v>229</v>
      </c>
      <c r="N3907" s="6" t="s">
        <v>100</v>
      </c>
      <c r="O3907" s="6" t="s">
        <v>101</v>
      </c>
      <c r="P3907" s="19">
        <v>0</v>
      </c>
    </row>
    <row r="3908" spans="12:16" ht="15.75" customHeight="1" x14ac:dyDescent="0.3">
      <c r="L3908" s="6" t="s">
        <v>195</v>
      </c>
      <c r="M3908" s="6" t="s">
        <v>229</v>
      </c>
      <c r="N3908" s="6" t="s">
        <v>22</v>
      </c>
      <c r="O3908" s="6" t="s">
        <v>104</v>
      </c>
      <c r="P3908" s="17">
        <v>1.1667000000000001</v>
      </c>
    </row>
    <row r="3909" spans="12:16" ht="15.75" customHeight="1" x14ac:dyDescent="0.3">
      <c r="L3909" s="6" t="s">
        <v>195</v>
      </c>
      <c r="M3909" s="6" t="s">
        <v>229</v>
      </c>
      <c r="N3909" s="6" t="s">
        <v>23</v>
      </c>
      <c r="O3909" s="6" t="s">
        <v>107</v>
      </c>
      <c r="P3909" s="17">
        <v>31.5</v>
      </c>
    </row>
    <row r="3910" spans="12:16" ht="15.75" customHeight="1" x14ac:dyDescent="0.3">
      <c r="L3910" s="6" t="s">
        <v>195</v>
      </c>
      <c r="M3910" s="6" t="s">
        <v>229</v>
      </c>
      <c r="N3910" s="6" t="s">
        <v>24</v>
      </c>
      <c r="O3910" s="6" t="s">
        <v>109</v>
      </c>
      <c r="P3910" s="17">
        <v>3.3E-3</v>
      </c>
    </row>
    <row r="3911" spans="12:16" ht="15.75" customHeight="1" x14ac:dyDescent="0.3">
      <c r="L3911" s="6" t="s">
        <v>195</v>
      </c>
      <c r="M3911" s="6" t="s">
        <v>229</v>
      </c>
      <c r="N3911" s="6" t="s">
        <v>25</v>
      </c>
      <c r="O3911" s="6" t="s">
        <v>111</v>
      </c>
      <c r="P3911" s="19">
        <v>9</v>
      </c>
    </row>
    <row r="3912" spans="12:16" ht="15.75" customHeight="1" x14ac:dyDescent="0.3">
      <c r="L3912" s="6" t="s">
        <v>195</v>
      </c>
      <c r="M3912" s="6" t="s">
        <v>229</v>
      </c>
      <c r="N3912" s="6" t="s">
        <v>26</v>
      </c>
      <c r="O3912" s="6" t="s">
        <v>113</v>
      </c>
      <c r="P3912" s="19">
        <v>8</v>
      </c>
    </row>
    <row r="3913" spans="12:16" ht="15.75" customHeight="1" x14ac:dyDescent="0.3">
      <c r="L3913" s="6" t="s">
        <v>195</v>
      </c>
      <c r="M3913" s="6" t="s">
        <v>229</v>
      </c>
      <c r="N3913" s="6" t="s">
        <v>27</v>
      </c>
      <c r="O3913" s="6" t="s">
        <v>117</v>
      </c>
      <c r="P3913" s="19">
        <v>27</v>
      </c>
    </row>
    <row r="3914" spans="12:16" ht="15.75" customHeight="1" x14ac:dyDescent="0.3">
      <c r="L3914" s="6" t="s">
        <v>195</v>
      </c>
      <c r="M3914" s="6" t="s">
        <v>229</v>
      </c>
      <c r="N3914" s="6" t="s">
        <v>29</v>
      </c>
      <c r="O3914" s="6" t="s">
        <v>125</v>
      </c>
      <c r="P3914" s="19">
        <v>10</v>
      </c>
    </row>
    <row r="3915" spans="12:16" ht="15.75" customHeight="1" x14ac:dyDescent="0.3">
      <c r="L3915" s="6" t="s">
        <v>195</v>
      </c>
      <c r="M3915" s="6" t="s">
        <v>229</v>
      </c>
      <c r="N3915" s="6" t="s">
        <v>135</v>
      </c>
      <c r="O3915" s="6" t="s">
        <v>136</v>
      </c>
      <c r="P3915" s="19">
        <v>1</v>
      </c>
    </row>
    <row r="3916" spans="12:16" ht="15.75" customHeight="1" x14ac:dyDescent="0.3">
      <c r="L3916" s="6" t="s">
        <v>195</v>
      </c>
      <c r="M3916" s="6" t="s">
        <v>229</v>
      </c>
      <c r="N3916" s="6" t="s">
        <v>138</v>
      </c>
      <c r="O3916" s="6" t="s">
        <v>139</v>
      </c>
      <c r="P3916" s="19">
        <v>0</v>
      </c>
    </row>
    <row r="3917" spans="12:16" ht="15.75" customHeight="1" x14ac:dyDescent="0.3">
      <c r="L3917" s="6" t="s">
        <v>195</v>
      </c>
      <c r="M3917" s="6" t="s">
        <v>229</v>
      </c>
      <c r="N3917" s="6" t="s">
        <v>30</v>
      </c>
      <c r="O3917" s="6" t="s">
        <v>148</v>
      </c>
      <c r="P3917" s="17">
        <v>68.278400000000005</v>
      </c>
    </row>
    <row r="3918" spans="12:16" ht="15.75" customHeight="1" x14ac:dyDescent="0.3">
      <c r="L3918" s="6" t="s">
        <v>195</v>
      </c>
      <c r="M3918" s="6" t="s">
        <v>229</v>
      </c>
      <c r="N3918" s="6" t="s">
        <v>156</v>
      </c>
      <c r="O3918" s="6" t="s">
        <v>157</v>
      </c>
      <c r="P3918" s="19">
        <v>0</v>
      </c>
    </row>
    <row r="3919" spans="12:16" ht="15.75" customHeight="1" x14ac:dyDescent="0.3">
      <c r="L3919" s="6" t="s">
        <v>195</v>
      </c>
      <c r="M3919" s="6" t="s">
        <v>229</v>
      </c>
      <c r="N3919" s="6" t="s">
        <v>158</v>
      </c>
      <c r="O3919" s="6" t="s">
        <v>159</v>
      </c>
      <c r="P3919" s="19">
        <v>1</v>
      </c>
    </row>
    <row r="3920" spans="12:16" ht="15.75" customHeight="1" x14ac:dyDescent="0.3">
      <c r="L3920" s="6" t="s">
        <v>195</v>
      </c>
      <c r="M3920" s="6" t="s">
        <v>229</v>
      </c>
      <c r="N3920" s="6" t="s">
        <v>160</v>
      </c>
      <c r="O3920" s="6" t="s">
        <v>161</v>
      </c>
      <c r="P3920" s="19">
        <v>3</v>
      </c>
    </row>
    <row r="3921" spans="12:16" ht="15.75" customHeight="1" x14ac:dyDescent="0.3">
      <c r="L3921" s="6" t="s">
        <v>195</v>
      </c>
      <c r="M3921" s="6" t="s">
        <v>229</v>
      </c>
      <c r="N3921" s="6" t="s">
        <v>162</v>
      </c>
      <c r="O3921" s="6" t="s">
        <v>163</v>
      </c>
      <c r="P3921" s="19">
        <v>0</v>
      </c>
    </row>
    <row r="3922" spans="12:16" ht="15.75" customHeight="1" x14ac:dyDescent="0.3">
      <c r="L3922" s="6" t="s">
        <v>195</v>
      </c>
      <c r="M3922" s="6" t="s">
        <v>229</v>
      </c>
      <c r="N3922" s="6" t="s">
        <v>165</v>
      </c>
      <c r="O3922" s="6" t="s">
        <v>166</v>
      </c>
      <c r="P3922" s="19">
        <v>0</v>
      </c>
    </row>
    <row r="3923" spans="12:16" ht="15.75" customHeight="1" x14ac:dyDescent="0.3">
      <c r="L3923" s="6" t="s">
        <v>195</v>
      </c>
      <c r="M3923" s="6" t="s">
        <v>345</v>
      </c>
      <c r="N3923" s="6" t="s">
        <v>72</v>
      </c>
      <c r="O3923" s="6" t="s">
        <v>75</v>
      </c>
      <c r="P3923" s="19">
        <v>2</v>
      </c>
    </row>
    <row r="3924" spans="12:16" ht="15.75" customHeight="1" x14ac:dyDescent="0.3">
      <c r="L3924" s="6" t="s">
        <v>195</v>
      </c>
      <c r="M3924" s="6" t="s">
        <v>345</v>
      </c>
      <c r="N3924" s="6" t="s">
        <v>83</v>
      </c>
      <c r="O3924" s="6" t="s">
        <v>84</v>
      </c>
      <c r="P3924" s="19">
        <v>1</v>
      </c>
    </row>
    <row r="3925" spans="12:16" ht="15.75" customHeight="1" x14ac:dyDescent="0.3">
      <c r="L3925" s="6" t="s">
        <v>195</v>
      </c>
      <c r="M3925" s="6" t="s">
        <v>345</v>
      </c>
      <c r="N3925" s="6" t="s">
        <v>88</v>
      </c>
      <c r="O3925" s="6" t="s">
        <v>90</v>
      </c>
      <c r="P3925" s="17">
        <v>0.5</v>
      </c>
    </row>
    <row r="3926" spans="12:16" ht="15.75" customHeight="1" x14ac:dyDescent="0.3">
      <c r="L3926" s="6" t="s">
        <v>195</v>
      </c>
      <c r="M3926" s="6" t="s">
        <v>345</v>
      </c>
      <c r="N3926" s="6" t="s">
        <v>96</v>
      </c>
      <c r="O3926" s="6" t="s">
        <v>97</v>
      </c>
      <c r="P3926" s="19">
        <v>2</v>
      </c>
    </row>
    <row r="3927" spans="12:16" ht="15.75" customHeight="1" x14ac:dyDescent="0.3">
      <c r="L3927" s="6" t="s">
        <v>195</v>
      </c>
      <c r="M3927" s="6" t="s">
        <v>345</v>
      </c>
      <c r="N3927" s="6" t="s">
        <v>100</v>
      </c>
      <c r="O3927" s="6" t="s">
        <v>101</v>
      </c>
      <c r="P3927" s="19">
        <v>0</v>
      </c>
    </row>
    <row r="3928" spans="12:16" ht="15.75" customHeight="1" x14ac:dyDescent="0.3">
      <c r="L3928" s="6" t="s">
        <v>195</v>
      </c>
      <c r="M3928" s="6" t="s">
        <v>345</v>
      </c>
      <c r="N3928" s="6" t="s">
        <v>22</v>
      </c>
      <c r="O3928" s="6" t="s">
        <v>104</v>
      </c>
      <c r="P3928" s="17">
        <v>11.25</v>
      </c>
    </row>
    <row r="3929" spans="12:16" ht="15.75" customHeight="1" x14ac:dyDescent="0.3">
      <c r="L3929" s="6" t="s">
        <v>195</v>
      </c>
      <c r="M3929" s="6" t="s">
        <v>345</v>
      </c>
      <c r="N3929" s="6" t="s">
        <v>23</v>
      </c>
      <c r="O3929" s="6" t="s">
        <v>107</v>
      </c>
      <c r="P3929" s="17">
        <v>1235.3393000000001</v>
      </c>
    </row>
    <row r="3930" spans="12:16" ht="15.75" customHeight="1" x14ac:dyDescent="0.3">
      <c r="L3930" s="6" t="s">
        <v>195</v>
      </c>
      <c r="M3930" s="6" t="s">
        <v>345</v>
      </c>
      <c r="N3930" s="6" t="s">
        <v>24</v>
      </c>
      <c r="O3930" s="6" t="s">
        <v>109</v>
      </c>
      <c r="P3930" s="17">
        <v>3.8399999999999997E-2</v>
      </c>
    </row>
    <row r="3931" spans="12:16" ht="15.75" customHeight="1" x14ac:dyDescent="0.3">
      <c r="L3931" s="6" t="s">
        <v>195</v>
      </c>
      <c r="M3931" s="6" t="s">
        <v>345</v>
      </c>
      <c r="N3931" s="6" t="s">
        <v>25</v>
      </c>
      <c r="O3931" s="6" t="s">
        <v>111</v>
      </c>
      <c r="P3931" s="19">
        <v>25</v>
      </c>
    </row>
    <row r="3932" spans="12:16" ht="15.75" customHeight="1" x14ac:dyDescent="0.3">
      <c r="L3932" s="6" t="s">
        <v>195</v>
      </c>
      <c r="M3932" s="6" t="s">
        <v>345</v>
      </c>
      <c r="N3932" s="6" t="s">
        <v>26</v>
      </c>
      <c r="O3932" s="6" t="s">
        <v>113</v>
      </c>
      <c r="P3932" s="19">
        <v>21</v>
      </c>
    </row>
    <row r="3933" spans="12:16" ht="15.75" customHeight="1" x14ac:dyDescent="0.3">
      <c r="L3933" s="6" t="s">
        <v>195</v>
      </c>
      <c r="M3933" s="6" t="s">
        <v>345</v>
      </c>
      <c r="N3933" s="6" t="s">
        <v>27</v>
      </c>
      <c r="O3933" s="6" t="s">
        <v>117</v>
      </c>
      <c r="P3933" s="17">
        <v>109.8079</v>
      </c>
    </row>
    <row r="3934" spans="12:16" ht="15.75" customHeight="1" x14ac:dyDescent="0.3">
      <c r="L3934" s="6" t="s">
        <v>195</v>
      </c>
      <c r="M3934" s="6" t="s">
        <v>345</v>
      </c>
      <c r="N3934" s="6" t="s">
        <v>29</v>
      </c>
      <c r="O3934" s="6" t="s">
        <v>125</v>
      </c>
      <c r="P3934" s="19">
        <v>20</v>
      </c>
    </row>
    <row r="3935" spans="12:16" ht="15.75" customHeight="1" x14ac:dyDescent="0.3">
      <c r="L3935" s="6" t="s">
        <v>195</v>
      </c>
      <c r="M3935" s="6" t="s">
        <v>345</v>
      </c>
      <c r="N3935" s="6" t="s">
        <v>135</v>
      </c>
      <c r="O3935" s="6" t="s">
        <v>136</v>
      </c>
      <c r="P3935" s="19">
        <v>1</v>
      </c>
    </row>
    <row r="3936" spans="12:16" ht="15.75" customHeight="1" x14ac:dyDescent="0.3">
      <c r="L3936" s="6" t="s">
        <v>195</v>
      </c>
      <c r="M3936" s="6" t="s">
        <v>345</v>
      </c>
      <c r="N3936" s="6" t="s">
        <v>138</v>
      </c>
      <c r="O3936" s="6" t="s">
        <v>139</v>
      </c>
      <c r="P3936" s="19">
        <v>1</v>
      </c>
    </row>
    <row r="3937" spans="12:16" ht="15.75" customHeight="1" x14ac:dyDescent="0.3">
      <c r="L3937" s="6" t="s">
        <v>195</v>
      </c>
      <c r="M3937" s="6" t="s">
        <v>345</v>
      </c>
      <c r="N3937" s="6" t="s">
        <v>30</v>
      </c>
      <c r="O3937" s="6" t="s">
        <v>148</v>
      </c>
      <c r="P3937" s="17">
        <v>57.205500000000001</v>
      </c>
    </row>
    <row r="3938" spans="12:16" ht="15.75" customHeight="1" x14ac:dyDescent="0.3">
      <c r="L3938" s="6" t="s">
        <v>195</v>
      </c>
      <c r="M3938" s="6" t="s">
        <v>345</v>
      </c>
      <c r="N3938" s="6" t="s">
        <v>156</v>
      </c>
      <c r="O3938" s="6" t="s">
        <v>157</v>
      </c>
      <c r="P3938" s="19">
        <v>0</v>
      </c>
    </row>
    <row r="3939" spans="12:16" ht="15.75" customHeight="1" x14ac:dyDescent="0.3">
      <c r="L3939" s="6" t="s">
        <v>195</v>
      </c>
      <c r="M3939" s="6" t="s">
        <v>345</v>
      </c>
      <c r="N3939" s="6" t="s">
        <v>158</v>
      </c>
      <c r="O3939" s="6" t="s">
        <v>159</v>
      </c>
      <c r="P3939" s="19">
        <v>3</v>
      </c>
    </row>
    <row r="3940" spans="12:16" ht="15.75" customHeight="1" x14ac:dyDescent="0.3">
      <c r="L3940" s="6" t="s">
        <v>195</v>
      </c>
      <c r="M3940" s="6" t="s">
        <v>345</v>
      </c>
      <c r="N3940" s="6" t="s">
        <v>160</v>
      </c>
      <c r="O3940" s="6" t="s">
        <v>161</v>
      </c>
      <c r="P3940" s="19">
        <v>2</v>
      </c>
    </row>
    <row r="3941" spans="12:16" ht="15.75" customHeight="1" x14ac:dyDescent="0.3">
      <c r="L3941" s="6" t="s">
        <v>195</v>
      </c>
      <c r="M3941" s="6" t="s">
        <v>345</v>
      </c>
      <c r="N3941" s="6" t="s">
        <v>162</v>
      </c>
      <c r="O3941" s="6" t="s">
        <v>163</v>
      </c>
      <c r="P3941" s="19">
        <v>1</v>
      </c>
    </row>
    <row r="3942" spans="12:16" ht="15.75" customHeight="1" x14ac:dyDescent="0.3">
      <c r="L3942" s="6" t="s">
        <v>195</v>
      </c>
      <c r="M3942" s="6" t="s">
        <v>345</v>
      </c>
      <c r="N3942" s="6" t="s">
        <v>165</v>
      </c>
      <c r="O3942" s="6" t="s">
        <v>166</v>
      </c>
      <c r="P3942" s="19">
        <v>1</v>
      </c>
    </row>
    <row r="3943" spans="12:16" ht="15.75" customHeight="1" x14ac:dyDescent="0.3">
      <c r="L3943" s="6" t="s">
        <v>195</v>
      </c>
      <c r="M3943" s="6" t="s">
        <v>339</v>
      </c>
      <c r="N3943" s="6" t="s">
        <v>72</v>
      </c>
      <c r="O3943" s="6" t="s">
        <v>75</v>
      </c>
      <c r="P3943" s="19">
        <v>3</v>
      </c>
    </row>
    <row r="3944" spans="12:16" ht="15.75" customHeight="1" x14ac:dyDescent="0.3">
      <c r="L3944" s="6" t="s">
        <v>195</v>
      </c>
      <c r="M3944" s="6" t="s">
        <v>339</v>
      </c>
      <c r="N3944" s="6" t="s">
        <v>83</v>
      </c>
      <c r="O3944" s="6" t="s">
        <v>84</v>
      </c>
      <c r="P3944" s="19">
        <v>1</v>
      </c>
    </row>
    <row r="3945" spans="12:16" ht="15.75" customHeight="1" x14ac:dyDescent="0.3">
      <c r="L3945" s="6" t="s">
        <v>195</v>
      </c>
      <c r="M3945" s="6" t="s">
        <v>339</v>
      </c>
      <c r="N3945" s="6" t="s">
        <v>88</v>
      </c>
      <c r="O3945" s="6" t="s">
        <v>90</v>
      </c>
      <c r="P3945" s="17">
        <v>0.6</v>
      </c>
    </row>
    <row r="3946" spans="12:16" ht="15.75" customHeight="1" x14ac:dyDescent="0.3">
      <c r="L3946" s="6" t="s">
        <v>195</v>
      </c>
      <c r="M3946" s="6" t="s">
        <v>339</v>
      </c>
      <c r="N3946" s="6" t="s">
        <v>96</v>
      </c>
      <c r="O3946" s="6" t="s">
        <v>97</v>
      </c>
      <c r="P3946" s="19">
        <v>4</v>
      </c>
    </row>
    <row r="3947" spans="12:16" ht="15.75" customHeight="1" x14ac:dyDescent="0.3">
      <c r="L3947" s="6" t="s">
        <v>195</v>
      </c>
      <c r="M3947" s="6" t="s">
        <v>339</v>
      </c>
      <c r="N3947" s="6" t="s">
        <v>100</v>
      </c>
      <c r="O3947" s="6" t="s">
        <v>101</v>
      </c>
      <c r="P3947" s="19">
        <v>0</v>
      </c>
    </row>
    <row r="3948" spans="12:16" ht="15.75" customHeight="1" x14ac:dyDescent="0.3">
      <c r="L3948" s="6" t="s">
        <v>195</v>
      </c>
      <c r="M3948" s="6" t="s">
        <v>339</v>
      </c>
      <c r="N3948" s="6" t="s">
        <v>22</v>
      </c>
      <c r="O3948" s="6" t="s">
        <v>104</v>
      </c>
      <c r="P3948" s="17">
        <v>8.4</v>
      </c>
    </row>
    <row r="3949" spans="12:16" ht="15.75" customHeight="1" x14ac:dyDescent="0.3">
      <c r="L3949" s="6" t="s">
        <v>195</v>
      </c>
      <c r="M3949" s="6" t="s">
        <v>339</v>
      </c>
      <c r="N3949" s="6" t="s">
        <v>23</v>
      </c>
      <c r="O3949" s="6" t="s">
        <v>107</v>
      </c>
      <c r="P3949" s="17">
        <v>686.69380000000001</v>
      </c>
    </row>
    <row r="3950" spans="12:16" ht="15.75" customHeight="1" x14ac:dyDescent="0.3">
      <c r="L3950" s="6" t="s">
        <v>195</v>
      </c>
      <c r="M3950" s="6" t="s">
        <v>339</v>
      </c>
      <c r="N3950" s="6" t="s">
        <v>24</v>
      </c>
      <c r="O3950" s="6" t="s">
        <v>109</v>
      </c>
      <c r="P3950" s="17">
        <v>2.5899999999999999E-2</v>
      </c>
    </row>
    <row r="3951" spans="12:16" ht="15.75" customHeight="1" x14ac:dyDescent="0.3">
      <c r="L3951" s="6" t="s">
        <v>195</v>
      </c>
      <c r="M3951" s="6" t="s">
        <v>339</v>
      </c>
      <c r="N3951" s="6" t="s">
        <v>25</v>
      </c>
      <c r="O3951" s="6" t="s">
        <v>111</v>
      </c>
      <c r="P3951" s="19">
        <v>20</v>
      </c>
    </row>
    <row r="3952" spans="12:16" ht="15.75" customHeight="1" x14ac:dyDescent="0.3">
      <c r="L3952" s="6" t="s">
        <v>195</v>
      </c>
      <c r="M3952" s="6" t="s">
        <v>339</v>
      </c>
      <c r="N3952" s="6" t="s">
        <v>26</v>
      </c>
      <c r="O3952" s="6" t="s">
        <v>113</v>
      </c>
      <c r="P3952" s="19">
        <v>17</v>
      </c>
    </row>
    <row r="3953" spans="12:16" ht="15.75" customHeight="1" x14ac:dyDescent="0.3">
      <c r="L3953" s="6" t="s">
        <v>195</v>
      </c>
      <c r="M3953" s="6" t="s">
        <v>339</v>
      </c>
      <c r="N3953" s="6" t="s">
        <v>27</v>
      </c>
      <c r="O3953" s="6" t="s">
        <v>117</v>
      </c>
      <c r="P3953" s="17">
        <v>81.749300000000005</v>
      </c>
    </row>
    <row r="3954" spans="12:16" ht="15.75" customHeight="1" x14ac:dyDescent="0.3">
      <c r="L3954" s="6" t="s">
        <v>195</v>
      </c>
      <c r="M3954" s="6" t="s">
        <v>339</v>
      </c>
      <c r="N3954" s="6" t="s">
        <v>29</v>
      </c>
      <c r="O3954" s="6" t="s">
        <v>125</v>
      </c>
      <c r="P3954" s="19">
        <v>21</v>
      </c>
    </row>
    <row r="3955" spans="12:16" ht="15.75" customHeight="1" x14ac:dyDescent="0.3">
      <c r="L3955" s="6" t="s">
        <v>195</v>
      </c>
      <c r="M3955" s="6" t="s">
        <v>339</v>
      </c>
      <c r="N3955" s="6" t="s">
        <v>135</v>
      </c>
      <c r="O3955" s="6" t="s">
        <v>136</v>
      </c>
      <c r="P3955" s="19">
        <v>0</v>
      </c>
    </row>
    <row r="3956" spans="12:16" ht="15.75" customHeight="1" x14ac:dyDescent="0.3">
      <c r="L3956" s="6" t="s">
        <v>195</v>
      </c>
      <c r="M3956" s="6" t="s">
        <v>339</v>
      </c>
      <c r="N3956" s="6" t="s">
        <v>138</v>
      </c>
      <c r="O3956" s="6" t="s">
        <v>139</v>
      </c>
      <c r="P3956" s="19">
        <v>1</v>
      </c>
    </row>
    <row r="3957" spans="12:16" ht="15.75" customHeight="1" x14ac:dyDescent="0.3">
      <c r="L3957" s="6" t="s">
        <v>195</v>
      </c>
      <c r="M3957" s="6" t="s">
        <v>339</v>
      </c>
      <c r="N3957" s="6" t="s">
        <v>30</v>
      </c>
      <c r="O3957" s="6" t="s">
        <v>148</v>
      </c>
      <c r="P3957" s="17">
        <v>57.6462</v>
      </c>
    </row>
    <row r="3958" spans="12:16" ht="15.75" customHeight="1" x14ac:dyDescent="0.3">
      <c r="L3958" s="6" t="s">
        <v>195</v>
      </c>
      <c r="M3958" s="6" t="s">
        <v>339</v>
      </c>
      <c r="N3958" s="6" t="s">
        <v>156</v>
      </c>
      <c r="O3958" s="6" t="s">
        <v>157</v>
      </c>
      <c r="P3958" s="19">
        <v>0</v>
      </c>
    </row>
    <row r="3959" spans="12:16" ht="15.75" customHeight="1" x14ac:dyDescent="0.3">
      <c r="L3959" s="6" t="s">
        <v>195</v>
      </c>
      <c r="M3959" s="6" t="s">
        <v>339</v>
      </c>
      <c r="N3959" s="6" t="s">
        <v>158</v>
      </c>
      <c r="O3959" s="6" t="s">
        <v>159</v>
      </c>
      <c r="P3959" s="19">
        <v>3</v>
      </c>
    </row>
    <row r="3960" spans="12:16" ht="15.75" customHeight="1" x14ac:dyDescent="0.3">
      <c r="L3960" s="6" t="s">
        <v>195</v>
      </c>
      <c r="M3960" s="6" t="s">
        <v>339</v>
      </c>
      <c r="N3960" s="6" t="s">
        <v>160</v>
      </c>
      <c r="O3960" s="6" t="s">
        <v>161</v>
      </c>
      <c r="P3960" s="19">
        <v>2</v>
      </c>
    </row>
    <row r="3961" spans="12:16" ht="15.75" customHeight="1" x14ac:dyDescent="0.3">
      <c r="L3961" s="6" t="s">
        <v>195</v>
      </c>
      <c r="M3961" s="6" t="s">
        <v>339</v>
      </c>
      <c r="N3961" s="6" t="s">
        <v>162</v>
      </c>
      <c r="O3961" s="6" t="s">
        <v>163</v>
      </c>
      <c r="P3961" s="19">
        <v>1</v>
      </c>
    </row>
    <row r="3962" spans="12:16" ht="15.75" customHeight="1" x14ac:dyDescent="0.3">
      <c r="L3962" s="6" t="s">
        <v>195</v>
      </c>
      <c r="M3962" s="6" t="s">
        <v>339</v>
      </c>
      <c r="N3962" s="6" t="s">
        <v>165</v>
      </c>
      <c r="O3962" s="6" t="s">
        <v>166</v>
      </c>
      <c r="P3962" s="19">
        <v>1</v>
      </c>
    </row>
    <row r="3963" spans="12:16" ht="15.75" customHeight="1" x14ac:dyDescent="0.3">
      <c r="L3963" s="6" t="s">
        <v>196</v>
      </c>
      <c r="M3963" s="6" t="s">
        <v>313</v>
      </c>
      <c r="N3963" s="6" t="s">
        <v>72</v>
      </c>
      <c r="O3963" s="6" t="s">
        <v>75</v>
      </c>
      <c r="P3963" s="19">
        <v>5</v>
      </c>
    </row>
    <row r="3964" spans="12:16" ht="15.75" customHeight="1" x14ac:dyDescent="0.3">
      <c r="L3964" s="6" t="s">
        <v>196</v>
      </c>
      <c r="M3964" s="6" t="s">
        <v>313</v>
      </c>
      <c r="N3964" s="6" t="s">
        <v>83</v>
      </c>
      <c r="O3964" s="6" t="s">
        <v>84</v>
      </c>
      <c r="P3964" s="19">
        <v>2</v>
      </c>
    </row>
    <row r="3965" spans="12:16" ht="15.75" customHeight="1" x14ac:dyDescent="0.3">
      <c r="L3965" s="6" t="s">
        <v>196</v>
      </c>
      <c r="M3965" s="6" t="s">
        <v>313</v>
      </c>
      <c r="N3965" s="6" t="s">
        <v>88</v>
      </c>
      <c r="O3965" s="6" t="s">
        <v>90</v>
      </c>
      <c r="P3965" s="17">
        <v>0.375</v>
      </c>
    </row>
    <row r="3966" spans="12:16" ht="15.75" customHeight="1" x14ac:dyDescent="0.3">
      <c r="L3966" s="6" t="s">
        <v>196</v>
      </c>
      <c r="M3966" s="6" t="s">
        <v>313</v>
      </c>
      <c r="N3966" s="6" t="s">
        <v>96</v>
      </c>
      <c r="O3966" s="6" t="s">
        <v>97</v>
      </c>
      <c r="P3966" s="19">
        <v>7</v>
      </c>
    </row>
    <row r="3967" spans="12:16" ht="15.75" customHeight="1" x14ac:dyDescent="0.3">
      <c r="L3967" s="6" t="s">
        <v>196</v>
      </c>
      <c r="M3967" s="6" t="s">
        <v>313</v>
      </c>
      <c r="N3967" s="6" t="s">
        <v>100</v>
      </c>
      <c r="O3967" s="6" t="s">
        <v>101</v>
      </c>
      <c r="P3967" s="19">
        <v>1</v>
      </c>
    </row>
    <row r="3968" spans="12:16" ht="15.75" customHeight="1" x14ac:dyDescent="0.3">
      <c r="L3968" s="6" t="s">
        <v>196</v>
      </c>
      <c r="M3968" s="6" t="s">
        <v>313</v>
      </c>
      <c r="N3968" s="6" t="s">
        <v>22</v>
      </c>
      <c r="O3968" s="6" t="s">
        <v>104</v>
      </c>
      <c r="P3968" s="17">
        <v>20.125</v>
      </c>
    </row>
    <row r="3969" spans="12:16" ht="15.75" customHeight="1" x14ac:dyDescent="0.3">
      <c r="L3969" s="6" t="s">
        <v>196</v>
      </c>
      <c r="M3969" s="6" t="s">
        <v>313</v>
      </c>
      <c r="N3969" s="6" t="s">
        <v>23</v>
      </c>
      <c r="O3969" s="6" t="s">
        <v>107</v>
      </c>
      <c r="P3969" s="17">
        <v>4771.3662999999997</v>
      </c>
    </row>
    <row r="3970" spans="12:16" ht="15.75" customHeight="1" x14ac:dyDescent="0.3">
      <c r="L3970" s="6" t="s">
        <v>196</v>
      </c>
      <c r="M3970" s="6" t="s">
        <v>313</v>
      </c>
      <c r="N3970" s="6" t="s">
        <v>24</v>
      </c>
      <c r="O3970" s="6" t="s">
        <v>109</v>
      </c>
      <c r="P3970" s="17">
        <v>9.4500000000000001E-2</v>
      </c>
    </row>
    <row r="3971" spans="12:16" ht="15.75" customHeight="1" x14ac:dyDescent="0.3">
      <c r="L3971" s="6" t="s">
        <v>196</v>
      </c>
      <c r="M3971" s="6" t="s">
        <v>313</v>
      </c>
      <c r="N3971" s="6" t="s">
        <v>25</v>
      </c>
      <c r="O3971" s="6" t="s">
        <v>111</v>
      </c>
      <c r="P3971" s="19">
        <v>47</v>
      </c>
    </row>
    <row r="3972" spans="12:16" ht="15.75" customHeight="1" x14ac:dyDescent="0.3">
      <c r="L3972" s="6" t="s">
        <v>196</v>
      </c>
      <c r="M3972" s="6" t="s">
        <v>313</v>
      </c>
      <c r="N3972" s="6" t="s">
        <v>26</v>
      </c>
      <c r="O3972" s="6" t="s">
        <v>113</v>
      </c>
      <c r="P3972" s="19">
        <v>33</v>
      </c>
    </row>
    <row r="3973" spans="12:16" ht="15.75" customHeight="1" x14ac:dyDescent="0.3">
      <c r="L3973" s="6" t="s">
        <v>196</v>
      </c>
      <c r="M3973" s="6" t="s">
        <v>313</v>
      </c>
      <c r="N3973" s="6" t="s">
        <v>27</v>
      </c>
      <c r="O3973" s="6" t="s">
        <v>117</v>
      </c>
      <c r="P3973" s="17">
        <v>237.0865</v>
      </c>
    </row>
    <row r="3974" spans="12:16" ht="15.75" customHeight="1" x14ac:dyDescent="0.3">
      <c r="L3974" s="6" t="s">
        <v>196</v>
      </c>
      <c r="M3974" s="6" t="s">
        <v>313</v>
      </c>
      <c r="N3974" s="6" t="s">
        <v>29</v>
      </c>
      <c r="O3974" s="6" t="s">
        <v>125</v>
      </c>
      <c r="P3974" s="19">
        <v>19</v>
      </c>
    </row>
    <row r="3975" spans="12:16" ht="15.75" customHeight="1" x14ac:dyDescent="0.3">
      <c r="L3975" s="6" t="s">
        <v>196</v>
      </c>
      <c r="M3975" s="6" t="s">
        <v>313</v>
      </c>
      <c r="N3975" s="6" t="s">
        <v>135</v>
      </c>
      <c r="O3975" s="6" t="s">
        <v>136</v>
      </c>
      <c r="P3975" s="17">
        <v>0.5</v>
      </c>
    </row>
    <row r="3976" spans="12:16" ht="15.75" customHeight="1" x14ac:dyDescent="0.3">
      <c r="L3976" s="6" t="s">
        <v>196</v>
      </c>
      <c r="M3976" s="6" t="s">
        <v>313</v>
      </c>
      <c r="N3976" s="6" t="s">
        <v>138</v>
      </c>
      <c r="O3976" s="6" t="s">
        <v>139</v>
      </c>
      <c r="P3976" s="19">
        <v>1</v>
      </c>
    </row>
    <row r="3977" spans="12:16" ht="15.75" customHeight="1" x14ac:dyDescent="0.3">
      <c r="L3977" s="6" t="s">
        <v>196</v>
      </c>
      <c r="M3977" s="6" t="s">
        <v>313</v>
      </c>
      <c r="N3977" s="6" t="s">
        <v>30</v>
      </c>
      <c r="O3977" s="6" t="s">
        <v>148</v>
      </c>
      <c r="P3977" s="17">
        <v>55.290799999999997</v>
      </c>
    </row>
    <row r="3978" spans="12:16" ht="15.75" customHeight="1" x14ac:dyDescent="0.3">
      <c r="L3978" s="6" t="s">
        <v>196</v>
      </c>
      <c r="M3978" s="6" t="s">
        <v>313</v>
      </c>
      <c r="N3978" s="6" t="s">
        <v>156</v>
      </c>
      <c r="O3978" s="6" t="s">
        <v>157</v>
      </c>
      <c r="P3978" s="19">
        <v>2</v>
      </c>
    </row>
    <row r="3979" spans="12:16" ht="15.75" customHeight="1" x14ac:dyDescent="0.3">
      <c r="L3979" s="6" t="s">
        <v>196</v>
      </c>
      <c r="M3979" s="6" t="s">
        <v>313</v>
      </c>
      <c r="N3979" s="6" t="s">
        <v>158</v>
      </c>
      <c r="O3979" s="6" t="s">
        <v>159</v>
      </c>
      <c r="P3979" s="19">
        <v>4</v>
      </c>
    </row>
    <row r="3980" spans="12:16" ht="15.75" customHeight="1" x14ac:dyDescent="0.3">
      <c r="L3980" s="6" t="s">
        <v>196</v>
      </c>
      <c r="M3980" s="6" t="s">
        <v>313</v>
      </c>
      <c r="N3980" s="6" t="s">
        <v>160</v>
      </c>
      <c r="O3980" s="6" t="s">
        <v>161</v>
      </c>
      <c r="P3980" s="19">
        <v>7</v>
      </c>
    </row>
    <row r="3981" spans="12:16" ht="15.75" customHeight="1" x14ac:dyDescent="0.3">
      <c r="L3981" s="6" t="s">
        <v>196</v>
      </c>
      <c r="M3981" s="6" t="s">
        <v>313</v>
      </c>
      <c r="N3981" s="6" t="s">
        <v>162</v>
      </c>
      <c r="O3981" s="6" t="s">
        <v>163</v>
      </c>
      <c r="P3981" s="19">
        <v>1</v>
      </c>
    </row>
    <row r="3982" spans="12:16" ht="15.75" customHeight="1" x14ac:dyDescent="0.3">
      <c r="L3982" s="6" t="s">
        <v>196</v>
      </c>
      <c r="M3982" s="6" t="s">
        <v>313</v>
      </c>
      <c r="N3982" s="6" t="s">
        <v>165</v>
      </c>
      <c r="O3982" s="6" t="s">
        <v>166</v>
      </c>
      <c r="P3982" s="19">
        <v>1</v>
      </c>
    </row>
    <row r="3983" spans="12:16" ht="15.75" customHeight="1" x14ac:dyDescent="0.3">
      <c r="L3983" s="6" t="s">
        <v>196</v>
      </c>
      <c r="M3983" s="6" t="s">
        <v>238</v>
      </c>
      <c r="N3983" s="6" t="s">
        <v>72</v>
      </c>
      <c r="O3983" s="6" t="s">
        <v>75</v>
      </c>
      <c r="P3983" s="19">
        <v>18</v>
      </c>
    </row>
    <row r="3984" spans="12:16" ht="15.75" customHeight="1" x14ac:dyDescent="0.3">
      <c r="L3984" s="6" t="s">
        <v>196</v>
      </c>
      <c r="M3984" s="6" t="s">
        <v>238</v>
      </c>
      <c r="N3984" s="6" t="s">
        <v>83</v>
      </c>
      <c r="O3984" s="6" t="s">
        <v>84</v>
      </c>
      <c r="P3984" s="19">
        <v>2</v>
      </c>
    </row>
    <row r="3985" spans="12:16" ht="15.75" customHeight="1" x14ac:dyDescent="0.3">
      <c r="L3985" s="6" t="s">
        <v>196</v>
      </c>
      <c r="M3985" s="6" t="s">
        <v>238</v>
      </c>
      <c r="N3985" s="6" t="s">
        <v>88</v>
      </c>
      <c r="O3985" s="6" t="s">
        <v>90</v>
      </c>
      <c r="P3985" s="17">
        <v>0.43330000000000002</v>
      </c>
    </row>
    <row r="3986" spans="12:16" ht="15.75" customHeight="1" x14ac:dyDescent="0.3">
      <c r="L3986" s="6" t="s">
        <v>196</v>
      </c>
      <c r="M3986" s="6" t="s">
        <v>238</v>
      </c>
      <c r="N3986" s="6" t="s">
        <v>96</v>
      </c>
      <c r="O3986" s="6" t="s">
        <v>97</v>
      </c>
      <c r="P3986" s="19">
        <v>27</v>
      </c>
    </row>
    <row r="3987" spans="12:16" ht="15.75" customHeight="1" x14ac:dyDescent="0.3">
      <c r="L3987" s="6" t="s">
        <v>196</v>
      </c>
      <c r="M3987" s="6" t="s">
        <v>238</v>
      </c>
      <c r="N3987" s="6" t="s">
        <v>100</v>
      </c>
      <c r="O3987" s="6" t="s">
        <v>101</v>
      </c>
      <c r="P3987" s="19">
        <v>2</v>
      </c>
    </row>
    <row r="3988" spans="12:16" ht="15.75" customHeight="1" x14ac:dyDescent="0.3">
      <c r="L3988" s="6" t="s">
        <v>196</v>
      </c>
      <c r="M3988" s="6" t="s">
        <v>238</v>
      </c>
      <c r="N3988" s="6" t="s">
        <v>22</v>
      </c>
      <c r="O3988" s="6" t="s">
        <v>104</v>
      </c>
      <c r="P3988" s="17">
        <v>59.5</v>
      </c>
    </row>
    <row r="3989" spans="12:16" ht="15.75" customHeight="1" x14ac:dyDescent="0.3">
      <c r="L3989" s="6" t="s">
        <v>196</v>
      </c>
      <c r="M3989" s="6" t="s">
        <v>238</v>
      </c>
      <c r="N3989" s="6" t="s">
        <v>23</v>
      </c>
      <c r="O3989" s="6" t="s">
        <v>107</v>
      </c>
      <c r="P3989" s="17">
        <v>96719.513099999996</v>
      </c>
    </row>
    <row r="3990" spans="12:16" ht="15.75" customHeight="1" x14ac:dyDescent="0.3">
      <c r="L3990" s="6" t="s">
        <v>196</v>
      </c>
      <c r="M3990" s="6" t="s">
        <v>238</v>
      </c>
      <c r="N3990" s="6" t="s">
        <v>24</v>
      </c>
      <c r="O3990" s="6" t="s">
        <v>109</v>
      </c>
      <c r="P3990" s="17">
        <v>0.70240000000000002</v>
      </c>
    </row>
    <row r="3991" spans="12:16" ht="15.75" customHeight="1" x14ac:dyDescent="0.3">
      <c r="L3991" s="6" t="s">
        <v>196</v>
      </c>
      <c r="M3991" s="6" t="s">
        <v>238</v>
      </c>
      <c r="N3991" s="6" t="s">
        <v>25</v>
      </c>
      <c r="O3991" s="6" t="s">
        <v>111</v>
      </c>
      <c r="P3991" s="19">
        <v>248</v>
      </c>
    </row>
    <row r="3992" spans="12:16" ht="15.75" customHeight="1" x14ac:dyDescent="0.3">
      <c r="L3992" s="6" t="s">
        <v>196</v>
      </c>
      <c r="M3992" s="6" t="s">
        <v>238</v>
      </c>
      <c r="N3992" s="6" t="s">
        <v>26</v>
      </c>
      <c r="O3992" s="6" t="s">
        <v>113</v>
      </c>
      <c r="P3992" s="19">
        <v>94</v>
      </c>
    </row>
    <row r="3993" spans="12:16" ht="15.75" customHeight="1" x14ac:dyDescent="0.3">
      <c r="L3993" s="6" t="s">
        <v>196</v>
      </c>
      <c r="M3993" s="6" t="s">
        <v>238</v>
      </c>
      <c r="N3993" s="6" t="s">
        <v>27</v>
      </c>
      <c r="O3993" s="6" t="s">
        <v>117</v>
      </c>
      <c r="P3993" s="17">
        <v>1625.538</v>
      </c>
    </row>
    <row r="3994" spans="12:16" ht="15.75" customHeight="1" x14ac:dyDescent="0.3">
      <c r="L3994" s="6" t="s">
        <v>196</v>
      </c>
      <c r="M3994" s="6" t="s">
        <v>238</v>
      </c>
      <c r="N3994" s="6" t="s">
        <v>29</v>
      </c>
      <c r="O3994" s="6" t="s">
        <v>125</v>
      </c>
      <c r="P3994" s="19">
        <v>117</v>
      </c>
    </row>
    <row r="3995" spans="12:16" ht="15.75" customHeight="1" x14ac:dyDescent="0.3">
      <c r="L3995" s="6" t="s">
        <v>196</v>
      </c>
      <c r="M3995" s="6" t="s">
        <v>238</v>
      </c>
      <c r="N3995" s="6" t="s">
        <v>135</v>
      </c>
      <c r="O3995" s="6" t="s">
        <v>136</v>
      </c>
      <c r="P3995" s="17">
        <v>0.85709999999999997</v>
      </c>
    </row>
    <row r="3996" spans="12:16" ht="15.75" customHeight="1" x14ac:dyDescent="0.3">
      <c r="L3996" s="6" t="s">
        <v>196</v>
      </c>
      <c r="M3996" s="6" t="s">
        <v>238</v>
      </c>
      <c r="N3996" s="6" t="s">
        <v>138</v>
      </c>
      <c r="O3996" s="6" t="s">
        <v>139</v>
      </c>
      <c r="P3996" s="19">
        <v>2</v>
      </c>
    </row>
    <row r="3997" spans="12:16" ht="15.75" customHeight="1" x14ac:dyDescent="0.3">
      <c r="L3997" s="6" t="s">
        <v>196</v>
      </c>
      <c r="M3997" s="6" t="s">
        <v>238</v>
      </c>
      <c r="N3997" s="6" t="s">
        <v>30</v>
      </c>
      <c r="O3997" s="6" t="s">
        <v>148</v>
      </c>
      <c r="P3997" s="17">
        <v>31.949300000000001</v>
      </c>
    </row>
    <row r="3998" spans="12:16" ht="15.75" customHeight="1" x14ac:dyDescent="0.3">
      <c r="L3998" s="6" t="s">
        <v>196</v>
      </c>
      <c r="M3998" s="6" t="s">
        <v>238</v>
      </c>
      <c r="N3998" s="6" t="s">
        <v>156</v>
      </c>
      <c r="O3998" s="6" t="s">
        <v>157</v>
      </c>
      <c r="P3998" s="19">
        <v>5</v>
      </c>
    </row>
    <row r="3999" spans="12:16" ht="15.75" customHeight="1" x14ac:dyDescent="0.3">
      <c r="L3999" s="6" t="s">
        <v>196</v>
      </c>
      <c r="M3999" s="6" t="s">
        <v>238</v>
      </c>
      <c r="N3999" s="6" t="s">
        <v>158</v>
      </c>
      <c r="O3999" s="6" t="s">
        <v>159</v>
      </c>
      <c r="P3999" s="19">
        <v>29</v>
      </c>
    </row>
    <row r="4000" spans="12:16" ht="15.75" customHeight="1" x14ac:dyDescent="0.3">
      <c r="L4000" s="6" t="s">
        <v>196</v>
      </c>
      <c r="M4000" s="6" t="s">
        <v>238</v>
      </c>
      <c r="N4000" s="6" t="s">
        <v>160</v>
      </c>
      <c r="O4000" s="6" t="s">
        <v>161</v>
      </c>
      <c r="P4000" s="19">
        <v>34</v>
      </c>
    </row>
    <row r="4001" spans="12:16" ht="15.75" customHeight="1" x14ac:dyDescent="0.3">
      <c r="L4001" s="6" t="s">
        <v>196</v>
      </c>
      <c r="M4001" s="6" t="s">
        <v>238</v>
      </c>
      <c r="N4001" s="6" t="s">
        <v>162</v>
      </c>
      <c r="O4001" s="6" t="s">
        <v>163</v>
      </c>
      <c r="P4001" s="19">
        <v>2</v>
      </c>
    </row>
    <row r="4002" spans="12:16" ht="15.75" customHeight="1" x14ac:dyDescent="0.3">
      <c r="L4002" s="6" t="s">
        <v>196</v>
      </c>
      <c r="M4002" s="6" t="s">
        <v>238</v>
      </c>
      <c r="N4002" s="6" t="s">
        <v>165</v>
      </c>
      <c r="O4002" s="6" t="s">
        <v>166</v>
      </c>
      <c r="P4002" s="19">
        <v>0</v>
      </c>
    </row>
    <row r="4003" spans="12:16" ht="15.75" customHeight="1" x14ac:dyDescent="0.3">
      <c r="L4003" s="6" t="s">
        <v>196</v>
      </c>
      <c r="M4003" s="6" t="s">
        <v>403</v>
      </c>
      <c r="N4003" s="6" t="s">
        <v>72</v>
      </c>
      <c r="O4003" s="6" t="s">
        <v>75</v>
      </c>
      <c r="P4003" s="19">
        <v>0</v>
      </c>
    </row>
    <row r="4004" spans="12:16" ht="15.75" customHeight="1" x14ac:dyDescent="0.3">
      <c r="L4004" s="6" t="s">
        <v>196</v>
      </c>
      <c r="M4004" s="6" t="s">
        <v>403</v>
      </c>
      <c r="N4004" s="6" t="s">
        <v>83</v>
      </c>
      <c r="O4004" s="6" t="s">
        <v>84</v>
      </c>
      <c r="P4004" s="19">
        <v>0</v>
      </c>
    </row>
    <row r="4005" spans="12:16" ht="15.75" customHeight="1" x14ac:dyDescent="0.3">
      <c r="L4005" s="6" t="s">
        <v>196</v>
      </c>
      <c r="M4005" s="6" t="s">
        <v>403</v>
      </c>
      <c r="N4005" s="6" t="s">
        <v>88</v>
      </c>
      <c r="O4005" s="6" t="s">
        <v>90</v>
      </c>
      <c r="P4005" s="19">
        <v>1</v>
      </c>
    </row>
    <row r="4006" spans="12:16" ht="15.75" customHeight="1" x14ac:dyDescent="0.3">
      <c r="L4006" s="6" t="s">
        <v>196</v>
      </c>
      <c r="M4006" s="6" t="s">
        <v>403</v>
      </c>
      <c r="N4006" s="6" t="s">
        <v>96</v>
      </c>
      <c r="O4006" s="6" t="s">
        <v>97</v>
      </c>
      <c r="P4006" s="19">
        <v>2</v>
      </c>
    </row>
    <row r="4007" spans="12:16" ht="15.75" customHeight="1" x14ac:dyDescent="0.3">
      <c r="L4007" s="6" t="s">
        <v>196</v>
      </c>
      <c r="M4007" s="6" t="s">
        <v>403</v>
      </c>
      <c r="N4007" s="6" t="s">
        <v>100</v>
      </c>
      <c r="O4007" s="6" t="s">
        <v>101</v>
      </c>
      <c r="P4007" s="19">
        <v>1</v>
      </c>
    </row>
    <row r="4008" spans="12:16" ht="15.75" customHeight="1" x14ac:dyDescent="0.3">
      <c r="L4008" s="6" t="s">
        <v>196</v>
      </c>
      <c r="M4008" s="6" t="s">
        <v>403</v>
      </c>
      <c r="N4008" s="6" t="s">
        <v>22</v>
      </c>
      <c r="O4008" s="6" t="s">
        <v>104</v>
      </c>
      <c r="P4008" s="17">
        <v>4.6666999999999996</v>
      </c>
    </row>
    <row r="4009" spans="12:16" ht="15.75" customHeight="1" x14ac:dyDescent="0.3">
      <c r="L4009" s="6" t="s">
        <v>196</v>
      </c>
      <c r="M4009" s="6" t="s">
        <v>403</v>
      </c>
      <c r="N4009" s="6" t="s">
        <v>23</v>
      </c>
      <c r="O4009" s="6" t="s">
        <v>107</v>
      </c>
      <c r="P4009" s="17">
        <v>1189.9709</v>
      </c>
    </row>
    <row r="4010" spans="12:16" ht="15.75" customHeight="1" x14ac:dyDescent="0.3">
      <c r="L4010" s="6" t="s">
        <v>196</v>
      </c>
      <c r="M4010" s="6" t="s">
        <v>403</v>
      </c>
      <c r="N4010" s="6" t="s">
        <v>24</v>
      </c>
      <c r="O4010" s="6" t="s">
        <v>109</v>
      </c>
      <c r="P4010" s="17">
        <v>3.7400000000000003E-2</v>
      </c>
    </row>
    <row r="4011" spans="12:16" ht="15.75" customHeight="1" x14ac:dyDescent="0.3">
      <c r="L4011" s="6" t="s">
        <v>196</v>
      </c>
      <c r="M4011" s="6" t="s">
        <v>403</v>
      </c>
      <c r="N4011" s="6" t="s">
        <v>25</v>
      </c>
      <c r="O4011" s="6" t="s">
        <v>111</v>
      </c>
      <c r="P4011" s="19">
        <v>59</v>
      </c>
    </row>
    <row r="4012" spans="12:16" ht="15.75" customHeight="1" x14ac:dyDescent="0.3">
      <c r="L4012" s="6" t="s">
        <v>196</v>
      </c>
      <c r="M4012" s="6" t="s">
        <v>403</v>
      </c>
      <c r="N4012" s="6" t="s">
        <v>26</v>
      </c>
      <c r="O4012" s="6" t="s">
        <v>113</v>
      </c>
      <c r="P4012" s="19">
        <v>20</v>
      </c>
    </row>
    <row r="4013" spans="12:16" ht="15.75" customHeight="1" x14ac:dyDescent="0.3">
      <c r="L4013" s="6" t="s">
        <v>196</v>
      </c>
      <c r="M4013" s="6" t="s">
        <v>403</v>
      </c>
      <c r="N4013" s="6" t="s">
        <v>27</v>
      </c>
      <c r="O4013" s="6" t="s">
        <v>117</v>
      </c>
      <c r="P4013" s="17">
        <v>254.99379999999999</v>
      </c>
    </row>
    <row r="4014" spans="12:16" ht="15.75" customHeight="1" x14ac:dyDescent="0.3">
      <c r="L4014" s="6" t="s">
        <v>196</v>
      </c>
      <c r="M4014" s="6" t="s">
        <v>403</v>
      </c>
      <c r="N4014" s="6" t="s">
        <v>29</v>
      </c>
      <c r="O4014" s="6" t="s">
        <v>125</v>
      </c>
      <c r="P4014" s="19">
        <v>19</v>
      </c>
    </row>
    <row r="4015" spans="12:16" ht="15.75" customHeight="1" x14ac:dyDescent="0.3">
      <c r="L4015" s="6" t="s">
        <v>196</v>
      </c>
      <c r="M4015" s="6" t="s">
        <v>403</v>
      </c>
      <c r="N4015" s="6" t="s">
        <v>135</v>
      </c>
      <c r="O4015" s="6" t="s">
        <v>136</v>
      </c>
      <c r="P4015" s="19">
        <v>0</v>
      </c>
    </row>
    <row r="4016" spans="12:16" ht="15.75" customHeight="1" x14ac:dyDescent="0.3">
      <c r="L4016" s="6" t="s">
        <v>196</v>
      </c>
      <c r="M4016" s="6" t="s">
        <v>403</v>
      </c>
      <c r="N4016" s="6" t="s">
        <v>138</v>
      </c>
      <c r="O4016" s="6" t="s">
        <v>139</v>
      </c>
      <c r="P4016" s="19">
        <v>0</v>
      </c>
    </row>
    <row r="4017" spans="12:16" ht="15.75" customHeight="1" x14ac:dyDescent="0.3">
      <c r="L4017" s="6" t="s">
        <v>196</v>
      </c>
      <c r="M4017" s="6" t="s">
        <v>403</v>
      </c>
      <c r="N4017" s="6" t="s">
        <v>30</v>
      </c>
      <c r="O4017" s="6" t="s">
        <v>148</v>
      </c>
      <c r="P4017" s="17">
        <v>55.266599999999997</v>
      </c>
    </row>
    <row r="4018" spans="12:16" ht="15.75" customHeight="1" x14ac:dyDescent="0.3">
      <c r="L4018" s="6" t="s">
        <v>196</v>
      </c>
      <c r="M4018" s="6" t="s">
        <v>403</v>
      </c>
      <c r="N4018" s="6" t="s">
        <v>156</v>
      </c>
      <c r="O4018" s="6" t="s">
        <v>157</v>
      </c>
      <c r="P4018" s="19">
        <v>0</v>
      </c>
    </row>
    <row r="4019" spans="12:16" ht="15.75" customHeight="1" x14ac:dyDescent="0.3">
      <c r="L4019" s="6" t="s">
        <v>196</v>
      </c>
      <c r="M4019" s="6" t="s">
        <v>403</v>
      </c>
      <c r="N4019" s="6" t="s">
        <v>158</v>
      </c>
      <c r="O4019" s="6" t="s">
        <v>159</v>
      </c>
      <c r="P4019" s="19">
        <v>1</v>
      </c>
    </row>
    <row r="4020" spans="12:16" ht="15.75" customHeight="1" x14ac:dyDescent="0.3">
      <c r="L4020" s="6" t="s">
        <v>196</v>
      </c>
      <c r="M4020" s="6" t="s">
        <v>403</v>
      </c>
      <c r="N4020" s="6" t="s">
        <v>160</v>
      </c>
      <c r="O4020" s="6" t="s">
        <v>161</v>
      </c>
      <c r="P4020" s="19">
        <v>1</v>
      </c>
    </row>
    <row r="4021" spans="12:16" ht="15.75" customHeight="1" x14ac:dyDescent="0.3">
      <c r="L4021" s="6" t="s">
        <v>196</v>
      </c>
      <c r="M4021" s="6" t="s">
        <v>403</v>
      </c>
      <c r="N4021" s="6" t="s">
        <v>162</v>
      </c>
      <c r="O4021" s="6" t="s">
        <v>163</v>
      </c>
      <c r="P4021" s="19">
        <v>0</v>
      </c>
    </row>
    <row r="4022" spans="12:16" ht="15.75" customHeight="1" x14ac:dyDescent="0.3">
      <c r="L4022" s="6" t="s">
        <v>196</v>
      </c>
      <c r="M4022" s="6" t="s">
        <v>403</v>
      </c>
      <c r="N4022" s="6" t="s">
        <v>165</v>
      </c>
      <c r="O4022" s="6" t="s">
        <v>166</v>
      </c>
      <c r="P4022" s="19">
        <v>0</v>
      </c>
    </row>
    <row r="4023" spans="12:16" ht="15.75" customHeight="1" x14ac:dyDescent="0.3">
      <c r="L4023" s="6" t="s">
        <v>196</v>
      </c>
      <c r="M4023" s="6" t="s">
        <v>499</v>
      </c>
      <c r="N4023" s="6" t="s">
        <v>72</v>
      </c>
      <c r="O4023" s="6" t="s">
        <v>75</v>
      </c>
      <c r="P4023" s="19">
        <v>0</v>
      </c>
    </row>
    <row r="4024" spans="12:16" ht="15.75" customHeight="1" x14ac:dyDescent="0.3">
      <c r="L4024" s="6" t="s">
        <v>196</v>
      </c>
      <c r="M4024" s="6" t="s">
        <v>499</v>
      </c>
      <c r="N4024" s="6" t="s">
        <v>83</v>
      </c>
      <c r="O4024" s="6" t="s">
        <v>84</v>
      </c>
      <c r="P4024" s="19">
        <v>0</v>
      </c>
    </row>
    <row r="4025" spans="12:16" ht="15.75" customHeight="1" x14ac:dyDescent="0.3">
      <c r="L4025" s="6" t="s">
        <v>196</v>
      </c>
      <c r="M4025" s="6" t="s">
        <v>499</v>
      </c>
      <c r="N4025" s="6" t="s">
        <v>88</v>
      </c>
      <c r="O4025" s="6" t="s">
        <v>90</v>
      </c>
      <c r="P4025" s="17">
        <v>0.66669999999999996</v>
      </c>
    </row>
    <row r="4026" spans="12:16" ht="15.75" customHeight="1" x14ac:dyDescent="0.3">
      <c r="L4026" s="6" t="s">
        <v>196</v>
      </c>
      <c r="M4026" s="6" t="s">
        <v>499</v>
      </c>
      <c r="N4026" s="6" t="s">
        <v>96</v>
      </c>
      <c r="O4026" s="6" t="s">
        <v>97</v>
      </c>
      <c r="P4026" s="19">
        <v>3</v>
      </c>
    </row>
    <row r="4027" spans="12:16" ht="15.75" customHeight="1" x14ac:dyDescent="0.3">
      <c r="L4027" s="6" t="s">
        <v>196</v>
      </c>
      <c r="M4027" s="6" t="s">
        <v>499</v>
      </c>
      <c r="N4027" s="6" t="s">
        <v>100</v>
      </c>
      <c r="O4027" s="6" t="s">
        <v>101</v>
      </c>
      <c r="P4027" s="19">
        <v>1</v>
      </c>
    </row>
    <row r="4028" spans="12:16" ht="15.75" customHeight="1" x14ac:dyDescent="0.3">
      <c r="L4028" s="6" t="s">
        <v>196</v>
      </c>
      <c r="M4028" s="6" t="s">
        <v>499</v>
      </c>
      <c r="N4028" s="6" t="s">
        <v>22</v>
      </c>
      <c r="O4028" s="6" t="s">
        <v>104</v>
      </c>
      <c r="P4028" s="17">
        <v>4.8</v>
      </c>
    </row>
    <row r="4029" spans="12:16" ht="15.75" customHeight="1" x14ac:dyDescent="0.3">
      <c r="L4029" s="6" t="s">
        <v>196</v>
      </c>
      <c r="M4029" s="6" t="s">
        <v>499</v>
      </c>
      <c r="N4029" s="6" t="s">
        <v>23</v>
      </c>
      <c r="O4029" s="6" t="s">
        <v>107</v>
      </c>
      <c r="P4029" s="17">
        <v>248.6695</v>
      </c>
    </row>
    <row r="4030" spans="12:16" ht="15.75" customHeight="1" x14ac:dyDescent="0.3">
      <c r="L4030" s="6" t="s">
        <v>196</v>
      </c>
      <c r="M4030" s="6" t="s">
        <v>499</v>
      </c>
      <c r="N4030" s="6" t="s">
        <v>24</v>
      </c>
      <c r="O4030" s="6" t="s">
        <v>109</v>
      </c>
      <c r="P4030" s="17">
        <v>1.32E-2</v>
      </c>
    </row>
    <row r="4031" spans="12:16" ht="15.75" customHeight="1" x14ac:dyDescent="0.3">
      <c r="L4031" s="6" t="s">
        <v>196</v>
      </c>
      <c r="M4031" s="6" t="s">
        <v>499</v>
      </c>
      <c r="N4031" s="6" t="s">
        <v>25</v>
      </c>
      <c r="O4031" s="6" t="s">
        <v>111</v>
      </c>
      <c r="P4031" s="19">
        <v>14</v>
      </c>
    </row>
    <row r="4032" spans="12:16" ht="15.75" customHeight="1" x14ac:dyDescent="0.3">
      <c r="L4032" s="6" t="s">
        <v>196</v>
      </c>
      <c r="M4032" s="6" t="s">
        <v>499</v>
      </c>
      <c r="N4032" s="6" t="s">
        <v>26</v>
      </c>
      <c r="O4032" s="6" t="s">
        <v>113</v>
      </c>
      <c r="P4032" s="19">
        <v>13</v>
      </c>
    </row>
    <row r="4033" spans="12:16" ht="15.75" customHeight="1" x14ac:dyDescent="0.3">
      <c r="L4033" s="6" t="s">
        <v>196</v>
      </c>
      <c r="M4033" s="6" t="s">
        <v>499</v>
      </c>
      <c r="N4033" s="6" t="s">
        <v>27</v>
      </c>
      <c r="O4033" s="6" t="s">
        <v>117</v>
      </c>
      <c r="P4033" s="17">
        <v>51.806199999999997</v>
      </c>
    </row>
    <row r="4034" spans="12:16" ht="15.75" customHeight="1" x14ac:dyDescent="0.3">
      <c r="L4034" s="6" t="s">
        <v>196</v>
      </c>
      <c r="M4034" s="6" t="s">
        <v>499</v>
      </c>
      <c r="N4034" s="6" t="s">
        <v>29</v>
      </c>
      <c r="O4034" s="6" t="s">
        <v>125</v>
      </c>
      <c r="P4034" s="19">
        <v>5</v>
      </c>
    </row>
    <row r="4035" spans="12:16" ht="15.75" customHeight="1" x14ac:dyDescent="0.3">
      <c r="L4035" s="6" t="s">
        <v>196</v>
      </c>
      <c r="M4035" s="6" t="s">
        <v>499</v>
      </c>
      <c r="N4035" s="6" t="s">
        <v>135</v>
      </c>
      <c r="O4035" s="6" t="s">
        <v>136</v>
      </c>
      <c r="P4035" s="19">
        <v>0</v>
      </c>
    </row>
    <row r="4036" spans="12:16" ht="15.75" customHeight="1" x14ac:dyDescent="0.3">
      <c r="L4036" s="6" t="s">
        <v>196</v>
      </c>
      <c r="M4036" s="6" t="s">
        <v>499</v>
      </c>
      <c r="N4036" s="6" t="s">
        <v>138</v>
      </c>
      <c r="O4036" s="6" t="s">
        <v>139</v>
      </c>
      <c r="P4036" s="19">
        <v>0</v>
      </c>
    </row>
    <row r="4037" spans="12:16" ht="15.75" customHeight="1" x14ac:dyDescent="0.3">
      <c r="L4037" s="6" t="s">
        <v>196</v>
      </c>
      <c r="M4037" s="6" t="s">
        <v>499</v>
      </c>
      <c r="N4037" s="6" t="s">
        <v>30</v>
      </c>
      <c r="O4037" s="6" t="s">
        <v>148</v>
      </c>
      <c r="P4037" s="17">
        <v>72.796300000000002</v>
      </c>
    </row>
    <row r="4038" spans="12:16" ht="15.75" customHeight="1" x14ac:dyDescent="0.3">
      <c r="L4038" s="6" t="s">
        <v>196</v>
      </c>
      <c r="M4038" s="6" t="s">
        <v>499</v>
      </c>
      <c r="N4038" s="6" t="s">
        <v>156</v>
      </c>
      <c r="O4038" s="6" t="s">
        <v>157</v>
      </c>
      <c r="P4038" s="19">
        <v>0</v>
      </c>
    </row>
    <row r="4039" spans="12:16" ht="15.75" customHeight="1" x14ac:dyDescent="0.3">
      <c r="L4039" s="6" t="s">
        <v>196</v>
      </c>
      <c r="M4039" s="6" t="s">
        <v>499</v>
      </c>
      <c r="N4039" s="6" t="s">
        <v>158</v>
      </c>
      <c r="O4039" s="6" t="s">
        <v>159</v>
      </c>
      <c r="P4039" s="19">
        <v>1</v>
      </c>
    </row>
    <row r="4040" spans="12:16" ht="15.75" customHeight="1" x14ac:dyDescent="0.3">
      <c r="L4040" s="6" t="s">
        <v>196</v>
      </c>
      <c r="M4040" s="6" t="s">
        <v>499</v>
      </c>
      <c r="N4040" s="6" t="s">
        <v>160</v>
      </c>
      <c r="O4040" s="6" t="s">
        <v>161</v>
      </c>
      <c r="P4040" s="19">
        <v>3</v>
      </c>
    </row>
    <row r="4041" spans="12:16" ht="15.75" customHeight="1" x14ac:dyDescent="0.3">
      <c r="L4041" s="6" t="s">
        <v>196</v>
      </c>
      <c r="M4041" s="6" t="s">
        <v>499</v>
      </c>
      <c r="N4041" s="6" t="s">
        <v>162</v>
      </c>
      <c r="O4041" s="6" t="s">
        <v>163</v>
      </c>
      <c r="P4041" s="19">
        <v>0</v>
      </c>
    </row>
    <row r="4042" spans="12:16" ht="15.75" customHeight="1" x14ac:dyDescent="0.3">
      <c r="L4042" s="6" t="s">
        <v>196</v>
      </c>
      <c r="M4042" s="6" t="s">
        <v>499</v>
      </c>
      <c r="N4042" s="6" t="s">
        <v>165</v>
      </c>
      <c r="O4042" s="6" t="s">
        <v>166</v>
      </c>
      <c r="P4042" s="19">
        <v>1</v>
      </c>
    </row>
    <row r="4043" spans="12:16" ht="15.75" customHeight="1" x14ac:dyDescent="0.3">
      <c r="L4043" s="6" t="s">
        <v>196</v>
      </c>
      <c r="M4043" s="6" t="s">
        <v>266</v>
      </c>
      <c r="N4043" s="6" t="s">
        <v>72</v>
      </c>
      <c r="O4043" s="6" t="s">
        <v>75</v>
      </c>
      <c r="P4043" s="19">
        <v>7</v>
      </c>
    </row>
    <row r="4044" spans="12:16" ht="15.75" customHeight="1" x14ac:dyDescent="0.3">
      <c r="L4044" s="6" t="s">
        <v>196</v>
      </c>
      <c r="M4044" s="6" t="s">
        <v>266</v>
      </c>
      <c r="N4044" s="6" t="s">
        <v>83</v>
      </c>
      <c r="O4044" s="6" t="s">
        <v>84</v>
      </c>
      <c r="P4044" s="19">
        <v>1</v>
      </c>
    </row>
    <row r="4045" spans="12:16" ht="15.75" customHeight="1" x14ac:dyDescent="0.3">
      <c r="L4045" s="6" t="s">
        <v>196</v>
      </c>
      <c r="M4045" s="6" t="s">
        <v>266</v>
      </c>
      <c r="N4045" s="6" t="s">
        <v>88</v>
      </c>
      <c r="O4045" s="6" t="s">
        <v>90</v>
      </c>
      <c r="P4045" s="17">
        <v>0.375</v>
      </c>
    </row>
    <row r="4046" spans="12:16" ht="15.75" customHeight="1" x14ac:dyDescent="0.3">
      <c r="L4046" s="6" t="s">
        <v>196</v>
      </c>
      <c r="M4046" s="6" t="s">
        <v>266</v>
      </c>
      <c r="N4046" s="6" t="s">
        <v>96</v>
      </c>
      <c r="O4046" s="6" t="s">
        <v>97</v>
      </c>
      <c r="P4046" s="19">
        <v>8</v>
      </c>
    </row>
    <row r="4047" spans="12:16" ht="15.75" customHeight="1" x14ac:dyDescent="0.3">
      <c r="L4047" s="6" t="s">
        <v>196</v>
      </c>
      <c r="M4047" s="6" t="s">
        <v>266</v>
      </c>
      <c r="N4047" s="6" t="s">
        <v>100</v>
      </c>
      <c r="O4047" s="6" t="s">
        <v>101</v>
      </c>
      <c r="P4047" s="19">
        <v>0</v>
      </c>
    </row>
    <row r="4048" spans="12:16" ht="15.75" customHeight="1" x14ac:dyDescent="0.3">
      <c r="L4048" s="6" t="s">
        <v>196</v>
      </c>
      <c r="M4048" s="6" t="s">
        <v>266</v>
      </c>
      <c r="N4048" s="6" t="s">
        <v>22</v>
      </c>
      <c r="O4048" s="6" t="s">
        <v>104</v>
      </c>
      <c r="P4048" s="17">
        <v>24.285699999999999</v>
      </c>
    </row>
    <row r="4049" spans="12:16" ht="15.75" customHeight="1" x14ac:dyDescent="0.3">
      <c r="L4049" s="6" t="s">
        <v>196</v>
      </c>
      <c r="M4049" s="6" t="s">
        <v>266</v>
      </c>
      <c r="N4049" s="6" t="s">
        <v>23</v>
      </c>
      <c r="O4049" s="6" t="s">
        <v>107</v>
      </c>
      <c r="P4049" s="17">
        <v>8772.2394999999997</v>
      </c>
    </row>
    <row r="4050" spans="12:16" ht="15.75" customHeight="1" x14ac:dyDescent="0.3">
      <c r="L4050" s="6" t="s">
        <v>196</v>
      </c>
      <c r="M4050" s="6" t="s">
        <v>266</v>
      </c>
      <c r="N4050" s="6" t="s">
        <v>24</v>
      </c>
      <c r="O4050" s="6" t="s">
        <v>109</v>
      </c>
      <c r="P4050" s="17">
        <v>0.14180000000000001</v>
      </c>
    </row>
    <row r="4051" spans="12:16" ht="15.75" customHeight="1" x14ac:dyDescent="0.3">
      <c r="L4051" s="6" t="s">
        <v>196</v>
      </c>
      <c r="M4051" s="6" t="s">
        <v>266</v>
      </c>
      <c r="N4051" s="6" t="s">
        <v>25</v>
      </c>
      <c r="O4051" s="6" t="s">
        <v>111</v>
      </c>
      <c r="P4051" s="19">
        <v>71</v>
      </c>
    </row>
    <row r="4052" spans="12:16" ht="15.75" customHeight="1" x14ac:dyDescent="0.3">
      <c r="L4052" s="6" t="s">
        <v>196</v>
      </c>
      <c r="M4052" s="6" t="s">
        <v>266</v>
      </c>
      <c r="N4052" s="6" t="s">
        <v>26</v>
      </c>
      <c r="O4052" s="6" t="s">
        <v>113</v>
      </c>
      <c r="P4052" s="19">
        <v>34</v>
      </c>
    </row>
    <row r="4053" spans="12:16" ht="15.75" customHeight="1" x14ac:dyDescent="0.3">
      <c r="L4053" s="6" t="s">
        <v>196</v>
      </c>
      <c r="M4053" s="6" t="s">
        <v>266</v>
      </c>
      <c r="N4053" s="6" t="s">
        <v>27</v>
      </c>
      <c r="O4053" s="6" t="s">
        <v>117</v>
      </c>
      <c r="P4053" s="17">
        <v>361.2099</v>
      </c>
    </row>
    <row r="4054" spans="12:16" ht="15.75" customHeight="1" x14ac:dyDescent="0.3">
      <c r="L4054" s="6" t="s">
        <v>196</v>
      </c>
      <c r="M4054" s="6" t="s">
        <v>266</v>
      </c>
      <c r="N4054" s="6" t="s">
        <v>29</v>
      </c>
      <c r="O4054" s="6" t="s">
        <v>125</v>
      </c>
      <c r="P4054" s="19">
        <v>23</v>
      </c>
    </row>
    <row r="4055" spans="12:16" ht="15.75" customHeight="1" x14ac:dyDescent="0.3">
      <c r="L4055" s="6" t="s">
        <v>196</v>
      </c>
      <c r="M4055" s="6" t="s">
        <v>266</v>
      </c>
      <c r="N4055" s="6" t="s">
        <v>135</v>
      </c>
      <c r="O4055" s="6" t="s">
        <v>136</v>
      </c>
      <c r="P4055" s="19">
        <v>0</v>
      </c>
    </row>
    <row r="4056" spans="12:16" ht="15.75" customHeight="1" x14ac:dyDescent="0.3">
      <c r="L4056" s="6" t="s">
        <v>196</v>
      </c>
      <c r="M4056" s="6" t="s">
        <v>266</v>
      </c>
      <c r="N4056" s="6" t="s">
        <v>138</v>
      </c>
      <c r="O4056" s="6" t="s">
        <v>139</v>
      </c>
      <c r="P4056" s="19">
        <v>0</v>
      </c>
    </row>
    <row r="4057" spans="12:16" ht="15.75" customHeight="1" x14ac:dyDescent="0.3">
      <c r="L4057" s="6" t="s">
        <v>196</v>
      </c>
      <c r="M4057" s="6" t="s">
        <v>266</v>
      </c>
      <c r="N4057" s="6" t="s">
        <v>30</v>
      </c>
      <c r="O4057" s="6" t="s">
        <v>148</v>
      </c>
      <c r="P4057" s="17">
        <v>52.107900000000001</v>
      </c>
    </row>
    <row r="4058" spans="12:16" ht="15.75" customHeight="1" x14ac:dyDescent="0.3">
      <c r="L4058" s="6" t="s">
        <v>196</v>
      </c>
      <c r="M4058" s="6" t="s">
        <v>266</v>
      </c>
      <c r="N4058" s="6" t="s">
        <v>156</v>
      </c>
      <c r="O4058" s="6" t="s">
        <v>157</v>
      </c>
      <c r="P4058" s="19">
        <v>1</v>
      </c>
    </row>
    <row r="4059" spans="12:16" ht="15.75" customHeight="1" x14ac:dyDescent="0.3">
      <c r="L4059" s="6" t="s">
        <v>196</v>
      </c>
      <c r="M4059" s="6" t="s">
        <v>266</v>
      </c>
      <c r="N4059" s="6" t="s">
        <v>158</v>
      </c>
      <c r="O4059" s="6" t="s">
        <v>159</v>
      </c>
      <c r="P4059" s="19">
        <v>8</v>
      </c>
    </row>
    <row r="4060" spans="12:16" ht="15.75" customHeight="1" x14ac:dyDescent="0.3">
      <c r="L4060" s="6" t="s">
        <v>196</v>
      </c>
      <c r="M4060" s="6" t="s">
        <v>266</v>
      </c>
      <c r="N4060" s="6" t="s">
        <v>160</v>
      </c>
      <c r="O4060" s="6" t="s">
        <v>161</v>
      </c>
      <c r="P4060" s="19">
        <v>8</v>
      </c>
    </row>
    <row r="4061" spans="12:16" ht="15.75" customHeight="1" x14ac:dyDescent="0.3">
      <c r="L4061" s="6" t="s">
        <v>196</v>
      </c>
      <c r="M4061" s="6" t="s">
        <v>266</v>
      </c>
      <c r="N4061" s="6" t="s">
        <v>162</v>
      </c>
      <c r="O4061" s="6" t="s">
        <v>163</v>
      </c>
      <c r="P4061" s="19">
        <v>0</v>
      </c>
    </row>
    <row r="4062" spans="12:16" ht="15.75" customHeight="1" x14ac:dyDescent="0.3">
      <c r="L4062" s="6" t="s">
        <v>196</v>
      </c>
      <c r="M4062" s="6" t="s">
        <v>266</v>
      </c>
      <c r="N4062" s="6" t="s">
        <v>165</v>
      </c>
      <c r="O4062" s="6" t="s">
        <v>166</v>
      </c>
      <c r="P4062" s="19">
        <v>1</v>
      </c>
    </row>
    <row r="4063" spans="12:16" ht="15.75" customHeight="1" x14ac:dyDescent="0.3">
      <c r="L4063" s="6" t="s">
        <v>196</v>
      </c>
      <c r="M4063" s="6" t="s">
        <v>484</v>
      </c>
      <c r="N4063" s="6" t="s">
        <v>72</v>
      </c>
      <c r="O4063" s="6" t="s">
        <v>75</v>
      </c>
      <c r="P4063" s="19">
        <v>0</v>
      </c>
    </row>
    <row r="4064" spans="12:16" ht="15.75" customHeight="1" x14ac:dyDescent="0.3">
      <c r="L4064" s="6" t="s">
        <v>196</v>
      </c>
      <c r="M4064" s="6" t="s">
        <v>484</v>
      </c>
      <c r="N4064" s="6" t="s">
        <v>83</v>
      </c>
      <c r="O4064" s="6" t="s">
        <v>84</v>
      </c>
      <c r="P4064" s="19">
        <v>0</v>
      </c>
    </row>
    <row r="4065" spans="12:16" ht="15.75" customHeight="1" x14ac:dyDescent="0.3">
      <c r="L4065" s="6" t="s">
        <v>196</v>
      </c>
      <c r="M4065" s="6" t="s">
        <v>484</v>
      </c>
      <c r="N4065" s="6" t="s">
        <v>88</v>
      </c>
      <c r="O4065" s="6" t="s">
        <v>90</v>
      </c>
      <c r="P4065" s="19">
        <v>1</v>
      </c>
    </row>
    <row r="4066" spans="12:16" ht="15.75" customHeight="1" x14ac:dyDescent="0.3">
      <c r="L4066" s="6" t="s">
        <v>196</v>
      </c>
      <c r="M4066" s="6" t="s">
        <v>484</v>
      </c>
      <c r="N4066" s="6" t="s">
        <v>96</v>
      </c>
      <c r="O4066" s="6" t="s">
        <v>97</v>
      </c>
      <c r="P4066" s="19">
        <v>1</v>
      </c>
    </row>
    <row r="4067" spans="12:16" ht="15.75" customHeight="1" x14ac:dyDescent="0.3">
      <c r="L4067" s="6" t="s">
        <v>196</v>
      </c>
      <c r="M4067" s="6" t="s">
        <v>484</v>
      </c>
      <c r="N4067" s="6" t="s">
        <v>100</v>
      </c>
      <c r="O4067" s="6" t="s">
        <v>101</v>
      </c>
      <c r="P4067" s="19">
        <v>0</v>
      </c>
    </row>
    <row r="4068" spans="12:16" ht="15.75" customHeight="1" x14ac:dyDescent="0.3">
      <c r="L4068" s="6" t="s">
        <v>196</v>
      </c>
      <c r="M4068" s="6" t="s">
        <v>484</v>
      </c>
      <c r="N4068" s="6" t="s">
        <v>22</v>
      </c>
      <c r="O4068" s="6" t="s">
        <v>104</v>
      </c>
      <c r="P4068" s="19">
        <v>6</v>
      </c>
    </row>
    <row r="4069" spans="12:16" ht="15.75" customHeight="1" x14ac:dyDescent="0.3">
      <c r="L4069" s="6" t="s">
        <v>196</v>
      </c>
      <c r="M4069" s="6" t="s">
        <v>484</v>
      </c>
      <c r="N4069" s="6" t="s">
        <v>23</v>
      </c>
      <c r="O4069" s="6" t="s">
        <v>107</v>
      </c>
      <c r="P4069" s="17">
        <v>344.15640000000002</v>
      </c>
    </row>
    <row r="4070" spans="12:16" ht="15.75" customHeight="1" x14ac:dyDescent="0.3">
      <c r="L4070" s="6" t="s">
        <v>196</v>
      </c>
      <c r="M4070" s="6" t="s">
        <v>484</v>
      </c>
      <c r="N4070" s="6" t="s">
        <v>24</v>
      </c>
      <c r="O4070" s="6" t="s">
        <v>109</v>
      </c>
      <c r="P4070" s="17">
        <v>1.6400000000000001E-2</v>
      </c>
    </row>
    <row r="4071" spans="12:16" ht="15.75" customHeight="1" x14ac:dyDescent="0.3">
      <c r="L4071" s="6" t="s">
        <v>196</v>
      </c>
      <c r="M4071" s="6" t="s">
        <v>484</v>
      </c>
      <c r="N4071" s="6" t="s">
        <v>25</v>
      </c>
      <c r="O4071" s="6" t="s">
        <v>111</v>
      </c>
      <c r="P4071" s="19">
        <v>16</v>
      </c>
    </row>
    <row r="4072" spans="12:16" ht="15.75" customHeight="1" x14ac:dyDescent="0.3">
      <c r="L4072" s="6" t="s">
        <v>196</v>
      </c>
      <c r="M4072" s="6" t="s">
        <v>484</v>
      </c>
      <c r="N4072" s="6" t="s">
        <v>26</v>
      </c>
      <c r="O4072" s="6" t="s">
        <v>113</v>
      </c>
      <c r="P4072" s="19">
        <v>12</v>
      </c>
    </row>
    <row r="4073" spans="12:16" ht="15.75" customHeight="1" x14ac:dyDescent="0.3">
      <c r="L4073" s="6" t="s">
        <v>196</v>
      </c>
      <c r="M4073" s="6" t="s">
        <v>484</v>
      </c>
      <c r="N4073" s="6" t="s">
        <v>27</v>
      </c>
      <c r="O4073" s="6" t="s">
        <v>117</v>
      </c>
      <c r="P4073" s="17">
        <v>57.359400000000001</v>
      </c>
    </row>
    <row r="4074" spans="12:16" ht="15.75" customHeight="1" x14ac:dyDescent="0.3">
      <c r="L4074" s="6" t="s">
        <v>196</v>
      </c>
      <c r="M4074" s="6" t="s">
        <v>484</v>
      </c>
      <c r="N4074" s="6" t="s">
        <v>29</v>
      </c>
      <c r="O4074" s="6" t="s">
        <v>125</v>
      </c>
      <c r="P4074" s="19">
        <v>6</v>
      </c>
    </row>
    <row r="4075" spans="12:16" ht="15.75" customHeight="1" x14ac:dyDescent="0.3">
      <c r="L4075" s="6" t="s">
        <v>196</v>
      </c>
      <c r="M4075" s="6" t="s">
        <v>484</v>
      </c>
      <c r="N4075" s="6" t="s">
        <v>135</v>
      </c>
      <c r="O4075" s="6" t="s">
        <v>136</v>
      </c>
      <c r="P4075" s="19">
        <v>0</v>
      </c>
    </row>
    <row r="4076" spans="12:16" ht="15.75" customHeight="1" x14ac:dyDescent="0.3">
      <c r="L4076" s="6" t="s">
        <v>196</v>
      </c>
      <c r="M4076" s="6" t="s">
        <v>484</v>
      </c>
      <c r="N4076" s="6" t="s">
        <v>138</v>
      </c>
      <c r="O4076" s="6" t="s">
        <v>139</v>
      </c>
      <c r="P4076" s="19">
        <v>0</v>
      </c>
    </row>
    <row r="4077" spans="12:16" ht="15.75" customHeight="1" x14ac:dyDescent="0.3">
      <c r="L4077" s="6" t="s">
        <v>196</v>
      </c>
      <c r="M4077" s="6" t="s">
        <v>484</v>
      </c>
      <c r="N4077" s="6" t="s">
        <v>30</v>
      </c>
      <c r="O4077" s="6" t="s">
        <v>148</v>
      </c>
      <c r="P4077" s="17">
        <v>70.730800000000002</v>
      </c>
    </row>
    <row r="4078" spans="12:16" ht="15.75" customHeight="1" x14ac:dyDescent="0.3">
      <c r="L4078" s="6" t="s">
        <v>196</v>
      </c>
      <c r="M4078" s="6" t="s">
        <v>484</v>
      </c>
      <c r="N4078" s="6" t="s">
        <v>156</v>
      </c>
      <c r="O4078" s="6" t="s">
        <v>157</v>
      </c>
      <c r="P4078" s="19">
        <v>0</v>
      </c>
    </row>
    <row r="4079" spans="12:16" ht="15.75" customHeight="1" x14ac:dyDescent="0.3">
      <c r="L4079" s="6" t="s">
        <v>196</v>
      </c>
      <c r="M4079" s="6" t="s">
        <v>484</v>
      </c>
      <c r="N4079" s="6" t="s">
        <v>158</v>
      </c>
      <c r="O4079" s="6" t="s">
        <v>159</v>
      </c>
      <c r="P4079" s="19">
        <v>1</v>
      </c>
    </row>
    <row r="4080" spans="12:16" ht="15.75" customHeight="1" x14ac:dyDescent="0.3">
      <c r="L4080" s="6" t="s">
        <v>196</v>
      </c>
      <c r="M4080" s="6" t="s">
        <v>484</v>
      </c>
      <c r="N4080" s="6" t="s">
        <v>160</v>
      </c>
      <c r="O4080" s="6" t="s">
        <v>161</v>
      </c>
      <c r="P4080" s="19">
        <v>3</v>
      </c>
    </row>
    <row r="4081" spans="12:16" ht="15.75" customHeight="1" x14ac:dyDescent="0.3">
      <c r="L4081" s="6" t="s">
        <v>196</v>
      </c>
      <c r="M4081" s="6" t="s">
        <v>484</v>
      </c>
      <c r="N4081" s="6" t="s">
        <v>162</v>
      </c>
      <c r="O4081" s="6" t="s">
        <v>163</v>
      </c>
      <c r="P4081" s="19">
        <v>0</v>
      </c>
    </row>
    <row r="4082" spans="12:16" ht="15.75" customHeight="1" x14ac:dyDescent="0.3">
      <c r="L4082" s="6" t="s">
        <v>196</v>
      </c>
      <c r="M4082" s="6" t="s">
        <v>484</v>
      </c>
      <c r="N4082" s="6" t="s">
        <v>165</v>
      </c>
      <c r="O4082" s="6" t="s">
        <v>166</v>
      </c>
      <c r="P4082" s="19">
        <v>1</v>
      </c>
    </row>
    <row r="4083" spans="12:16" ht="15.75" customHeight="1" x14ac:dyDescent="0.3">
      <c r="L4083" s="6" t="s">
        <v>196</v>
      </c>
      <c r="M4083" s="6" t="s">
        <v>459</v>
      </c>
      <c r="N4083" s="6" t="s">
        <v>72</v>
      </c>
      <c r="O4083" s="6" t="s">
        <v>75</v>
      </c>
      <c r="P4083" s="19">
        <v>0</v>
      </c>
    </row>
    <row r="4084" spans="12:16" ht="15.75" customHeight="1" x14ac:dyDescent="0.3">
      <c r="L4084" s="6" t="s">
        <v>196</v>
      </c>
      <c r="M4084" s="6" t="s">
        <v>459</v>
      </c>
      <c r="N4084" s="6" t="s">
        <v>83</v>
      </c>
      <c r="O4084" s="6" t="s">
        <v>84</v>
      </c>
      <c r="P4084" s="19">
        <v>0</v>
      </c>
    </row>
    <row r="4085" spans="12:16" ht="15.75" customHeight="1" x14ac:dyDescent="0.3">
      <c r="L4085" s="6" t="s">
        <v>196</v>
      </c>
      <c r="M4085" s="6" t="s">
        <v>459</v>
      </c>
      <c r="N4085" s="6" t="s">
        <v>88</v>
      </c>
      <c r="O4085" s="6" t="s">
        <v>90</v>
      </c>
      <c r="P4085" s="17">
        <v>0.8</v>
      </c>
    </row>
    <row r="4086" spans="12:16" ht="15.75" customHeight="1" x14ac:dyDescent="0.3">
      <c r="L4086" s="6" t="s">
        <v>196</v>
      </c>
      <c r="M4086" s="6" t="s">
        <v>459</v>
      </c>
      <c r="N4086" s="6" t="s">
        <v>96</v>
      </c>
      <c r="O4086" s="6" t="s">
        <v>97</v>
      </c>
      <c r="P4086" s="19">
        <v>4</v>
      </c>
    </row>
    <row r="4087" spans="12:16" ht="15.75" customHeight="1" x14ac:dyDescent="0.3">
      <c r="L4087" s="6" t="s">
        <v>196</v>
      </c>
      <c r="M4087" s="6" t="s">
        <v>459</v>
      </c>
      <c r="N4087" s="6" t="s">
        <v>100</v>
      </c>
      <c r="O4087" s="6" t="s">
        <v>101</v>
      </c>
      <c r="P4087" s="19">
        <v>0</v>
      </c>
    </row>
    <row r="4088" spans="12:16" ht="15.75" customHeight="1" x14ac:dyDescent="0.3">
      <c r="L4088" s="6" t="s">
        <v>196</v>
      </c>
      <c r="M4088" s="6" t="s">
        <v>459</v>
      </c>
      <c r="N4088" s="6" t="s">
        <v>22</v>
      </c>
      <c r="O4088" s="6" t="s">
        <v>104</v>
      </c>
      <c r="P4088" s="17">
        <v>7.8571</v>
      </c>
    </row>
    <row r="4089" spans="12:16" ht="15.75" customHeight="1" x14ac:dyDescent="0.3">
      <c r="L4089" s="6" t="s">
        <v>196</v>
      </c>
      <c r="M4089" s="6" t="s">
        <v>459</v>
      </c>
      <c r="N4089" s="6" t="s">
        <v>23</v>
      </c>
      <c r="O4089" s="6" t="s">
        <v>107</v>
      </c>
      <c r="P4089" s="17">
        <v>720.80129999999997</v>
      </c>
    </row>
    <row r="4090" spans="12:16" ht="15.75" customHeight="1" x14ac:dyDescent="0.3">
      <c r="L4090" s="6" t="s">
        <v>196</v>
      </c>
      <c r="M4090" s="6" t="s">
        <v>459</v>
      </c>
      <c r="N4090" s="6" t="s">
        <v>24</v>
      </c>
      <c r="O4090" s="6" t="s">
        <v>109</v>
      </c>
      <c r="P4090" s="17">
        <v>2.6800000000000001E-2</v>
      </c>
    </row>
    <row r="4091" spans="12:16" ht="15.75" customHeight="1" x14ac:dyDescent="0.3">
      <c r="L4091" s="6" t="s">
        <v>196</v>
      </c>
      <c r="M4091" s="6" t="s">
        <v>459</v>
      </c>
      <c r="N4091" s="6" t="s">
        <v>25</v>
      </c>
      <c r="O4091" s="6" t="s">
        <v>111</v>
      </c>
      <c r="P4091" s="19">
        <v>22</v>
      </c>
    </row>
    <row r="4092" spans="12:16" ht="15.75" customHeight="1" x14ac:dyDescent="0.3">
      <c r="L4092" s="6" t="s">
        <v>196</v>
      </c>
      <c r="M4092" s="6" t="s">
        <v>459</v>
      </c>
      <c r="N4092" s="6" t="s">
        <v>26</v>
      </c>
      <c r="O4092" s="6" t="s">
        <v>113</v>
      </c>
      <c r="P4092" s="19">
        <v>18</v>
      </c>
    </row>
    <row r="4093" spans="12:16" ht="15.75" customHeight="1" x14ac:dyDescent="0.3">
      <c r="L4093" s="6" t="s">
        <v>196</v>
      </c>
      <c r="M4093" s="6" t="s">
        <v>459</v>
      </c>
      <c r="N4093" s="6" t="s">
        <v>27</v>
      </c>
      <c r="O4093" s="6" t="s">
        <v>117</v>
      </c>
      <c r="P4093" s="17">
        <v>91.738399999999999</v>
      </c>
    </row>
    <row r="4094" spans="12:16" ht="15.75" customHeight="1" x14ac:dyDescent="0.3">
      <c r="L4094" s="6" t="s">
        <v>196</v>
      </c>
      <c r="M4094" s="6" t="s">
        <v>459</v>
      </c>
      <c r="N4094" s="6" t="s">
        <v>29</v>
      </c>
      <c r="O4094" s="6" t="s">
        <v>125</v>
      </c>
      <c r="P4094" s="19">
        <v>8</v>
      </c>
    </row>
    <row r="4095" spans="12:16" ht="15.75" customHeight="1" x14ac:dyDescent="0.3">
      <c r="L4095" s="6" t="s">
        <v>196</v>
      </c>
      <c r="M4095" s="6" t="s">
        <v>459</v>
      </c>
      <c r="N4095" s="6" t="s">
        <v>135</v>
      </c>
      <c r="O4095" s="6" t="s">
        <v>136</v>
      </c>
      <c r="P4095" s="19">
        <v>0</v>
      </c>
    </row>
    <row r="4096" spans="12:16" ht="15.75" customHeight="1" x14ac:dyDescent="0.3">
      <c r="L4096" s="6" t="s">
        <v>196</v>
      </c>
      <c r="M4096" s="6" t="s">
        <v>459</v>
      </c>
      <c r="N4096" s="6" t="s">
        <v>138</v>
      </c>
      <c r="O4096" s="6" t="s">
        <v>139</v>
      </c>
      <c r="P4096" s="19">
        <v>0</v>
      </c>
    </row>
    <row r="4097" spans="12:16" ht="15.75" customHeight="1" x14ac:dyDescent="0.3">
      <c r="L4097" s="6" t="s">
        <v>196</v>
      </c>
      <c r="M4097" s="6" t="s">
        <v>459</v>
      </c>
      <c r="N4097" s="6" t="s">
        <v>30</v>
      </c>
      <c r="O4097" s="6" t="s">
        <v>148</v>
      </c>
      <c r="P4097" s="17">
        <v>66.582800000000006</v>
      </c>
    </row>
    <row r="4098" spans="12:16" ht="15.75" customHeight="1" x14ac:dyDescent="0.3">
      <c r="L4098" s="6" t="s">
        <v>196</v>
      </c>
      <c r="M4098" s="6" t="s">
        <v>459</v>
      </c>
      <c r="N4098" s="6" t="s">
        <v>156</v>
      </c>
      <c r="O4098" s="6" t="s">
        <v>157</v>
      </c>
      <c r="P4098" s="19">
        <v>0</v>
      </c>
    </row>
    <row r="4099" spans="12:16" ht="15.75" customHeight="1" x14ac:dyDescent="0.3">
      <c r="L4099" s="6" t="s">
        <v>196</v>
      </c>
      <c r="M4099" s="6" t="s">
        <v>459</v>
      </c>
      <c r="N4099" s="6" t="s">
        <v>158</v>
      </c>
      <c r="O4099" s="6" t="s">
        <v>159</v>
      </c>
      <c r="P4099" s="19">
        <v>1</v>
      </c>
    </row>
    <row r="4100" spans="12:16" ht="15.75" customHeight="1" x14ac:dyDescent="0.3">
      <c r="L4100" s="6" t="s">
        <v>196</v>
      </c>
      <c r="M4100" s="6" t="s">
        <v>459</v>
      </c>
      <c r="N4100" s="6" t="s">
        <v>160</v>
      </c>
      <c r="O4100" s="6" t="s">
        <v>161</v>
      </c>
      <c r="P4100" s="19">
        <v>5</v>
      </c>
    </row>
    <row r="4101" spans="12:16" ht="15.75" customHeight="1" x14ac:dyDescent="0.3">
      <c r="L4101" s="6" t="s">
        <v>196</v>
      </c>
      <c r="M4101" s="6" t="s">
        <v>459</v>
      </c>
      <c r="N4101" s="6" t="s">
        <v>162</v>
      </c>
      <c r="O4101" s="6" t="s">
        <v>163</v>
      </c>
      <c r="P4101" s="19">
        <v>0</v>
      </c>
    </row>
    <row r="4102" spans="12:16" ht="15.75" customHeight="1" x14ac:dyDescent="0.3">
      <c r="L4102" s="6" t="s">
        <v>196</v>
      </c>
      <c r="M4102" s="6" t="s">
        <v>459</v>
      </c>
      <c r="N4102" s="6" t="s">
        <v>165</v>
      </c>
      <c r="O4102" s="6" t="s">
        <v>166</v>
      </c>
      <c r="P4102" s="19">
        <v>1</v>
      </c>
    </row>
    <row r="4103" spans="12:16" ht="15.75" customHeight="1" x14ac:dyDescent="0.3">
      <c r="L4103" s="6" t="s">
        <v>197</v>
      </c>
      <c r="M4103" s="6" t="s">
        <v>285</v>
      </c>
      <c r="N4103" s="6" t="s">
        <v>72</v>
      </c>
      <c r="O4103" s="6" t="s">
        <v>75</v>
      </c>
      <c r="P4103" s="19">
        <v>5</v>
      </c>
    </row>
    <row r="4104" spans="12:16" ht="15.75" customHeight="1" x14ac:dyDescent="0.3">
      <c r="L4104" s="6" t="s">
        <v>197</v>
      </c>
      <c r="M4104" s="6" t="s">
        <v>285</v>
      </c>
      <c r="N4104" s="6" t="s">
        <v>83</v>
      </c>
      <c r="O4104" s="6" t="s">
        <v>84</v>
      </c>
      <c r="P4104" s="19">
        <v>2</v>
      </c>
    </row>
    <row r="4105" spans="12:16" ht="15.75" customHeight="1" x14ac:dyDescent="0.3">
      <c r="L4105" s="6" t="s">
        <v>197</v>
      </c>
      <c r="M4105" s="6" t="s">
        <v>285</v>
      </c>
      <c r="N4105" s="6" t="s">
        <v>88</v>
      </c>
      <c r="O4105" s="6" t="s">
        <v>90</v>
      </c>
      <c r="P4105" s="17">
        <v>0.66669999999999996</v>
      </c>
    </row>
    <row r="4106" spans="12:16" ht="15.75" customHeight="1" x14ac:dyDescent="0.3">
      <c r="L4106" s="6" t="s">
        <v>197</v>
      </c>
      <c r="M4106" s="6" t="s">
        <v>285</v>
      </c>
      <c r="N4106" s="6" t="s">
        <v>96</v>
      </c>
      <c r="O4106" s="6" t="s">
        <v>97</v>
      </c>
      <c r="P4106" s="19">
        <v>3</v>
      </c>
    </row>
    <row r="4107" spans="12:16" ht="15.75" customHeight="1" x14ac:dyDescent="0.3">
      <c r="L4107" s="6" t="s">
        <v>197</v>
      </c>
      <c r="M4107" s="6" t="s">
        <v>285</v>
      </c>
      <c r="N4107" s="6" t="s">
        <v>100</v>
      </c>
      <c r="O4107" s="6" t="s">
        <v>101</v>
      </c>
      <c r="P4107" s="19">
        <v>1</v>
      </c>
    </row>
    <row r="4108" spans="12:16" ht="15.75" customHeight="1" x14ac:dyDescent="0.3">
      <c r="L4108" s="6" t="s">
        <v>197</v>
      </c>
      <c r="M4108" s="6" t="s">
        <v>285</v>
      </c>
      <c r="N4108" s="6" t="s">
        <v>22</v>
      </c>
      <c r="O4108" s="6" t="s">
        <v>104</v>
      </c>
      <c r="P4108" s="17">
        <v>18.666699999999999</v>
      </c>
    </row>
    <row r="4109" spans="12:16" ht="15.75" customHeight="1" x14ac:dyDescent="0.3">
      <c r="L4109" s="6" t="s">
        <v>197</v>
      </c>
      <c r="M4109" s="6" t="s">
        <v>285</v>
      </c>
      <c r="N4109" s="6" t="s">
        <v>23</v>
      </c>
      <c r="O4109" s="6" t="s">
        <v>107</v>
      </c>
      <c r="P4109" s="17">
        <v>3814.1538999999998</v>
      </c>
    </row>
    <row r="4110" spans="12:16" ht="15.75" customHeight="1" x14ac:dyDescent="0.3">
      <c r="L4110" s="6" t="s">
        <v>197</v>
      </c>
      <c r="M4110" s="6" t="s">
        <v>285</v>
      </c>
      <c r="N4110" s="6" t="s">
        <v>24</v>
      </c>
      <c r="O4110" s="6" t="s">
        <v>109</v>
      </c>
      <c r="P4110" s="17">
        <v>8.14E-2</v>
      </c>
    </row>
    <row r="4111" spans="12:16" ht="15.75" customHeight="1" x14ac:dyDescent="0.3">
      <c r="L4111" s="6" t="s">
        <v>197</v>
      </c>
      <c r="M4111" s="6" t="s">
        <v>285</v>
      </c>
      <c r="N4111" s="6" t="s">
        <v>25</v>
      </c>
      <c r="O4111" s="6" t="s">
        <v>111</v>
      </c>
      <c r="P4111" s="19">
        <v>44</v>
      </c>
    </row>
    <row r="4112" spans="12:16" ht="15.75" customHeight="1" x14ac:dyDescent="0.3">
      <c r="L4112" s="6" t="s">
        <v>197</v>
      </c>
      <c r="M4112" s="6" t="s">
        <v>285</v>
      </c>
      <c r="N4112" s="6" t="s">
        <v>26</v>
      </c>
      <c r="O4112" s="6" t="s">
        <v>113</v>
      </c>
      <c r="P4112" s="19">
        <v>25</v>
      </c>
    </row>
    <row r="4113" spans="12:16" ht="15.75" customHeight="1" x14ac:dyDescent="0.3">
      <c r="L4113" s="6" t="s">
        <v>197</v>
      </c>
      <c r="M4113" s="6" t="s">
        <v>285</v>
      </c>
      <c r="N4113" s="6" t="s">
        <v>27</v>
      </c>
      <c r="O4113" s="6" t="s">
        <v>117</v>
      </c>
      <c r="P4113" s="17">
        <v>204.3297</v>
      </c>
    </row>
    <row r="4114" spans="12:16" ht="15.75" customHeight="1" x14ac:dyDescent="0.3">
      <c r="L4114" s="6" t="s">
        <v>197</v>
      </c>
      <c r="M4114" s="6" t="s">
        <v>285</v>
      </c>
      <c r="N4114" s="6" t="s">
        <v>29</v>
      </c>
      <c r="O4114" s="6" t="s">
        <v>125</v>
      </c>
      <c r="P4114" s="19">
        <v>19</v>
      </c>
    </row>
    <row r="4115" spans="12:16" ht="15.75" customHeight="1" x14ac:dyDescent="0.3">
      <c r="L4115" s="6" t="s">
        <v>197</v>
      </c>
      <c r="M4115" s="6" t="s">
        <v>285</v>
      </c>
      <c r="N4115" s="6" t="s">
        <v>135</v>
      </c>
      <c r="O4115" s="6" t="s">
        <v>136</v>
      </c>
      <c r="P4115" s="19">
        <v>0</v>
      </c>
    </row>
    <row r="4116" spans="12:16" ht="15.75" customHeight="1" x14ac:dyDescent="0.3">
      <c r="L4116" s="6" t="s">
        <v>197</v>
      </c>
      <c r="M4116" s="6" t="s">
        <v>285</v>
      </c>
      <c r="N4116" s="6" t="s">
        <v>138</v>
      </c>
      <c r="O4116" s="6" t="s">
        <v>139</v>
      </c>
      <c r="P4116" s="19">
        <v>2</v>
      </c>
    </row>
    <row r="4117" spans="12:16" ht="15.75" customHeight="1" x14ac:dyDescent="0.3">
      <c r="L4117" s="6" t="s">
        <v>197</v>
      </c>
      <c r="M4117" s="6" t="s">
        <v>285</v>
      </c>
      <c r="N4117" s="6" t="s">
        <v>30</v>
      </c>
      <c r="O4117" s="6" t="s">
        <v>148</v>
      </c>
      <c r="P4117" s="17">
        <v>55.692300000000003</v>
      </c>
    </row>
    <row r="4118" spans="12:16" ht="15.75" customHeight="1" x14ac:dyDescent="0.3">
      <c r="L4118" s="6" t="s">
        <v>197</v>
      </c>
      <c r="M4118" s="6" t="s">
        <v>285</v>
      </c>
      <c r="N4118" s="6" t="s">
        <v>156</v>
      </c>
      <c r="O4118" s="6" t="s">
        <v>157</v>
      </c>
      <c r="P4118" s="19">
        <v>4</v>
      </c>
    </row>
    <row r="4119" spans="12:16" ht="15.75" customHeight="1" x14ac:dyDescent="0.3">
      <c r="L4119" s="6" t="s">
        <v>197</v>
      </c>
      <c r="M4119" s="6" t="s">
        <v>285</v>
      </c>
      <c r="N4119" s="6" t="s">
        <v>158</v>
      </c>
      <c r="O4119" s="6" t="s">
        <v>159</v>
      </c>
      <c r="P4119" s="19">
        <v>6</v>
      </c>
    </row>
    <row r="4120" spans="12:16" ht="15.75" customHeight="1" x14ac:dyDescent="0.3">
      <c r="L4120" s="6" t="s">
        <v>197</v>
      </c>
      <c r="M4120" s="6" t="s">
        <v>285</v>
      </c>
      <c r="N4120" s="6" t="s">
        <v>160</v>
      </c>
      <c r="O4120" s="6" t="s">
        <v>161</v>
      </c>
      <c r="P4120" s="19">
        <v>7</v>
      </c>
    </row>
    <row r="4121" spans="12:16" ht="15.75" customHeight="1" x14ac:dyDescent="0.3">
      <c r="L4121" s="6" t="s">
        <v>197</v>
      </c>
      <c r="M4121" s="6" t="s">
        <v>285</v>
      </c>
      <c r="N4121" s="6" t="s">
        <v>162</v>
      </c>
      <c r="O4121" s="6" t="s">
        <v>163</v>
      </c>
      <c r="P4121" s="19">
        <v>2</v>
      </c>
    </row>
    <row r="4122" spans="12:16" ht="15.75" customHeight="1" x14ac:dyDescent="0.3">
      <c r="L4122" s="6" t="s">
        <v>197</v>
      </c>
      <c r="M4122" s="6" t="s">
        <v>285</v>
      </c>
      <c r="N4122" s="6" t="s">
        <v>165</v>
      </c>
      <c r="O4122" s="6" t="s">
        <v>166</v>
      </c>
      <c r="P4122" s="19">
        <v>2</v>
      </c>
    </row>
    <row r="4123" spans="12:16" ht="15.75" customHeight="1" x14ac:dyDescent="0.3">
      <c r="L4123" s="6" t="s">
        <v>197</v>
      </c>
      <c r="M4123" s="6" t="s">
        <v>242</v>
      </c>
      <c r="N4123" s="6" t="s">
        <v>72</v>
      </c>
      <c r="O4123" s="6" t="s">
        <v>75</v>
      </c>
      <c r="P4123" s="19">
        <v>18</v>
      </c>
    </row>
    <row r="4124" spans="12:16" ht="15.75" customHeight="1" x14ac:dyDescent="0.3">
      <c r="L4124" s="6" t="s">
        <v>197</v>
      </c>
      <c r="M4124" s="6" t="s">
        <v>242</v>
      </c>
      <c r="N4124" s="6" t="s">
        <v>83</v>
      </c>
      <c r="O4124" s="6" t="s">
        <v>84</v>
      </c>
      <c r="P4124" s="19">
        <v>2</v>
      </c>
    </row>
    <row r="4125" spans="12:16" ht="15.75" customHeight="1" x14ac:dyDescent="0.3">
      <c r="L4125" s="6" t="s">
        <v>197</v>
      </c>
      <c r="M4125" s="6" t="s">
        <v>242</v>
      </c>
      <c r="N4125" s="6" t="s">
        <v>88</v>
      </c>
      <c r="O4125" s="6" t="s">
        <v>90</v>
      </c>
      <c r="P4125" s="17">
        <v>0.5625</v>
      </c>
    </row>
    <row r="4126" spans="12:16" ht="15.75" customHeight="1" x14ac:dyDescent="0.3">
      <c r="L4126" s="6" t="s">
        <v>197</v>
      </c>
      <c r="M4126" s="6" t="s">
        <v>242</v>
      </c>
      <c r="N4126" s="6" t="s">
        <v>96</v>
      </c>
      <c r="O4126" s="6" t="s">
        <v>97</v>
      </c>
      <c r="P4126" s="19">
        <v>14</v>
      </c>
    </row>
    <row r="4127" spans="12:16" ht="15.75" customHeight="1" x14ac:dyDescent="0.3">
      <c r="L4127" s="6" t="s">
        <v>197</v>
      </c>
      <c r="M4127" s="6" t="s">
        <v>242</v>
      </c>
      <c r="N4127" s="6" t="s">
        <v>100</v>
      </c>
      <c r="O4127" s="6" t="s">
        <v>101</v>
      </c>
      <c r="P4127" s="19">
        <v>2</v>
      </c>
    </row>
    <row r="4128" spans="12:16" ht="15.75" customHeight="1" x14ac:dyDescent="0.3">
      <c r="L4128" s="6" t="s">
        <v>197</v>
      </c>
      <c r="M4128" s="6" t="s">
        <v>242</v>
      </c>
      <c r="N4128" s="6" t="s">
        <v>22</v>
      </c>
      <c r="O4128" s="6" t="s">
        <v>104</v>
      </c>
      <c r="P4128" s="17">
        <v>49.470599999999997</v>
      </c>
    </row>
    <row r="4129" spans="12:16" ht="15.75" customHeight="1" x14ac:dyDescent="0.3">
      <c r="L4129" s="6" t="s">
        <v>197</v>
      </c>
      <c r="M4129" s="6" t="s">
        <v>242</v>
      </c>
      <c r="N4129" s="6" t="s">
        <v>23</v>
      </c>
      <c r="O4129" s="6" t="s">
        <v>107</v>
      </c>
      <c r="P4129" s="17">
        <v>35796.255499999999</v>
      </c>
    </row>
    <row r="4130" spans="12:16" ht="15.75" customHeight="1" x14ac:dyDescent="0.3">
      <c r="L4130" s="6" t="s">
        <v>197</v>
      </c>
      <c r="M4130" s="6" t="s">
        <v>242</v>
      </c>
      <c r="N4130" s="6" t="s">
        <v>24</v>
      </c>
      <c r="O4130" s="6" t="s">
        <v>109</v>
      </c>
      <c r="P4130" s="17">
        <v>0.36209999999999998</v>
      </c>
    </row>
    <row r="4131" spans="12:16" ht="15.75" customHeight="1" x14ac:dyDescent="0.3">
      <c r="L4131" s="6" t="s">
        <v>197</v>
      </c>
      <c r="M4131" s="6" t="s">
        <v>242</v>
      </c>
      <c r="N4131" s="6" t="s">
        <v>25</v>
      </c>
      <c r="O4131" s="6" t="s">
        <v>111</v>
      </c>
      <c r="P4131" s="19">
        <v>131</v>
      </c>
    </row>
    <row r="4132" spans="12:16" ht="15.75" customHeight="1" x14ac:dyDescent="0.3">
      <c r="L4132" s="6" t="s">
        <v>197</v>
      </c>
      <c r="M4132" s="6" t="s">
        <v>242</v>
      </c>
      <c r="N4132" s="6" t="s">
        <v>26</v>
      </c>
      <c r="O4132" s="6" t="s">
        <v>113</v>
      </c>
      <c r="P4132" s="19">
        <v>46</v>
      </c>
    </row>
    <row r="4133" spans="12:16" ht="15.75" customHeight="1" x14ac:dyDescent="0.3">
      <c r="L4133" s="6" t="s">
        <v>197</v>
      </c>
      <c r="M4133" s="6" t="s">
        <v>242</v>
      </c>
      <c r="N4133" s="6" t="s">
        <v>27</v>
      </c>
      <c r="O4133" s="6" t="s">
        <v>117</v>
      </c>
      <c r="P4133" s="17">
        <v>723.58659999999998</v>
      </c>
    </row>
    <row r="4134" spans="12:16" ht="15.75" customHeight="1" x14ac:dyDescent="0.3">
      <c r="L4134" s="6" t="s">
        <v>197</v>
      </c>
      <c r="M4134" s="6" t="s">
        <v>242</v>
      </c>
      <c r="N4134" s="6" t="s">
        <v>29</v>
      </c>
      <c r="O4134" s="6" t="s">
        <v>125</v>
      </c>
      <c r="P4134" s="19">
        <v>55</v>
      </c>
    </row>
    <row r="4135" spans="12:16" ht="15.75" customHeight="1" x14ac:dyDescent="0.3">
      <c r="L4135" s="6" t="s">
        <v>197</v>
      </c>
      <c r="M4135" s="6" t="s">
        <v>242</v>
      </c>
      <c r="N4135" s="6" t="s">
        <v>135</v>
      </c>
      <c r="O4135" s="6" t="s">
        <v>136</v>
      </c>
      <c r="P4135" s="19">
        <v>0</v>
      </c>
    </row>
    <row r="4136" spans="12:16" ht="15.75" customHeight="1" x14ac:dyDescent="0.3">
      <c r="L4136" s="6" t="s">
        <v>197</v>
      </c>
      <c r="M4136" s="6" t="s">
        <v>242</v>
      </c>
      <c r="N4136" s="6" t="s">
        <v>138</v>
      </c>
      <c r="O4136" s="6" t="s">
        <v>139</v>
      </c>
      <c r="P4136" s="19">
        <v>2</v>
      </c>
    </row>
    <row r="4137" spans="12:16" ht="15.75" customHeight="1" x14ac:dyDescent="0.3">
      <c r="L4137" s="6" t="s">
        <v>197</v>
      </c>
      <c r="M4137" s="6" t="s">
        <v>242</v>
      </c>
      <c r="N4137" s="6" t="s">
        <v>30</v>
      </c>
      <c r="O4137" s="6" t="s">
        <v>148</v>
      </c>
      <c r="P4137" s="17">
        <v>41.62</v>
      </c>
    </row>
    <row r="4138" spans="12:16" ht="15.75" customHeight="1" x14ac:dyDescent="0.3">
      <c r="L4138" s="6" t="s">
        <v>197</v>
      </c>
      <c r="M4138" s="6" t="s">
        <v>242</v>
      </c>
      <c r="N4138" s="6" t="s">
        <v>156</v>
      </c>
      <c r="O4138" s="6" t="s">
        <v>157</v>
      </c>
      <c r="P4138" s="19">
        <v>4</v>
      </c>
    </row>
    <row r="4139" spans="12:16" ht="15.75" customHeight="1" x14ac:dyDescent="0.3">
      <c r="L4139" s="6" t="s">
        <v>197</v>
      </c>
      <c r="M4139" s="6" t="s">
        <v>242</v>
      </c>
      <c r="N4139" s="6" t="s">
        <v>158</v>
      </c>
      <c r="O4139" s="6" t="s">
        <v>159</v>
      </c>
      <c r="P4139" s="19">
        <v>19</v>
      </c>
    </row>
    <row r="4140" spans="12:16" ht="15.75" customHeight="1" x14ac:dyDescent="0.3">
      <c r="L4140" s="6" t="s">
        <v>197</v>
      </c>
      <c r="M4140" s="6" t="s">
        <v>242</v>
      </c>
      <c r="N4140" s="6" t="s">
        <v>160</v>
      </c>
      <c r="O4140" s="6" t="s">
        <v>161</v>
      </c>
      <c r="P4140" s="19">
        <v>16</v>
      </c>
    </row>
    <row r="4141" spans="12:16" ht="15.75" customHeight="1" x14ac:dyDescent="0.3">
      <c r="L4141" s="6" t="s">
        <v>197</v>
      </c>
      <c r="M4141" s="6" t="s">
        <v>242</v>
      </c>
      <c r="N4141" s="6" t="s">
        <v>162</v>
      </c>
      <c r="O4141" s="6" t="s">
        <v>163</v>
      </c>
      <c r="P4141" s="19">
        <v>6</v>
      </c>
    </row>
    <row r="4142" spans="12:16" ht="15.75" customHeight="1" x14ac:dyDescent="0.3">
      <c r="L4142" s="6" t="s">
        <v>197</v>
      </c>
      <c r="M4142" s="6" t="s">
        <v>242</v>
      </c>
      <c r="N4142" s="6" t="s">
        <v>165</v>
      </c>
      <c r="O4142" s="6" t="s">
        <v>166</v>
      </c>
      <c r="P4142" s="19">
        <v>1</v>
      </c>
    </row>
    <row r="4143" spans="12:16" ht="15.75" customHeight="1" x14ac:dyDescent="0.3">
      <c r="L4143" s="6" t="s">
        <v>197</v>
      </c>
      <c r="M4143" s="6" t="s">
        <v>254</v>
      </c>
      <c r="N4143" s="6" t="s">
        <v>72</v>
      </c>
      <c r="O4143" s="6" t="s">
        <v>75</v>
      </c>
      <c r="P4143" s="19">
        <v>7</v>
      </c>
    </row>
    <row r="4144" spans="12:16" ht="15.75" customHeight="1" x14ac:dyDescent="0.3">
      <c r="L4144" s="6" t="s">
        <v>197</v>
      </c>
      <c r="M4144" s="6" t="s">
        <v>254</v>
      </c>
      <c r="N4144" s="6" t="s">
        <v>83</v>
      </c>
      <c r="O4144" s="6" t="s">
        <v>84</v>
      </c>
      <c r="P4144" s="19">
        <v>1</v>
      </c>
    </row>
    <row r="4145" spans="12:16" ht="15.75" customHeight="1" x14ac:dyDescent="0.3">
      <c r="L4145" s="6" t="s">
        <v>197</v>
      </c>
      <c r="M4145" s="6" t="s">
        <v>254</v>
      </c>
      <c r="N4145" s="6" t="s">
        <v>88</v>
      </c>
      <c r="O4145" s="6" t="s">
        <v>90</v>
      </c>
      <c r="P4145" s="17">
        <v>0.36359999999999998</v>
      </c>
    </row>
    <row r="4146" spans="12:16" ht="15.75" customHeight="1" x14ac:dyDescent="0.3">
      <c r="L4146" s="6" t="s">
        <v>197</v>
      </c>
      <c r="M4146" s="6" t="s">
        <v>254</v>
      </c>
      <c r="N4146" s="6" t="s">
        <v>96</v>
      </c>
      <c r="O4146" s="6" t="s">
        <v>97</v>
      </c>
      <c r="P4146" s="19">
        <v>11</v>
      </c>
    </row>
    <row r="4147" spans="12:16" ht="15.75" customHeight="1" x14ac:dyDescent="0.3">
      <c r="L4147" s="6" t="s">
        <v>197</v>
      </c>
      <c r="M4147" s="6" t="s">
        <v>254</v>
      </c>
      <c r="N4147" s="6" t="s">
        <v>100</v>
      </c>
      <c r="O4147" s="6" t="s">
        <v>101</v>
      </c>
      <c r="P4147" s="19">
        <v>1</v>
      </c>
    </row>
    <row r="4148" spans="12:16" ht="15.75" customHeight="1" x14ac:dyDescent="0.3">
      <c r="L4148" s="6" t="s">
        <v>197</v>
      </c>
      <c r="M4148" s="6" t="s">
        <v>254</v>
      </c>
      <c r="N4148" s="6" t="s">
        <v>22</v>
      </c>
      <c r="O4148" s="6" t="s">
        <v>104</v>
      </c>
      <c r="P4148" s="17">
        <v>34.5</v>
      </c>
    </row>
    <row r="4149" spans="12:16" ht="15.75" customHeight="1" x14ac:dyDescent="0.3">
      <c r="L4149" s="6" t="s">
        <v>197</v>
      </c>
      <c r="M4149" s="6" t="s">
        <v>254</v>
      </c>
      <c r="N4149" s="6" t="s">
        <v>23</v>
      </c>
      <c r="O4149" s="6" t="s">
        <v>107</v>
      </c>
      <c r="P4149" s="17">
        <v>8790.2484999999997</v>
      </c>
    </row>
    <row r="4150" spans="12:16" ht="15.75" customHeight="1" x14ac:dyDescent="0.3">
      <c r="L4150" s="6" t="s">
        <v>197</v>
      </c>
      <c r="M4150" s="6" t="s">
        <v>254</v>
      </c>
      <c r="N4150" s="6" t="s">
        <v>24</v>
      </c>
      <c r="O4150" s="6" t="s">
        <v>109</v>
      </c>
      <c r="P4150" s="17">
        <v>0.14199999999999999</v>
      </c>
    </row>
    <row r="4151" spans="12:16" ht="15.75" customHeight="1" x14ac:dyDescent="0.3">
      <c r="L4151" s="6" t="s">
        <v>197</v>
      </c>
      <c r="M4151" s="6" t="s">
        <v>254</v>
      </c>
      <c r="N4151" s="6" t="s">
        <v>25</v>
      </c>
      <c r="O4151" s="6" t="s">
        <v>111</v>
      </c>
      <c r="P4151" s="19">
        <v>53</v>
      </c>
    </row>
    <row r="4152" spans="12:16" ht="15.75" customHeight="1" x14ac:dyDescent="0.3">
      <c r="L4152" s="6" t="s">
        <v>197</v>
      </c>
      <c r="M4152" s="6" t="s">
        <v>254</v>
      </c>
      <c r="N4152" s="6" t="s">
        <v>26</v>
      </c>
      <c r="O4152" s="6" t="s">
        <v>113</v>
      </c>
      <c r="P4152" s="19">
        <v>28</v>
      </c>
    </row>
    <row r="4153" spans="12:16" ht="15.75" customHeight="1" x14ac:dyDescent="0.3">
      <c r="L4153" s="6" t="s">
        <v>197</v>
      </c>
      <c r="M4153" s="6" t="s">
        <v>254</v>
      </c>
      <c r="N4153" s="6" t="s">
        <v>27</v>
      </c>
      <c r="O4153" s="6" t="s">
        <v>117</v>
      </c>
      <c r="P4153" s="17">
        <v>254.78980000000001</v>
      </c>
    </row>
    <row r="4154" spans="12:16" ht="15.75" customHeight="1" x14ac:dyDescent="0.3">
      <c r="L4154" s="6" t="s">
        <v>197</v>
      </c>
      <c r="M4154" s="6" t="s">
        <v>254</v>
      </c>
      <c r="N4154" s="6" t="s">
        <v>29</v>
      </c>
      <c r="O4154" s="6" t="s">
        <v>125</v>
      </c>
      <c r="P4154" s="19">
        <v>24</v>
      </c>
    </row>
    <row r="4155" spans="12:16" ht="15.75" customHeight="1" x14ac:dyDescent="0.3">
      <c r="L4155" s="6" t="s">
        <v>197</v>
      </c>
      <c r="M4155" s="6" t="s">
        <v>254</v>
      </c>
      <c r="N4155" s="6" t="s">
        <v>135</v>
      </c>
      <c r="O4155" s="6" t="s">
        <v>136</v>
      </c>
      <c r="P4155" s="19">
        <v>0</v>
      </c>
    </row>
    <row r="4156" spans="12:16" ht="15.75" customHeight="1" x14ac:dyDescent="0.3">
      <c r="L4156" s="6" t="s">
        <v>197</v>
      </c>
      <c r="M4156" s="6" t="s">
        <v>254</v>
      </c>
      <c r="N4156" s="6" t="s">
        <v>138</v>
      </c>
      <c r="O4156" s="6" t="s">
        <v>139</v>
      </c>
      <c r="P4156" s="19">
        <v>2</v>
      </c>
    </row>
    <row r="4157" spans="12:16" ht="15.75" customHeight="1" x14ac:dyDescent="0.3">
      <c r="L4157" s="6" t="s">
        <v>197</v>
      </c>
      <c r="M4157" s="6" t="s">
        <v>254</v>
      </c>
      <c r="N4157" s="6" t="s">
        <v>30</v>
      </c>
      <c r="O4157" s="6" t="s">
        <v>148</v>
      </c>
      <c r="P4157" s="17">
        <v>52.743699999999997</v>
      </c>
    </row>
    <row r="4158" spans="12:16" ht="15.75" customHeight="1" x14ac:dyDescent="0.3">
      <c r="L4158" s="6" t="s">
        <v>197</v>
      </c>
      <c r="M4158" s="6" t="s">
        <v>254</v>
      </c>
      <c r="N4158" s="6" t="s">
        <v>156</v>
      </c>
      <c r="O4158" s="6" t="s">
        <v>157</v>
      </c>
      <c r="P4158" s="19">
        <v>3</v>
      </c>
    </row>
    <row r="4159" spans="12:16" ht="15.75" customHeight="1" x14ac:dyDescent="0.3">
      <c r="L4159" s="6" t="s">
        <v>197</v>
      </c>
      <c r="M4159" s="6" t="s">
        <v>254</v>
      </c>
      <c r="N4159" s="6" t="s">
        <v>158</v>
      </c>
      <c r="O4159" s="6" t="s">
        <v>159</v>
      </c>
      <c r="P4159" s="19">
        <v>10</v>
      </c>
    </row>
    <row r="4160" spans="12:16" ht="15.75" customHeight="1" x14ac:dyDescent="0.3">
      <c r="L4160" s="6" t="s">
        <v>197</v>
      </c>
      <c r="M4160" s="6" t="s">
        <v>254</v>
      </c>
      <c r="N4160" s="6" t="s">
        <v>160</v>
      </c>
      <c r="O4160" s="6" t="s">
        <v>161</v>
      </c>
      <c r="P4160" s="19">
        <v>5</v>
      </c>
    </row>
    <row r="4161" spans="12:16" ht="15.75" customHeight="1" x14ac:dyDescent="0.3">
      <c r="L4161" s="6" t="s">
        <v>197</v>
      </c>
      <c r="M4161" s="6" t="s">
        <v>254</v>
      </c>
      <c r="N4161" s="6" t="s">
        <v>162</v>
      </c>
      <c r="O4161" s="6" t="s">
        <v>163</v>
      </c>
      <c r="P4161" s="19">
        <v>2</v>
      </c>
    </row>
    <row r="4162" spans="12:16" ht="15.75" customHeight="1" x14ac:dyDescent="0.3">
      <c r="L4162" s="6" t="s">
        <v>197</v>
      </c>
      <c r="M4162" s="6" t="s">
        <v>254</v>
      </c>
      <c r="N4162" s="6" t="s">
        <v>165</v>
      </c>
      <c r="O4162" s="6" t="s">
        <v>166</v>
      </c>
      <c r="P4162" s="19">
        <v>2</v>
      </c>
    </row>
    <row r="4163" spans="12:16" ht="15.75" customHeight="1" x14ac:dyDescent="0.3">
      <c r="L4163" s="6" t="s">
        <v>198</v>
      </c>
      <c r="M4163" s="6" t="s">
        <v>427</v>
      </c>
      <c r="N4163" s="6" t="s">
        <v>72</v>
      </c>
      <c r="O4163" s="6" t="s">
        <v>75</v>
      </c>
      <c r="P4163" s="19">
        <v>0</v>
      </c>
    </row>
    <row r="4164" spans="12:16" ht="15.75" customHeight="1" x14ac:dyDescent="0.3">
      <c r="L4164" s="6" t="s">
        <v>198</v>
      </c>
      <c r="M4164" s="6" t="s">
        <v>427</v>
      </c>
      <c r="N4164" s="6" t="s">
        <v>83</v>
      </c>
      <c r="O4164" s="6" t="s">
        <v>84</v>
      </c>
      <c r="P4164" s="19">
        <v>0</v>
      </c>
    </row>
    <row r="4165" spans="12:16" ht="15.75" customHeight="1" x14ac:dyDescent="0.3">
      <c r="L4165" s="6" t="s">
        <v>198</v>
      </c>
      <c r="M4165" s="6" t="s">
        <v>427</v>
      </c>
      <c r="N4165" s="6" t="s">
        <v>88</v>
      </c>
      <c r="O4165" s="6" t="s">
        <v>90</v>
      </c>
      <c r="P4165" s="19">
        <v>1</v>
      </c>
    </row>
    <row r="4166" spans="12:16" ht="15.75" customHeight="1" x14ac:dyDescent="0.3">
      <c r="L4166" s="6" t="s">
        <v>198</v>
      </c>
      <c r="M4166" s="6" t="s">
        <v>427</v>
      </c>
      <c r="N4166" s="6" t="s">
        <v>96</v>
      </c>
      <c r="O4166" s="6" t="s">
        <v>97</v>
      </c>
      <c r="P4166" s="19">
        <v>1</v>
      </c>
    </row>
    <row r="4167" spans="12:16" ht="15.75" customHeight="1" x14ac:dyDescent="0.3">
      <c r="L4167" s="6" t="s">
        <v>198</v>
      </c>
      <c r="M4167" s="6" t="s">
        <v>427</v>
      </c>
      <c r="N4167" s="6" t="s">
        <v>100</v>
      </c>
      <c r="O4167" s="6" t="s">
        <v>101</v>
      </c>
      <c r="P4167" s="19">
        <v>0</v>
      </c>
    </row>
    <row r="4168" spans="12:16" ht="15.75" customHeight="1" x14ac:dyDescent="0.3">
      <c r="L4168" s="6" t="s">
        <v>198</v>
      </c>
      <c r="M4168" s="6" t="s">
        <v>427</v>
      </c>
      <c r="N4168" s="6" t="s">
        <v>22</v>
      </c>
      <c r="O4168" s="6" t="s">
        <v>104</v>
      </c>
      <c r="P4168" s="17">
        <v>2.5</v>
      </c>
    </row>
    <row r="4169" spans="12:16" ht="15.75" customHeight="1" x14ac:dyDescent="0.3">
      <c r="L4169" s="6" t="s">
        <v>198</v>
      </c>
      <c r="M4169" s="6" t="s">
        <v>427</v>
      </c>
      <c r="N4169" s="6" t="s">
        <v>23</v>
      </c>
      <c r="O4169" s="6" t="s">
        <v>107</v>
      </c>
      <c r="P4169" s="17">
        <v>38.7744</v>
      </c>
    </row>
    <row r="4170" spans="12:16" ht="15.75" customHeight="1" x14ac:dyDescent="0.3">
      <c r="L4170" s="6" t="s">
        <v>198</v>
      </c>
      <c r="M4170" s="6" t="s">
        <v>427</v>
      </c>
      <c r="N4170" s="6" t="s">
        <v>24</v>
      </c>
      <c r="O4170" s="6" t="s">
        <v>109</v>
      </c>
      <c r="P4170" s="17">
        <v>3.8E-3</v>
      </c>
    </row>
    <row r="4171" spans="12:16" ht="15.75" customHeight="1" x14ac:dyDescent="0.3">
      <c r="L4171" s="6" t="s">
        <v>198</v>
      </c>
      <c r="M4171" s="6" t="s">
        <v>427</v>
      </c>
      <c r="N4171" s="6" t="s">
        <v>25</v>
      </c>
      <c r="O4171" s="6" t="s">
        <v>111</v>
      </c>
      <c r="P4171" s="19">
        <v>6</v>
      </c>
    </row>
    <row r="4172" spans="12:16" ht="15.75" customHeight="1" x14ac:dyDescent="0.3">
      <c r="L4172" s="6" t="s">
        <v>198</v>
      </c>
      <c r="M4172" s="6" t="s">
        <v>427</v>
      </c>
      <c r="N4172" s="6" t="s">
        <v>26</v>
      </c>
      <c r="O4172" s="6" t="s">
        <v>113</v>
      </c>
      <c r="P4172" s="19">
        <v>6</v>
      </c>
    </row>
    <row r="4173" spans="12:16" ht="15.75" customHeight="1" x14ac:dyDescent="0.3">
      <c r="L4173" s="6" t="s">
        <v>198</v>
      </c>
      <c r="M4173" s="6" t="s">
        <v>427</v>
      </c>
      <c r="N4173" s="6" t="s">
        <v>27</v>
      </c>
      <c r="O4173" s="6" t="s">
        <v>117</v>
      </c>
      <c r="P4173" s="17">
        <v>15.5098</v>
      </c>
    </row>
    <row r="4174" spans="12:16" ht="15.75" customHeight="1" x14ac:dyDescent="0.3">
      <c r="L4174" s="6" t="s">
        <v>198</v>
      </c>
      <c r="M4174" s="6" t="s">
        <v>427</v>
      </c>
      <c r="N4174" s="6" t="s">
        <v>29</v>
      </c>
      <c r="O4174" s="6" t="s">
        <v>125</v>
      </c>
      <c r="P4174" s="19">
        <v>3</v>
      </c>
    </row>
    <row r="4175" spans="12:16" ht="15.75" customHeight="1" x14ac:dyDescent="0.3">
      <c r="L4175" s="6" t="s">
        <v>198</v>
      </c>
      <c r="M4175" s="6" t="s">
        <v>427</v>
      </c>
      <c r="N4175" s="6" t="s">
        <v>135</v>
      </c>
      <c r="O4175" s="6" t="s">
        <v>136</v>
      </c>
      <c r="P4175" s="19">
        <v>0</v>
      </c>
    </row>
    <row r="4176" spans="12:16" ht="15.75" customHeight="1" x14ac:dyDescent="0.3">
      <c r="L4176" s="6" t="s">
        <v>198</v>
      </c>
      <c r="M4176" s="6" t="s">
        <v>427</v>
      </c>
      <c r="N4176" s="6" t="s">
        <v>138</v>
      </c>
      <c r="O4176" s="6" t="s">
        <v>139</v>
      </c>
      <c r="P4176" s="19">
        <v>0</v>
      </c>
    </row>
    <row r="4177" spans="12:16" ht="15.75" customHeight="1" x14ac:dyDescent="0.3">
      <c r="L4177" s="6" t="s">
        <v>198</v>
      </c>
      <c r="M4177" s="6" t="s">
        <v>427</v>
      </c>
      <c r="N4177" s="6" t="s">
        <v>30</v>
      </c>
      <c r="O4177" s="6" t="s">
        <v>148</v>
      </c>
      <c r="P4177" s="17">
        <v>81.357100000000003</v>
      </c>
    </row>
    <row r="4178" spans="12:16" ht="15.75" customHeight="1" x14ac:dyDescent="0.3">
      <c r="L4178" s="6" t="s">
        <v>198</v>
      </c>
      <c r="M4178" s="6" t="s">
        <v>427</v>
      </c>
      <c r="N4178" s="6" t="s">
        <v>156</v>
      </c>
      <c r="O4178" s="6" t="s">
        <v>157</v>
      </c>
      <c r="P4178" s="19">
        <v>0</v>
      </c>
    </row>
    <row r="4179" spans="12:16" ht="15.75" customHeight="1" x14ac:dyDescent="0.3">
      <c r="L4179" s="6" t="s">
        <v>198</v>
      </c>
      <c r="M4179" s="6" t="s">
        <v>427</v>
      </c>
      <c r="N4179" s="6" t="s">
        <v>158</v>
      </c>
      <c r="O4179" s="6" t="s">
        <v>159</v>
      </c>
      <c r="P4179" s="19">
        <v>1</v>
      </c>
    </row>
    <row r="4180" spans="12:16" ht="15.75" customHeight="1" x14ac:dyDescent="0.3">
      <c r="L4180" s="6" t="s">
        <v>198</v>
      </c>
      <c r="M4180" s="6" t="s">
        <v>427</v>
      </c>
      <c r="N4180" s="6" t="s">
        <v>160</v>
      </c>
      <c r="O4180" s="6" t="s">
        <v>161</v>
      </c>
      <c r="P4180" s="19">
        <v>1</v>
      </c>
    </row>
    <row r="4181" spans="12:16" ht="15.75" customHeight="1" x14ac:dyDescent="0.3">
      <c r="L4181" s="6" t="s">
        <v>198</v>
      </c>
      <c r="M4181" s="6" t="s">
        <v>427</v>
      </c>
      <c r="N4181" s="6" t="s">
        <v>162</v>
      </c>
      <c r="O4181" s="6" t="s">
        <v>163</v>
      </c>
      <c r="P4181" s="19">
        <v>0</v>
      </c>
    </row>
    <row r="4182" spans="12:16" ht="15.75" customHeight="1" x14ac:dyDescent="0.3">
      <c r="L4182" s="6" t="s">
        <v>198</v>
      </c>
      <c r="M4182" s="6" t="s">
        <v>427</v>
      </c>
      <c r="N4182" s="6" t="s">
        <v>165</v>
      </c>
      <c r="O4182" s="6" t="s">
        <v>166</v>
      </c>
      <c r="P4182" s="19">
        <v>1</v>
      </c>
    </row>
    <row r="4183" spans="12:16" ht="15.75" customHeight="1" x14ac:dyDescent="0.3">
      <c r="L4183" s="6" t="s">
        <v>199</v>
      </c>
      <c r="M4183" s="6" t="s">
        <v>486</v>
      </c>
      <c r="N4183" s="6" t="s">
        <v>72</v>
      </c>
      <c r="O4183" s="6" t="s">
        <v>75</v>
      </c>
      <c r="P4183" s="19">
        <v>0</v>
      </c>
    </row>
    <row r="4184" spans="12:16" ht="15.75" customHeight="1" x14ac:dyDescent="0.3">
      <c r="L4184" s="6" t="s">
        <v>199</v>
      </c>
      <c r="M4184" s="6" t="s">
        <v>486</v>
      </c>
      <c r="N4184" s="6" t="s">
        <v>83</v>
      </c>
      <c r="O4184" s="6" t="s">
        <v>84</v>
      </c>
      <c r="P4184" s="19">
        <v>0</v>
      </c>
    </row>
    <row r="4185" spans="12:16" ht="15.75" customHeight="1" x14ac:dyDescent="0.3">
      <c r="L4185" s="6" t="s">
        <v>199</v>
      </c>
      <c r="M4185" s="6" t="s">
        <v>486</v>
      </c>
      <c r="N4185" s="6" t="s">
        <v>88</v>
      </c>
      <c r="O4185" s="6" t="s">
        <v>90</v>
      </c>
      <c r="P4185" s="17">
        <v>0.75</v>
      </c>
    </row>
    <row r="4186" spans="12:16" ht="15.75" customHeight="1" x14ac:dyDescent="0.3">
      <c r="L4186" s="6" t="s">
        <v>199</v>
      </c>
      <c r="M4186" s="6" t="s">
        <v>486</v>
      </c>
      <c r="N4186" s="6" t="s">
        <v>96</v>
      </c>
      <c r="O4186" s="6" t="s">
        <v>97</v>
      </c>
      <c r="P4186" s="19">
        <v>4</v>
      </c>
    </row>
    <row r="4187" spans="12:16" ht="15.75" customHeight="1" x14ac:dyDescent="0.3">
      <c r="L4187" s="6" t="s">
        <v>199</v>
      </c>
      <c r="M4187" s="6" t="s">
        <v>486</v>
      </c>
      <c r="N4187" s="6" t="s">
        <v>100</v>
      </c>
      <c r="O4187" s="6" t="s">
        <v>101</v>
      </c>
      <c r="P4187" s="19">
        <v>0</v>
      </c>
    </row>
    <row r="4188" spans="12:16" ht="15.75" customHeight="1" x14ac:dyDescent="0.3">
      <c r="L4188" s="6" t="s">
        <v>199</v>
      </c>
      <c r="M4188" s="6" t="s">
        <v>486</v>
      </c>
      <c r="N4188" s="6" t="s">
        <v>22</v>
      </c>
      <c r="O4188" s="6" t="s">
        <v>104</v>
      </c>
      <c r="P4188" s="17">
        <v>3.5</v>
      </c>
    </row>
    <row r="4189" spans="12:16" ht="15.75" customHeight="1" x14ac:dyDescent="0.3">
      <c r="L4189" s="6" t="s">
        <v>199</v>
      </c>
      <c r="M4189" s="6" t="s">
        <v>486</v>
      </c>
      <c r="N4189" s="6" t="s">
        <v>23</v>
      </c>
      <c r="O4189" s="6" t="s">
        <v>107</v>
      </c>
      <c r="P4189" s="17">
        <v>127.8942</v>
      </c>
    </row>
    <row r="4190" spans="12:16" ht="15.75" customHeight="1" x14ac:dyDescent="0.3">
      <c r="L4190" s="6" t="s">
        <v>199</v>
      </c>
      <c r="M4190" s="6" t="s">
        <v>486</v>
      </c>
      <c r="N4190" s="6" t="s">
        <v>24</v>
      </c>
      <c r="O4190" s="6" t="s">
        <v>109</v>
      </c>
      <c r="P4190" s="17">
        <v>8.5000000000000006E-3</v>
      </c>
    </row>
    <row r="4191" spans="12:16" ht="15.75" customHeight="1" x14ac:dyDescent="0.3">
      <c r="L4191" s="6" t="s">
        <v>199</v>
      </c>
      <c r="M4191" s="6" t="s">
        <v>486</v>
      </c>
      <c r="N4191" s="6" t="s">
        <v>25</v>
      </c>
      <c r="O4191" s="6" t="s">
        <v>111</v>
      </c>
      <c r="P4191" s="19">
        <v>11</v>
      </c>
    </row>
    <row r="4192" spans="12:16" ht="15.75" customHeight="1" x14ac:dyDescent="0.3">
      <c r="L4192" s="6" t="s">
        <v>199</v>
      </c>
      <c r="M4192" s="6" t="s">
        <v>486</v>
      </c>
      <c r="N4192" s="6" t="s">
        <v>26</v>
      </c>
      <c r="O4192" s="6" t="s">
        <v>113</v>
      </c>
      <c r="P4192" s="19">
        <v>10</v>
      </c>
    </row>
    <row r="4193" spans="12:16" ht="15.75" customHeight="1" x14ac:dyDescent="0.3">
      <c r="L4193" s="6" t="s">
        <v>199</v>
      </c>
      <c r="M4193" s="6" t="s">
        <v>486</v>
      </c>
      <c r="N4193" s="6" t="s">
        <v>27</v>
      </c>
      <c r="O4193" s="6" t="s">
        <v>117</v>
      </c>
      <c r="P4193" s="17">
        <v>36.541200000000003</v>
      </c>
    </row>
    <row r="4194" spans="12:16" ht="15.75" customHeight="1" x14ac:dyDescent="0.3">
      <c r="L4194" s="6" t="s">
        <v>199</v>
      </c>
      <c r="M4194" s="6" t="s">
        <v>486</v>
      </c>
      <c r="N4194" s="6" t="s">
        <v>29</v>
      </c>
      <c r="O4194" s="6" t="s">
        <v>125</v>
      </c>
      <c r="P4194" s="19">
        <v>6</v>
      </c>
    </row>
    <row r="4195" spans="12:16" ht="15.75" customHeight="1" x14ac:dyDescent="0.3">
      <c r="L4195" s="6" t="s">
        <v>199</v>
      </c>
      <c r="M4195" s="6" t="s">
        <v>486</v>
      </c>
      <c r="N4195" s="6" t="s">
        <v>135</v>
      </c>
      <c r="O4195" s="6" t="s">
        <v>136</v>
      </c>
      <c r="P4195" s="19">
        <v>1</v>
      </c>
    </row>
    <row r="4196" spans="12:16" ht="15.75" customHeight="1" x14ac:dyDescent="0.3">
      <c r="L4196" s="6" t="s">
        <v>199</v>
      </c>
      <c r="M4196" s="6" t="s">
        <v>486</v>
      </c>
      <c r="N4196" s="6" t="s">
        <v>138</v>
      </c>
      <c r="O4196" s="6" t="s">
        <v>139</v>
      </c>
      <c r="P4196" s="19">
        <v>0</v>
      </c>
    </row>
    <row r="4197" spans="12:16" ht="15.75" customHeight="1" x14ac:dyDescent="0.3">
      <c r="L4197" s="6" t="s">
        <v>199</v>
      </c>
      <c r="M4197" s="6" t="s">
        <v>486</v>
      </c>
      <c r="N4197" s="6" t="s">
        <v>30</v>
      </c>
      <c r="O4197" s="6" t="s">
        <v>148</v>
      </c>
      <c r="P4197" s="17">
        <v>72.128200000000007</v>
      </c>
    </row>
    <row r="4198" spans="12:16" ht="15.75" customHeight="1" x14ac:dyDescent="0.3">
      <c r="L4198" s="6" t="s">
        <v>199</v>
      </c>
      <c r="M4198" s="6" t="s">
        <v>486</v>
      </c>
      <c r="N4198" s="6" t="s">
        <v>156</v>
      </c>
      <c r="O4198" s="6" t="s">
        <v>157</v>
      </c>
      <c r="P4198" s="19">
        <v>0</v>
      </c>
    </row>
    <row r="4199" spans="12:16" ht="15.75" customHeight="1" x14ac:dyDescent="0.3">
      <c r="L4199" s="6" t="s">
        <v>199</v>
      </c>
      <c r="M4199" s="6" t="s">
        <v>486</v>
      </c>
      <c r="N4199" s="6" t="s">
        <v>158</v>
      </c>
      <c r="O4199" s="6" t="s">
        <v>159</v>
      </c>
      <c r="P4199" s="19">
        <v>1</v>
      </c>
    </row>
    <row r="4200" spans="12:16" ht="15.75" customHeight="1" x14ac:dyDescent="0.3">
      <c r="L4200" s="6" t="s">
        <v>199</v>
      </c>
      <c r="M4200" s="6" t="s">
        <v>486</v>
      </c>
      <c r="N4200" s="6" t="s">
        <v>160</v>
      </c>
      <c r="O4200" s="6" t="s">
        <v>161</v>
      </c>
      <c r="P4200" s="19">
        <v>2</v>
      </c>
    </row>
    <row r="4201" spans="12:16" ht="15.75" customHeight="1" x14ac:dyDescent="0.3">
      <c r="L4201" s="6" t="s">
        <v>199</v>
      </c>
      <c r="M4201" s="6" t="s">
        <v>486</v>
      </c>
      <c r="N4201" s="6" t="s">
        <v>162</v>
      </c>
      <c r="O4201" s="6" t="s">
        <v>163</v>
      </c>
      <c r="P4201" s="19">
        <v>0</v>
      </c>
    </row>
    <row r="4202" spans="12:16" ht="15.75" customHeight="1" x14ac:dyDescent="0.3">
      <c r="L4202" s="6" t="s">
        <v>199</v>
      </c>
      <c r="M4202" s="6" t="s">
        <v>486</v>
      </c>
      <c r="N4202" s="6" t="s">
        <v>165</v>
      </c>
      <c r="O4202" s="6" t="s">
        <v>166</v>
      </c>
      <c r="P4202" s="19">
        <v>0</v>
      </c>
    </row>
    <row r="4203" spans="12:16" ht="15.75" customHeight="1" x14ac:dyDescent="0.3">
      <c r="L4203" s="6" t="s">
        <v>199</v>
      </c>
      <c r="M4203" s="6" t="s">
        <v>311</v>
      </c>
      <c r="N4203" s="6" t="s">
        <v>72</v>
      </c>
      <c r="O4203" s="6" t="s">
        <v>75</v>
      </c>
      <c r="P4203" s="19">
        <v>3</v>
      </c>
    </row>
    <row r="4204" spans="12:16" ht="15.75" customHeight="1" x14ac:dyDescent="0.3">
      <c r="L4204" s="6" t="s">
        <v>199</v>
      </c>
      <c r="M4204" s="6" t="s">
        <v>311</v>
      </c>
      <c r="N4204" s="6" t="s">
        <v>83</v>
      </c>
      <c r="O4204" s="6" t="s">
        <v>84</v>
      </c>
      <c r="P4204" s="19">
        <v>1</v>
      </c>
    </row>
    <row r="4205" spans="12:16" ht="15.75" customHeight="1" x14ac:dyDescent="0.3">
      <c r="L4205" s="6" t="s">
        <v>199</v>
      </c>
      <c r="M4205" s="6" t="s">
        <v>311</v>
      </c>
      <c r="N4205" s="6" t="s">
        <v>88</v>
      </c>
      <c r="O4205" s="6" t="s">
        <v>90</v>
      </c>
      <c r="P4205" s="17">
        <v>0.6</v>
      </c>
    </row>
    <row r="4206" spans="12:16" ht="15.75" customHeight="1" x14ac:dyDescent="0.3">
      <c r="L4206" s="6" t="s">
        <v>199</v>
      </c>
      <c r="M4206" s="6" t="s">
        <v>311</v>
      </c>
      <c r="N4206" s="6" t="s">
        <v>96</v>
      </c>
      <c r="O4206" s="6" t="s">
        <v>97</v>
      </c>
      <c r="P4206" s="19">
        <v>5</v>
      </c>
    </row>
    <row r="4207" spans="12:16" ht="15.75" customHeight="1" x14ac:dyDescent="0.3">
      <c r="L4207" s="6" t="s">
        <v>199</v>
      </c>
      <c r="M4207" s="6" t="s">
        <v>311</v>
      </c>
      <c r="N4207" s="6" t="s">
        <v>100</v>
      </c>
      <c r="O4207" s="6" t="s">
        <v>101</v>
      </c>
      <c r="P4207" s="19">
        <v>2</v>
      </c>
    </row>
    <row r="4208" spans="12:16" ht="15.75" customHeight="1" x14ac:dyDescent="0.3">
      <c r="L4208" s="6" t="s">
        <v>199</v>
      </c>
      <c r="M4208" s="6" t="s">
        <v>311</v>
      </c>
      <c r="N4208" s="6" t="s">
        <v>22</v>
      </c>
      <c r="O4208" s="6" t="s">
        <v>104</v>
      </c>
      <c r="P4208" s="17">
        <v>17.416699999999999</v>
      </c>
    </row>
    <row r="4209" spans="12:16" ht="15.75" customHeight="1" x14ac:dyDescent="0.3">
      <c r="L4209" s="6" t="s">
        <v>199</v>
      </c>
      <c r="M4209" s="6" t="s">
        <v>311</v>
      </c>
      <c r="N4209" s="6" t="s">
        <v>23</v>
      </c>
      <c r="O4209" s="6" t="s">
        <v>107</v>
      </c>
      <c r="P4209" s="17">
        <v>5716.0726999999997</v>
      </c>
    </row>
    <row r="4210" spans="12:16" ht="15.75" customHeight="1" x14ac:dyDescent="0.3">
      <c r="L4210" s="6" t="s">
        <v>199</v>
      </c>
      <c r="M4210" s="6" t="s">
        <v>311</v>
      </c>
      <c r="N4210" s="6" t="s">
        <v>24</v>
      </c>
      <c r="O4210" s="6" t="s">
        <v>109</v>
      </c>
      <c r="P4210" s="17">
        <v>0.1066</v>
      </c>
    </row>
    <row r="4211" spans="12:16" ht="15.75" customHeight="1" x14ac:dyDescent="0.3">
      <c r="L4211" s="6" t="s">
        <v>199</v>
      </c>
      <c r="M4211" s="6" t="s">
        <v>311</v>
      </c>
      <c r="N4211" s="6" t="s">
        <v>25</v>
      </c>
      <c r="O4211" s="6" t="s">
        <v>111</v>
      </c>
      <c r="P4211" s="19">
        <v>63</v>
      </c>
    </row>
    <row r="4212" spans="12:16" ht="15.75" customHeight="1" x14ac:dyDescent="0.3">
      <c r="L4212" s="6" t="s">
        <v>199</v>
      </c>
      <c r="M4212" s="6" t="s">
        <v>311</v>
      </c>
      <c r="N4212" s="6" t="s">
        <v>26</v>
      </c>
      <c r="O4212" s="6" t="s">
        <v>113</v>
      </c>
      <c r="P4212" s="19">
        <v>37</v>
      </c>
    </row>
    <row r="4213" spans="12:16" ht="15.75" customHeight="1" x14ac:dyDescent="0.3">
      <c r="L4213" s="6" t="s">
        <v>199</v>
      </c>
      <c r="M4213" s="6" t="s">
        <v>311</v>
      </c>
      <c r="N4213" s="6" t="s">
        <v>27</v>
      </c>
      <c r="O4213" s="6" t="s">
        <v>117</v>
      </c>
      <c r="P4213" s="17">
        <v>328.19560000000001</v>
      </c>
    </row>
    <row r="4214" spans="12:16" ht="15.75" customHeight="1" x14ac:dyDescent="0.3">
      <c r="L4214" s="6" t="s">
        <v>199</v>
      </c>
      <c r="M4214" s="6" t="s">
        <v>311</v>
      </c>
      <c r="N4214" s="6" t="s">
        <v>29</v>
      </c>
      <c r="O4214" s="6" t="s">
        <v>125</v>
      </c>
      <c r="P4214" s="19">
        <v>20</v>
      </c>
    </row>
    <row r="4215" spans="12:16" ht="15.75" customHeight="1" x14ac:dyDescent="0.3">
      <c r="L4215" s="6" t="s">
        <v>199</v>
      </c>
      <c r="M4215" s="6" t="s">
        <v>311</v>
      </c>
      <c r="N4215" s="6" t="s">
        <v>135</v>
      </c>
      <c r="O4215" s="6" t="s">
        <v>136</v>
      </c>
      <c r="P4215" s="19">
        <v>0</v>
      </c>
    </row>
    <row r="4216" spans="12:16" ht="15.75" customHeight="1" x14ac:dyDescent="0.3">
      <c r="L4216" s="6" t="s">
        <v>199</v>
      </c>
      <c r="M4216" s="6" t="s">
        <v>311</v>
      </c>
      <c r="N4216" s="6" t="s">
        <v>138</v>
      </c>
      <c r="O4216" s="6" t="s">
        <v>139</v>
      </c>
      <c r="P4216" s="19">
        <v>1</v>
      </c>
    </row>
    <row r="4217" spans="12:16" ht="15.75" customHeight="1" x14ac:dyDescent="0.3">
      <c r="L4217" s="6" t="s">
        <v>199</v>
      </c>
      <c r="M4217" s="6" t="s">
        <v>311</v>
      </c>
      <c r="N4217" s="6" t="s">
        <v>30</v>
      </c>
      <c r="O4217" s="6" t="s">
        <v>148</v>
      </c>
      <c r="P4217" s="17">
        <v>53.816699999999997</v>
      </c>
    </row>
    <row r="4218" spans="12:16" ht="15.75" customHeight="1" x14ac:dyDescent="0.3">
      <c r="L4218" s="6" t="s">
        <v>199</v>
      </c>
      <c r="M4218" s="6" t="s">
        <v>311</v>
      </c>
      <c r="N4218" s="6" t="s">
        <v>156</v>
      </c>
      <c r="O4218" s="6" t="s">
        <v>157</v>
      </c>
      <c r="P4218" s="19">
        <v>1</v>
      </c>
    </row>
    <row r="4219" spans="12:16" ht="15.75" customHeight="1" x14ac:dyDescent="0.3">
      <c r="L4219" s="6" t="s">
        <v>199</v>
      </c>
      <c r="M4219" s="6" t="s">
        <v>311</v>
      </c>
      <c r="N4219" s="6" t="s">
        <v>158</v>
      </c>
      <c r="O4219" s="6" t="s">
        <v>159</v>
      </c>
      <c r="P4219" s="19">
        <v>4</v>
      </c>
    </row>
    <row r="4220" spans="12:16" ht="15.75" customHeight="1" x14ac:dyDescent="0.3">
      <c r="L4220" s="6" t="s">
        <v>199</v>
      </c>
      <c r="M4220" s="6" t="s">
        <v>311</v>
      </c>
      <c r="N4220" s="6" t="s">
        <v>160</v>
      </c>
      <c r="O4220" s="6" t="s">
        <v>161</v>
      </c>
      <c r="P4220" s="19">
        <v>12</v>
      </c>
    </row>
    <row r="4221" spans="12:16" ht="15.75" customHeight="1" x14ac:dyDescent="0.3">
      <c r="L4221" s="6" t="s">
        <v>199</v>
      </c>
      <c r="M4221" s="6" t="s">
        <v>311</v>
      </c>
      <c r="N4221" s="6" t="s">
        <v>162</v>
      </c>
      <c r="O4221" s="6" t="s">
        <v>163</v>
      </c>
      <c r="P4221" s="19">
        <v>1</v>
      </c>
    </row>
    <row r="4222" spans="12:16" ht="15.75" customHeight="1" x14ac:dyDescent="0.3">
      <c r="L4222" s="6" t="s">
        <v>199</v>
      </c>
      <c r="M4222" s="6" t="s">
        <v>311</v>
      </c>
      <c r="N4222" s="6" t="s">
        <v>165</v>
      </c>
      <c r="O4222" s="6" t="s">
        <v>166</v>
      </c>
      <c r="P4222" s="19">
        <v>3</v>
      </c>
    </row>
    <row r="4223" spans="12:16" ht="15.75" customHeight="1" x14ac:dyDescent="0.3">
      <c r="L4223" s="6" t="s">
        <v>199</v>
      </c>
      <c r="M4223" s="6" t="s">
        <v>257</v>
      </c>
      <c r="N4223" s="6" t="s">
        <v>72</v>
      </c>
      <c r="O4223" s="6" t="s">
        <v>75</v>
      </c>
      <c r="P4223" s="19">
        <v>8</v>
      </c>
    </row>
    <row r="4224" spans="12:16" ht="15.75" customHeight="1" x14ac:dyDescent="0.3">
      <c r="L4224" s="6" t="s">
        <v>199</v>
      </c>
      <c r="M4224" s="6" t="s">
        <v>257</v>
      </c>
      <c r="N4224" s="6" t="s">
        <v>83</v>
      </c>
      <c r="O4224" s="6" t="s">
        <v>84</v>
      </c>
      <c r="P4224" s="19">
        <v>1</v>
      </c>
    </row>
    <row r="4225" spans="12:16" ht="15.75" customHeight="1" x14ac:dyDescent="0.3">
      <c r="L4225" s="6" t="s">
        <v>199</v>
      </c>
      <c r="M4225" s="6" t="s">
        <v>257</v>
      </c>
      <c r="N4225" s="6" t="s">
        <v>88</v>
      </c>
      <c r="O4225" s="6" t="s">
        <v>90</v>
      </c>
      <c r="P4225" s="17">
        <v>0.51719999999999999</v>
      </c>
    </row>
    <row r="4226" spans="12:16" ht="15.75" customHeight="1" x14ac:dyDescent="0.3">
      <c r="L4226" s="6" t="s">
        <v>199</v>
      </c>
      <c r="M4226" s="6" t="s">
        <v>257</v>
      </c>
      <c r="N4226" s="6" t="s">
        <v>96</v>
      </c>
      <c r="O4226" s="6" t="s">
        <v>97</v>
      </c>
      <c r="P4226" s="19">
        <v>28</v>
      </c>
    </row>
    <row r="4227" spans="12:16" ht="15.75" customHeight="1" x14ac:dyDescent="0.3">
      <c r="L4227" s="6" t="s">
        <v>199</v>
      </c>
      <c r="M4227" s="6" t="s">
        <v>257</v>
      </c>
      <c r="N4227" s="6" t="s">
        <v>100</v>
      </c>
      <c r="O4227" s="6" t="s">
        <v>101</v>
      </c>
      <c r="P4227" s="19">
        <v>6</v>
      </c>
    </row>
    <row r="4228" spans="12:16" ht="15.75" customHeight="1" x14ac:dyDescent="0.3">
      <c r="L4228" s="6" t="s">
        <v>199</v>
      </c>
      <c r="M4228" s="6" t="s">
        <v>257</v>
      </c>
      <c r="N4228" s="6" t="s">
        <v>22</v>
      </c>
      <c r="O4228" s="6" t="s">
        <v>104</v>
      </c>
      <c r="P4228" s="17">
        <v>39.416699999999999</v>
      </c>
    </row>
    <row r="4229" spans="12:16" ht="15.75" customHeight="1" x14ac:dyDescent="0.3">
      <c r="L4229" s="6" t="s">
        <v>199</v>
      </c>
      <c r="M4229" s="6" t="s">
        <v>257</v>
      </c>
      <c r="N4229" s="6" t="s">
        <v>23</v>
      </c>
      <c r="O4229" s="6" t="s">
        <v>107</v>
      </c>
      <c r="P4229" s="17">
        <v>32798.571199999998</v>
      </c>
    </row>
    <row r="4230" spans="12:16" ht="15.75" customHeight="1" x14ac:dyDescent="0.3">
      <c r="L4230" s="6" t="s">
        <v>199</v>
      </c>
      <c r="M4230" s="6" t="s">
        <v>257</v>
      </c>
      <c r="N4230" s="6" t="s">
        <v>24</v>
      </c>
      <c r="O4230" s="6" t="s">
        <v>109</v>
      </c>
      <c r="P4230" s="17">
        <v>0.34150000000000003</v>
      </c>
    </row>
    <row r="4231" spans="12:16" ht="15.75" customHeight="1" x14ac:dyDescent="0.3">
      <c r="L4231" s="6" t="s">
        <v>199</v>
      </c>
      <c r="M4231" s="6" t="s">
        <v>257</v>
      </c>
      <c r="N4231" s="6" t="s">
        <v>25</v>
      </c>
      <c r="O4231" s="6" t="s">
        <v>111</v>
      </c>
      <c r="P4231" s="19">
        <v>132</v>
      </c>
    </row>
    <row r="4232" spans="12:16" ht="15.75" customHeight="1" x14ac:dyDescent="0.3">
      <c r="L4232" s="6" t="s">
        <v>199</v>
      </c>
      <c r="M4232" s="6" t="s">
        <v>257</v>
      </c>
      <c r="N4232" s="6" t="s">
        <v>26</v>
      </c>
      <c r="O4232" s="6" t="s">
        <v>113</v>
      </c>
      <c r="P4232" s="19">
        <v>79</v>
      </c>
    </row>
    <row r="4233" spans="12:16" ht="15.75" customHeight="1" x14ac:dyDescent="0.3">
      <c r="L4233" s="6" t="s">
        <v>199</v>
      </c>
      <c r="M4233" s="6" t="s">
        <v>257</v>
      </c>
      <c r="N4233" s="6" t="s">
        <v>27</v>
      </c>
      <c r="O4233" s="6" t="s">
        <v>117</v>
      </c>
      <c r="P4233" s="17">
        <v>832.09910000000002</v>
      </c>
    </row>
    <row r="4234" spans="12:16" ht="15.75" customHeight="1" x14ac:dyDescent="0.3">
      <c r="L4234" s="6" t="s">
        <v>199</v>
      </c>
      <c r="M4234" s="6" t="s">
        <v>257</v>
      </c>
      <c r="N4234" s="6" t="s">
        <v>29</v>
      </c>
      <c r="O4234" s="6" t="s">
        <v>125</v>
      </c>
      <c r="P4234" s="19">
        <v>62</v>
      </c>
    </row>
    <row r="4235" spans="12:16" ht="15.75" customHeight="1" x14ac:dyDescent="0.3">
      <c r="L4235" s="6" t="s">
        <v>199</v>
      </c>
      <c r="M4235" s="6" t="s">
        <v>257</v>
      </c>
      <c r="N4235" s="6" t="s">
        <v>135</v>
      </c>
      <c r="O4235" s="6" t="s">
        <v>136</v>
      </c>
      <c r="P4235" s="17">
        <v>0.1429</v>
      </c>
    </row>
    <row r="4236" spans="12:16" ht="15.75" customHeight="1" x14ac:dyDescent="0.3">
      <c r="L4236" s="6" t="s">
        <v>199</v>
      </c>
      <c r="M4236" s="6" t="s">
        <v>257</v>
      </c>
      <c r="N4236" s="6" t="s">
        <v>138</v>
      </c>
      <c r="O4236" s="6" t="s">
        <v>139</v>
      </c>
      <c r="P4236" s="19">
        <v>1</v>
      </c>
    </row>
    <row r="4237" spans="12:16" ht="15.75" customHeight="1" x14ac:dyDescent="0.3">
      <c r="L4237" s="6" t="s">
        <v>199</v>
      </c>
      <c r="M4237" s="6" t="s">
        <v>257</v>
      </c>
      <c r="N4237" s="6" t="s">
        <v>30</v>
      </c>
      <c r="O4237" s="6" t="s">
        <v>148</v>
      </c>
      <c r="P4237" s="17">
        <v>40.1586</v>
      </c>
    </row>
    <row r="4238" spans="12:16" ht="15.75" customHeight="1" x14ac:dyDescent="0.3">
      <c r="L4238" s="6" t="s">
        <v>199</v>
      </c>
      <c r="M4238" s="6" t="s">
        <v>257</v>
      </c>
      <c r="N4238" s="6" t="s">
        <v>156</v>
      </c>
      <c r="O4238" s="6" t="s">
        <v>157</v>
      </c>
      <c r="P4238" s="19">
        <v>1</v>
      </c>
    </row>
    <row r="4239" spans="12:16" ht="15.75" customHeight="1" x14ac:dyDescent="0.3">
      <c r="L4239" s="6" t="s">
        <v>199</v>
      </c>
      <c r="M4239" s="6" t="s">
        <v>257</v>
      </c>
      <c r="N4239" s="6" t="s">
        <v>158</v>
      </c>
      <c r="O4239" s="6" t="s">
        <v>159</v>
      </c>
      <c r="P4239" s="19">
        <v>9</v>
      </c>
    </row>
    <row r="4240" spans="12:16" ht="15.75" customHeight="1" x14ac:dyDescent="0.3">
      <c r="L4240" s="6" t="s">
        <v>199</v>
      </c>
      <c r="M4240" s="6" t="s">
        <v>257</v>
      </c>
      <c r="N4240" s="6" t="s">
        <v>160</v>
      </c>
      <c r="O4240" s="6" t="s">
        <v>161</v>
      </c>
      <c r="P4240" s="19">
        <v>22</v>
      </c>
    </row>
    <row r="4241" spans="12:16" ht="15.75" customHeight="1" x14ac:dyDescent="0.3">
      <c r="L4241" s="6" t="s">
        <v>199</v>
      </c>
      <c r="M4241" s="6" t="s">
        <v>257</v>
      </c>
      <c r="N4241" s="6" t="s">
        <v>162</v>
      </c>
      <c r="O4241" s="6" t="s">
        <v>163</v>
      </c>
      <c r="P4241" s="19">
        <v>1</v>
      </c>
    </row>
    <row r="4242" spans="12:16" ht="15.75" customHeight="1" x14ac:dyDescent="0.3">
      <c r="L4242" s="6" t="s">
        <v>199</v>
      </c>
      <c r="M4242" s="6" t="s">
        <v>257</v>
      </c>
      <c r="N4242" s="6" t="s">
        <v>165</v>
      </c>
      <c r="O4242" s="6" t="s">
        <v>166</v>
      </c>
      <c r="P4242" s="19">
        <v>2</v>
      </c>
    </row>
    <row r="4243" spans="12:16" ht="15.75" customHeight="1" x14ac:dyDescent="0.3">
      <c r="L4243" s="6" t="s">
        <v>202</v>
      </c>
      <c r="M4243" s="6" t="s">
        <v>530</v>
      </c>
      <c r="N4243" s="6" t="s">
        <v>72</v>
      </c>
      <c r="O4243" s="6" t="s">
        <v>75</v>
      </c>
      <c r="P4243" s="19">
        <v>0</v>
      </c>
    </row>
    <row r="4244" spans="12:16" ht="15.75" customHeight="1" x14ac:dyDescent="0.3">
      <c r="L4244" s="6" t="s">
        <v>202</v>
      </c>
      <c r="M4244" s="6" t="s">
        <v>530</v>
      </c>
      <c r="N4244" s="6" t="s">
        <v>83</v>
      </c>
      <c r="O4244" s="6" t="s">
        <v>84</v>
      </c>
      <c r="P4244" s="19">
        <v>0</v>
      </c>
    </row>
    <row r="4245" spans="12:16" ht="15.75" customHeight="1" x14ac:dyDescent="0.3">
      <c r="L4245" s="6" t="s">
        <v>202</v>
      </c>
      <c r="M4245" s="6" t="s">
        <v>530</v>
      </c>
      <c r="N4245" s="6" t="s">
        <v>88</v>
      </c>
      <c r="O4245" s="6" t="s">
        <v>90</v>
      </c>
      <c r="P4245" s="19">
        <v>0</v>
      </c>
    </row>
    <row r="4246" spans="12:16" ht="15.75" customHeight="1" x14ac:dyDescent="0.3">
      <c r="L4246" s="6" t="s">
        <v>202</v>
      </c>
      <c r="M4246" s="6" t="s">
        <v>530</v>
      </c>
      <c r="N4246" s="6" t="s">
        <v>96</v>
      </c>
      <c r="O4246" s="6" t="s">
        <v>97</v>
      </c>
      <c r="P4246" s="19">
        <v>0</v>
      </c>
    </row>
    <row r="4247" spans="12:16" ht="15.75" customHeight="1" x14ac:dyDescent="0.3">
      <c r="L4247" s="6" t="s">
        <v>202</v>
      </c>
      <c r="M4247" s="6" t="s">
        <v>530</v>
      </c>
      <c r="N4247" s="6" t="s">
        <v>100</v>
      </c>
      <c r="O4247" s="6" t="s">
        <v>101</v>
      </c>
      <c r="P4247" s="19">
        <v>0</v>
      </c>
    </row>
    <row r="4248" spans="12:16" ht="15.75" customHeight="1" x14ac:dyDescent="0.3">
      <c r="L4248" s="6" t="s">
        <v>202</v>
      </c>
      <c r="M4248" s="6" t="s">
        <v>530</v>
      </c>
      <c r="N4248" s="6" t="s">
        <v>22</v>
      </c>
      <c r="O4248" s="6" t="s">
        <v>104</v>
      </c>
      <c r="P4248" s="19">
        <v>1</v>
      </c>
    </row>
    <row r="4249" spans="12:16" ht="15.75" customHeight="1" x14ac:dyDescent="0.3">
      <c r="L4249" s="6" t="s">
        <v>202</v>
      </c>
      <c r="M4249" s="6" t="s">
        <v>530</v>
      </c>
      <c r="N4249" s="6" t="s">
        <v>23</v>
      </c>
      <c r="O4249" s="6" t="s">
        <v>107</v>
      </c>
      <c r="P4249" s="19">
        <v>8</v>
      </c>
    </row>
    <row r="4250" spans="12:16" ht="15.75" customHeight="1" x14ac:dyDescent="0.3">
      <c r="L4250" s="6" t="s">
        <v>202</v>
      </c>
      <c r="M4250" s="6" t="s">
        <v>530</v>
      </c>
      <c r="N4250" s="6" t="s">
        <v>24</v>
      </c>
      <c r="O4250" s="6" t="s">
        <v>109</v>
      </c>
      <c r="P4250" s="17">
        <v>1.2999999999999999E-3</v>
      </c>
    </row>
    <row r="4251" spans="12:16" ht="15.75" customHeight="1" x14ac:dyDescent="0.3">
      <c r="L4251" s="6" t="s">
        <v>202</v>
      </c>
      <c r="M4251" s="6" t="s">
        <v>530</v>
      </c>
      <c r="N4251" s="6" t="s">
        <v>25</v>
      </c>
      <c r="O4251" s="6" t="s">
        <v>111</v>
      </c>
      <c r="P4251" s="19">
        <v>4</v>
      </c>
    </row>
    <row r="4252" spans="12:16" ht="15.75" customHeight="1" x14ac:dyDescent="0.3">
      <c r="L4252" s="6" t="s">
        <v>202</v>
      </c>
      <c r="M4252" s="6" t="s">
        <v>530</v>
      </c>
      <c r="N4252" s="6" t="s">
        <v>26</v>
      </c>
      <c r="O4252" s="6" t="s">
        <v>113</v>
      </c>
      <c r="P4252" s="19">
        <v>4</v>
      </c>
    </row>
    <row r="4253" spans="12:16" ht="15.75" customHeight="1" x14ac:dyDescent="0.3">
      <c r="L4253" s="6" t="s">
        <v>202</v>
      </c>
      <c r="M4253" s="6" t="s">
        <v>530</v>
      </c>
      <c r="N4253" s="6" t="s">
        <v>27</v>
      </c>
      <c r="O4253" s="6" t="s">
        <v>117</v>
      </c>
      <c r="P4253" s="19">
        <v>8</v>
      </c>
    </row>
    <row r="4254" spans="12:16" ht="15.75" customHeight="1" x14ac:dyDescent="0.3">
      <c r="L4254" s="6" t="s">
        <v>202</v>
      </c>
      <c r="M4254" s="6" t="s">
        <v>530</v>
      </c>
      <c r="N4254" s="6" t="s">
        <v>29</v>
      </c>
      <c r="O4254" s="6" t="s">
        <v>125</v>
      </c>
      <c r="P4254" s="19">
        <v>1</v>
      </c>
    </row>
    <row r="4255" spans="12:16" ht="15.75" customHeight="1" x14ac:dyDescent="0.3">
      <c r="L4255" s="6" t="s">
        <v>202</v>
      </c>
      <c r="M4255" s="6" t="s">
        <v>530</v>
      </c>
      <c r="N4255" s="6" t="s">
        <v>135</v>
      </c>
      <c r="O4255" s="6" t="s">
        <v>136</v>
      </c>
      <c r="P4255" s="19">
        <v>1</v>
      </c>
    </row>
    <row r="4256" spans="12:16" ht="15.75" customHeight="1" x14ac:dyDescent="0.3">
      <c r="L4256" s="6" t="s">
        <v>202</v>
      </c>
      <c r="M4256" s="6" t="s">
        <v>530</v>
      </c>
      <c r="N4256" s="6" t="s">
        <v>138</v>
      </c>
      <c r="O4256" s="6" t="s">
        <v>139</v>
      </c>
      <c r="P4256" s="19">
        <v>0</v>
      </c>
    </row>
    <row r="4257" spans="12:16" ht="15.75" customHeight="1" x14ac:dyDescent="0.3">
      <c r="L4257" s="6" t="s">
        <v>202</v>
      </c>
      <c r="M4257" s="6" t="s">
        <v>530</v>
      </c>
      <c r="N4257" s="6" t="s">
        <v>30</v>
      </c>
      <c r="O4257" s="6" t="s">
        <v>148</v>
      </c>
      <c r="P4257" s="17">
        <v>93.676599999999993</v>
      </c>
    </row>
    <row r="4258" spans="12:16" ht="15.75" customHeight="1" x14ac:dyDescent="0.3">
      <c r="L4258" s="6" t="s">
        <v>202</v>
      </c>
      <c r="M4258" s="6" t="s">
        <v>530</v>
      </c>
      <c r="N4258" s="6" t="s">
        <v>156</v>
      </c>
      <c r="O4258" s="6" t="s">
        <v>157</v>
      </c>
      <c r="P4258" s="19">
        <v>0</v>
      </c>
    </row>
    <row r="4259" spans="12:16" ht="15.75" customHeight="1" x14ac:dyDescent="0.3">
      <c r="L4259" s="6" t="s">
        <v>202</v>
      </c>
      <c r="M4259" s="6" t="s">
        <v>530</v>
      </c>
      <c r="N4259" s="6" t="s">
        <v>158</v>
      </c>
      <c r="O4259" s="6" t="s">
        <v>159</v>
      </c>
      <c r="P4259" s="19">
        <v>1</v>
      </c>
    </row>
    <row r="4260" spans="12:16" ht="15.75" customHeight="1" x14ac:dyDescent="0.3">
      <c r="L4260" s="6" t="s">
        <v>202</v>
      </c>
      <c r="M4260" s="6" t="s">
        <v>530</v>
      </c>
      <c r="N4260" s="6" t="s">
        <v>160</v>
      </c>
      <c r="O4260" s="6" t="s">
        <v>161</v>
      </c>
      <c r="P4260" s="19">
        <v>2</v>
      </c>
    </row>
    <row r="4261" spans="12:16" ht="15.75" customHeight="1" x14ac:dyDescent="0.3">
      <c r="L4261" s="6" t="s">
        <v>202</v>
      </c>
      <c r="M4261" s="6" t="s">
        <v>530</v>
      </c>
      <c r="N4261" s="6" t="s">
        <v>162</v>
      </c>
      <c r="O4261" s="6" t="s">
        <v>163</v>
      </c>
      <c r="P4261" s="19">
        <v>0</v>
      </c>
    </row>
    <row r="4262" spans="12:16" ht="15.75" customHeight="1" x14ac:dyDescent="0.3">
      <c r="L4262" s="6" t="s">
        <v>202</v>
      </c>
      <c r="M4262" s="6" t="s">
        <v>530</v>
      </c>
      <c r="N4262" s="6" t="s">
        <v>165</v>
      </c>
      <c r="O4262" s="6" t="s">
        <v>166</v>
      </c>
      <c r="P4262" s="19">
        <v>1</v>
      </c>
    </row>
    <row r="4263" spans="12:16" ht="15.75" customHeight="1" x14ac:dyDescent="0.3">
      <c r="L4263" s="6" t="s">
        <v>210</v>
      </c>
      <c r="M4263" s="6" t="s">
        <v>472</v>
      </c>
      <c r="N4263" s="6" t="s">
        <v>72</v>
      </c>
      <c r="O4263" s="6" t="s">
        <v>75</v>
      </c>
      <c r="P4263" s="19">
        <v>0</v>
      </c>
    </row>
    <row r="4264" spans="12:16" ht="15.75" customHeight="1" x14ac:dyDescent="0.3">
      <c r="L4264" s="6" t="s">
        <v>210</v>
      </c>
      <c r="M4264" s="6" t="s">
        <v>472</v>
      </c>
      <c r="N4264" s="6" t="s">
        <v>83</v>
      </c>
      <c r="O4264" s="6" t="s">
        <v>84</v>
      </c>
      <c r="P4264" s="19">
        <v>0</v>
      </c>
    </row>
    <row r="4265" spans="12:16" ht="15.75" customHeight="1" x14ac:dyDescent="0.3">
      <c r="L4265" s="6" t="s">
        <v>210</v>
      </c>
      <c r="M4265" s="6" t="s">
        <v>472</v>
      </c>
      <c r="N4265" s="6" t="s">
        <v>88</v>
      </c>
      <c r="O4265" s="6" t="s">
        <v>90</v>
      </c>
      <c r="P4265" s="19">
        <v>0</v>
      </c>
    </row>
    <row r="4266" spans="12:16" ht="15.75" customHeight="1" x14ac:dyDescent="0.3">
      <c r="L4266" s="6" t="s">
        <v>210</v>
      </c>
      <c r="M4266" s="6" t="s">
        <v>472</v>
      </c>
      <c r="N4266" s="6" t="s">
        <v>96</v>
      </c>
      <c r="O4266" s="6" t="s">
        <v>97</v>
      </c>
      <c r="P4266" s="19">
        <v>0</v>
      </c>
    </row>
    <row r="4267" spans="12:16" ht="15.75" customHeight="1" x14ac:dyDescent="0.3">
      <c r="L4267" s="6" t="s">
        <v>210</v>
      </c>
      <c r="M4267" s="6" t="s">
        <v>472</v>
      </c>
      <c r="N4267" s="6" t="s">
        <v>100</v>
      </c>
      <c r="O4267" s="6" t="s">
        <v>101</v>
      </c>
      <c r="P4267" s="19">
        <v>0</v>
      </c>
    </row>
    <row r="4268" spans="12:16" ht="15.75" customHeight="1" x14ac:dyDescent="0.3">
      <c r="L4268" s="6" t="s">
        <v>210</v>
      </c>
      <c r="M4268" s="6" t="s">
        <v>472</v>
      </c>
      <c r="N4268" s="6" t="s">
        <v>22</v>
      </c>
      <c r="O4268" s="6" t="s">
        <v>104</v>
      </c>
      <c r="P4268" s="19">
        <v>1</v>
      </c>
    </row>
    <row r="4269" spans="12:16" ht="15.75" customHeight="1" x14ac:dyDescent="0.3">
      <c r="L4269" s="6" t="s">
        <v>210</v>
      </c>
      <c r="M4269" s="6" t="s">
        <v>472</v>
      </c>
      <c r="N4269" s="6" t="s">
        <v>23</v>
      </c>
      <c r="O4269" s="6" t="s">
        <v>107</v>
      </c>
      <c r="P4269" s="19">
        <v>30</v>
      </c>
    </row>
    <row r="4270" spans="12:16" ht="15.75" customHeight="1" x14ac:dyDescent="0.3">
      <c r="L4270" s="6" t="s">
        <v>210</v>
      </c>
      <c r="M4270" s="6" t="s">
        <v>472</v>
      </c>
      <c r="N4270" s="6" t="s">
        <v>24</v>
      </c>
      <c r="O4270" s="6" t="s">
        <v>109</v>
      </c>
      <c r="P4270" s="17">
        <v>3.2000000000000002E-3</v>
      </c>
    </row>
    <row r="4271" spans="12:16" ht="15.75" customHeight="1" x14ac:dyDescent="0.3">
      <c r="L4271" s="6" t="s">
        <v>210</v>
      </c>
      <c r="M4271" s="6" t="s">
        <v>472</v>
      </c>
      <c r="N4271" s="6" t="s">
        <v>25</v>
      </c>
      <c r="O4271" s="6" t="s">
        <v>111</v>
      </c>
      <c r="P4271" s="19">
        <v>10</v>
      </c>
    </row>
    <row r="4272" spans="12:16" ht="15.75" customHeight="1" x14ac:dyDescent="0.3">
      <c r="L4272" s="6" t="s">
        <v>210</v>
      </c>
      <c r="M4272" s="6" t="s">
        <v>472</v>
      </c>
      <c r="N4272" s="6" t="s">
        <v>26</v>
      </c>
      <c r="O4272" s="6" t="s">
        <v>113</v>
      </c>
      <c r="P4272" s="19">
        <v>8</v>
      </c>
    </row>
    <row r="4273" spans="12:16" ht="15.75" customHeight="1" x14ac:dyDescent="0.3">
      <c r="L4273" s="6" t="s">
        <v>210</v>
      </c>
      <c r="M4273" s="6" t="s">
        <v>472</v>
      </c>
      <c r="N4273" s="6" t="s">
        <v>27</v>
      </c>
      <c r="O4273" s="6" t="s">
        <v>117</v>
      </c>
      <c r="P4273" s="19">
        <v>30</v>
      </c>
    </row>
    <row r="4274" spans="12:16" ht="15.75" customHeight="1" x14ac:dyDescent="0.3">
      <c r="L4274" s="6" t="s">
        <v>210</v>
      </c>
      <c r="M4274" s="6" t="s">
        <v>472</v>
      </c>
      <c r="N4274" s="6" t="s">
        <v>29</v>
      </c>
      <c r="O4274" s="6" t="s">
        <v>125</v>
      </c>
      <c r="P4274" s="19">
        <v>7</v>
      </c>
    </row>
    <row r="4275" spans="12:16" ht="15.75" customHeight="1" x14ac:dyDescent="0.3">
      <c r="L4275" s="6" t="s">
        <v>210</v>
      </c>
      <c r="M4275" s="6" t="s">
        <v>472</v>
      </c>
      <c r="N4275" s="6" t="s">
        <v>135</v>
      </c>
      <c r="O4275" s="6" t="s">
        <v>136</v>
      </c>
      <c r="P4275" s="19">
        <v>1</v>
      </c>
    </row>
    <row r="4276" spans="12:16" ht="15.75" customHeight="1" x14ac:dyDescent="0.3">
      <c r="L4276" s="6" t="s">
        <v>210</v>
      </c>
      <c r="M4276" s="6" t="s">
        <v>472</v>
      </c>
      <c r="N4276" s="6" t="s">
        <v>138</v>
      </c>
      <c r="O4276" s="6" t="s">
        <v>139</v>
      </c>
      <c r="P4276" s="19">
        <v>0</v>
      </c>
    </row>
    <row r="4277" spans="12:16" ht="15.75" customHeight="1" x14ac:dyDescent="0.3">
      <c r="L4277" s="6" t="s">
        <v>210</v>
      </c>
      <c r="M4277" s="6" t="s">
        <v>472</v>
      </c>
      <c r="N4277" s="6" t="s">
        <v>30</v>
      </c>
      <c r="O4277" s="6" t="s">
        <v>148</v>
      </c>
      <c r="P4277" s="17">
        <v>71.222200000000001</v>
      </c>
    </row>
    <row r="4278" spans="12:16" ht="15.75" customHeight="1" x14ac:dyDescent="0.3">
      <c r="L4278" s="6" t="s">
        <v>210</v>
      </c>
      <c r="M4278" s="6" t="s">
        <v>472</v>
      </c>
      <c r="N4278" s="6" t="s">
        <v>156</v>
      </c>
      <c r="O4278" s="6" t="s">
        <v>157</v>
      </c>
      <c r="P4278" s="19">
        <v>0</v>
      </c>
    </row>
    <row r="4279" spans="12:16" ht="15.75" customHeight="1" x14ac:dyDescent="0.3">
      <c r="L4279" s="6" t="s">
        <v>210</v>
      </c>
      <c r="M4279" s="6" t="s">
        <v>472</v>
      </c>
      <c r="N4279" s="6" t="s">
        <v>158</v>
      </c>
      <c r="O4279" s="6" t="s">
        <v>159</v>
      </c>
      <c r="P4279" s="19">
        <v>1</v>
      </c>
    </row>
    <row r="4280" spans="12:16" ht="15.75" customHeight="1" x14ac:dyDescent="0.3">
      <c r="L4280" s="6" t="s">
        <v>210</v>
      </c>
      <c r="M4280" s="6" t="s">
        <v>472</v>
      </c>
      <c r="N4280" s="6" t="s">
        <v>160</v>
      </c>
      <c r="O4280" s="6" t="s">
        <v>161</v>
      </c>
      <c r="P4280" s="19">
        <v>6</v>
      </c>
    </row>
    <row r="4281" spans="12:16" ht="15.75" customHeight="1" x14ac:dyDescent="0.3">
      <c r="L4281" s="6" t="s">
        <v>210</v>
      </c>
      <c r="M4281" s="6" t="s">
        <v>472</v>
      </c>
      <c r="N4281" s="6" t="s">
        <v>162</v>
      </c>
      <c r="O4281" s="6" t="s">
        <v>163</v>
      </c>
      <c r="P4281" s="19">
        <v>0</v>
      </c>
    </row>
    <row r="4282" spans="12:16" ht="15.75" customHeight="1" x14ac:dyDescent="0.3">
      <c r="L4282" s="6" t="s">
        <v>210</v>
      </c>
      <c r="M4282" s="6" t="s">
        <v>472</v>
      </c>
      <c r="N4282" s="6" t="s">
        <v>165</v>
      </c>
      <c r="O4282" s="6" t="s">
        <v>166</v>
      </c>
      <c r="P4282" s="19">
        <v>3</v>
      </c>
    </row>
    <row r="4283" spans="12:16" ht="15.75" customHeight="1" x14ac:dyDescent="0.3">
      <c r="L4283" s="6" t="s">
        <v>210</v>
      </c>
      <c r="M4283" s="6" t="s">
        <v>509</v>
      </c>
      <c r="N4283" s="6" t="s">
        <v>72</v>
      </c>
      <c r="O4283" s="6" t="s">
        <v>75</v>
      </c>
      <c r="P4283" s="19">
        <v>0</v>
      </c>
    </row>
    <row r="4284" spans="12:16" ht="15.75" customHeight="1" x14ac:dyDescent="0.3">
      <c r="L4284" s="6" t="s">
        <v>210</v>
      </c>
      <c r="M4284" s="6" t="s">
        <v>509</v>
      </c>
      <c r="N4284" s="6" t="s">
        <v>83</v>
      </c>
      <c r="O4284" s="6" t="s">
        <v>84</v>
      </c>
      <c r="P4284" s="19">
        <v>0</v>
      </c>
    </row>
    <row r="4285" spans="12:16" ht="15.75" customHeight="1" x14ac:dyDescent="0.3">
      <c r="L4285" s="6" t="s">
        <v>210</v>
      </c>
      <c r="M4285" s="6" t="s">
        <v>509</v>
      </c>
      <c r="N4285" s="6" t="s">
        <v>88</v>
      </c>
      <c r="O4285" s="6" t="s">
        <v>90</v>
      </c>
      <c r="P4285" s="19">
        <v>1</v>
      </c>
    </row>
    <row r="4286" spans="12:16" ht="15.75" customHeight="1" x14ac:dyDescent="0.3">
      <c r="L4286" s="6" t="s">
        <v>210</v>
      </c>
      <c r="M4286" s="6" t="s">
        <v>509</v>
      </c>
      <c r="N4286" s="6" t="s">
        <v>96</v>
      </c>
      <c r="O4286" s="6" t="s">
        <v>97</v>
      </c>
      <c r="P4286" s="19">
        <v>2</v>
      </c>
    </row>
    <row r="4287" spans="12:16" ht="15.75" customHeight="1" x14ac:dyDescent="0.3">
      <c r="L4287" s="6" t="s">
        <v>210</v>
      </c>
      <c r="M4287" s="6" t="s">
        <v>509</v>
      </c>
      <c r="N4287" s="6" t="s">
        <v>100</v>
      </c>
      <c r="O4287" s="6" t="s">
        <v>101</v>
      </c>
      <c r="P4287" s="19">
        <v>0</v>
      </c>
    </row>
    <row r="4288" spans="12:16" ht="15.75" customHeight="1" x14ac:dyDescent="0.3">
      <c r="L4288" s="6" t="s">
        <v>210</v>
      </c>
      <c r="M4288" s="6" t="s">
        <v>509</v>
      </c>
      <c r="N4288" s="6" t="s">
        <v>22</v>
      </c>
      <c r="O4288" s="6" t="s">
        <v>104</v>
      </c>
      <c r="P4288" s="17">
        <v>2.5</v>
      </c>
    </row>
    <row r="4289" spans="12:16" ht="15.75" customHeight="1" x14ac:dyDescent="0.3">
      <c r="L4289" s="6" t="s">
        <v>210</v>
      </c>
      <c r="M4289" s="6" t="s">
        <v>509</v>
      </c>
      <c r="N4289" s="6" t="s">
        <v>23</v>
      </c>
      <c r="O4289" s="6" t="s">
        <v>107</v>
      </c>
      <c r="P4289" s="17">
        <v>49.128700000000002</v>
      </c>
    </row>
    <row r="4290" spans="12:16" ht="15.75" customHeight="1" x14ac:dyDescent="0.3">
      <c r="L4290" s="6" t="s">
        <v>210</v>
      </c>
      <c r="M4290" s="6" t="s">
        <v>509</v>
      </c>
      <c r="N4290" s="6" t="s">
        <v>24</v>
      </c>
      <c r="O4290" s="6" t="s">
        <v>109</v>
      </c>
      <c r="P4290" s="17">
        <v>4.4999999999999997E-3</v>
      </c>
    </row>
    <row r="4291" spans="12:16" ht="15.75" customHeight="1" x14ac:dyDescent="0.3">
      <c r="L4291" s="6" t="s">
        <v>210</v>
      </c>
      <c r="M4291" s="6" t="s">
        <v>509</v>
      </c>
      <c r="N4291" s="6" t="s">
        <v>25</v>
      </c>
      <c r="O4291" s="6" t="s">
        <v>111</v>
      </c>
      <c r="P4291" s="19">
        <v>7</v>
      </c>
    </row>
    <row r="4292" spans="12:16" ht="15.75" customHeight="1" x14ac:dyDescent="0.3">
      <c r="L4292" s="6" t="s">
        <v>210</v>
      </c>
      <c r="M4292" s="6" t="s">
        <v>509</v>
      </c>
      <c r="N4292" s="6" t="s">
        <v>26</v>
      </c>
      <c r="O4292" s="6" t="s">
        <v>113</v>
      </c>
      <c r="P4292" s="19">
        <v>7</v>
      </c>
    </row>
    <row r="4293" spans="12:16" ht="15.75" customHeight="1" x14ac:dyDescent="0.3">
      <c r="L4293" s="6" t="s">
        <v>210</v>
      </c>
      <c r="M4293" s="6" t="s">
        <v>509</v>
      </c>
      <c r="N4293" s="6" t="s">
        <v>27</v>
      </c>
      <c r="O4293" s="6" t="s">
        <v>117</v>
      </c>
      <c r="P4293" s="17">
        <v>19.651499999999999</v>
      </c>
    </row>
    <row r="4294" spans="12:16" ht="15.75" customHeight="1" x14ac:dyDescent="0.3">
      <c r="L4294" s="6" t="s">
        <v>210</v>
      </c>
      <c r="M4294" s="6" t="s">
        <v>509</v>
      </c>
      <c r="N4294" s="6" t="s">
        <v>29</v>
      </c>
      <c r="O4294" s="6" t="s">
        <v>125</v>
      </c>
      <c r="P4294" s="19">
        <v>4</v>
      </c>
    </row>
    <row r="4295" spans="12:16" ht="15.75" customHeight="1" x14ac:dyDescent="0.3">
      <c r="L4295" s="6" t="s">
        <v>210</v>
      </c>
      <c r="M4295" s="6" t="s">
        <v>509</v>
      </c>
      <c r="N4295" s="6" t="s">
        <v>135</v>
      </c>
      <c r="O4295" s="6" t="s">
        <v>136</v>
      </c>
      <c r="P4295" s="19">
        <v>0</v>
      </c>
    </row>
    <row r="4296" spans="12:16" ht="15.75" customHeight="1" x14ac:dyDescent="0.3">
      <c r="L4296" s="6" t="s">
        <v>210</v>
      </c>
      <c r="M4296" s="6" t="s">
        <v>509</v>
      </c>
      <c r="N4296" s="6" t="s">
        <v>138</v>
      </c>
      <c r="O4296" s="6" t="s">
        <v>139</v>
      </c>
      <c r="P4296" s="19">
        <v>0</v>
      </c>
    </row>
    <row r="4297" spans="12:16" ht="15.75" customHeight="1" x14ac:dyDescent="0.3">
      <c r="L4297" s="6" t="s">
        <v>210</v>
      </c>
      <c r="M4297" s="6" t="s">
        <v>509</v>
      </c>
      <c r="N4297" s="6" t="s">
        <v>30</v>
      </c>
      <c r="O4297" s="6" t="s">
        <v>148</v>
      </c>
      <c r="P4297" s="17">
        <v>77.912800000000004</v>
      </c>
    </row>
    <row r="4298" spans="12:16" ht="15.75" customHeight="1" x14ac:dyDescent="0.3">
      <c r="L4298" s="6" t="s">
        <v>210</v>
      </c>
      <c r="M4298" s="6" t="s">
        <v>509</v>
      </c>
      <c r="N4298" s="6" t="s">
        <v>156</v>
      </c>
      <c r="O4298" s="6" t="s">
        <v>157</v>
      </c>
      <c r="P4298" s="19">
        <v>0</v>
      </c>
    </row>
    <row r="4299" spans="12:16" ht="15.75" customHeight="1" x14ac:dyDescent="0.3">
      <c r="L4299" s="6" t="s">
        <v>210</v>
      </c>
      <c r="M4299" s="6" t="s">
        <v>509</v>
      </c>
      <c r="N4299" s="6" t="s">
        <v>158</v>
      </c>
      <c r="O4299" s="6" t="s">
        <v>159</v>
      </c>
      <c r="P4299" s="19">
        <v>1</v>
      </c>
    </row>
    <row r="4300" spans="12:16" ht="15.75" customHeight="1" x14ac:dyDescent="0.3">
      <c r="L4300" s="6" t="s">
        <v>210</v>
      </c>
      <c r="M4300" s="6" t="s">
        <v>509</v>
      </c>
      <c r="N4300" s="6" t="s">
        <v>160</v>
      </c>
      <c r="O4300" s="6" t="s">
        <v>161</v>
      </c>
      <c r="P4300" s="19">
        <v>2</v>
      </c>
    </row>
    <row r="4301" spans="12:16" ht="15.75" customHeight="1" x14ac:dyDescent="0.3">
      <c r="L4301" s="6" t="s">
        <v>210</v>
      </c>
      <c r="M4301" s="6" t="s">
        <v>509</v>
      </c>
      <c r="N4301" s="6" t="s">
        <v>162</v>
      </c>
      <c r="O4301" s="6" t="s">
        <v>163</v>
      </c>
      <c r="P4301" s="19">
        <v>0</v>
      </c>
    </row>
    <row r="4302" spans="12:16" ht="15.75" customHeight="1" x14ac:dyDescent="0.3">
      <c r="L4302" s="6" t="s">
        <v>210</v>
      </c>
      <c r="M4302" s="6" t="s">
        <v>509</v>
      </c>
      <c r="N4302" s="6" t="s">
        <v>165</v>
      </c>
      <c r="O4302" s="6" t="s">
        <v>166</v>
      </c>
      <c r="P4302" s="19">
        <v>2</v>
      </c>
    </row>
    <row r="4303" spans="12:16" ht="15.75" customHeight="1" x14ac:dyDescent="0.3">
      <c r="L4303" s="6" t="s">
        <v>210</v>
      </c>
      <c r="M4303" s="6" t="s">
        <v>277</v>
      </c>
      <c r="N4303" s="6" t="s">
        <v>72</v>
      </c>
      <c r="O4303" s="6" t="s">
        <v>75</v>
      </c>
      <c r="P4303" s="19">
        <v>6</v>
      </c>
    </row>
    <row r="4304" spans="12:16" ht="15.75" customHeight="1" x14ac:dyDescent="0.3">
      <c r="L4304" s="6" t="s">
        <v>210</v>
      </c>
      <c r="M4304" s="6" t="s">
        <v>277</v>
      </c>
      <c r="N4304" s="6" t="s">
        <v>83</v>
      </c>
      <c r="O4304" s="6" t="s">
        <v>84</v>
      </c>
      <c r="P4304" s="19">
        <v>1</v>
      </c>
    </row>
    <row r="4305" spans="12:16" ht="15.75" customHeight="1" x14ac:dyDescent="0.3">
      <c r="L4305" s="6" t="s">
        <v>210</v>
      </c>
      <c r="M4305" s="6" t="s">
        <v>277</v>
      </c>
      <c r="N4305" s="6" t="s">
        <v>88</v>
      </c>
      <c r="O4305" s="6" t="s">
        <v>90</v>
      </c>
      <c r="P4305" s="17">
        <v>0.46150000000000002</v>
      </c>
    </row>
    <row r="4306" spans="12:16" ht="15.75" customHeight="1" x14ac:dyDescent="0.3">
      <c r="L4306" s="6" t="s">
        <v>210</v>
      </c>
      <c r="M4306" s="6" t="s">
        <v>277</v>
      </c>
      <c r="N4306" s="6" t="s">
        <v>96</v>
      </c>
      <c r="O4306" s="6" t="s">
        <v>97</v>
      </c>
      <c r="P4306" s="19">
        <v>13</v>
      </c>
    </row>
    <row r="4307" spans="12:16" ht="15.75" customHeight="1" x14ac:dyDescent="0.3">
      <c r="L4307" s="6" t="s">
        <v>210</v>
      </c>
      <c r="M4307" s="6" t="s">
        <v>277</v>
      </c>
      <c r="N4307" s="6" t="s">
        <v>100</v>
      </c>
      <c r="O4307" s="6" t="s">
        <v>101</v>
      </c>
      <c r="P4307" s="19">
        <v>3</v>
      </c>
    </row>
    <row r="4308" spans="12:16" ht="15.75" customHeight="1" x14ac:dyDescent="0.3">
      <c r="L4308" s="6" t="s">
        <v>210</v>
      </c>
      <c r="M4308" s="6" t="s">
        <v>277</v>
      </c>
      <c r="N4308" s="6" t="s">
        <v>22</v>
      </c>
      <c r="O4308" s="6" t="s">
        <v>104</v>
      </c>
      <c r="P4308" s="17">
        <v>26.4</v>
      </c>
    </row>
    <row r="4309" spans="12:16" ht="15.75" customHeight="1" x14ac:dyDescent="0.3">
      <c r="L4309" s="6" t="s">
        <v>210</v>
      </c>
      <c r="M4309" s="6" t="s">
        <v>277</v>
      </c>
      <c r="N4309" s="6" t="s">
        <v>23</v>
      </c>
      <c r="O4309" s="6" t="s">
        <v>107</v>
      </c>
      <c r="P4309" s="17">
        <v>14224.1911</v>
      </c>
    </row>
    <row r="4310" spans="12:16" ht="15.75" customHeight="1" x14ac:dyDescent="0.3">
      <c r="L4310" s="6" t="s">
        <v>210</v>
      </c>
      <c r="M4310" s="6" t="s">
        <v>277</v>
      </c>
      <c r="N4310" s="6" t="s">
        <v>24</v>
      </c>
      <c r="O4310" s="6" t="s">
        <v>109</v>
      </c>
      <c r="P4310" s="17">
        <v>0.19570000000000001</v>
      </c>
    </row>
    <row r="4311" spans="12:16" ht="15.75" customHeight="1" x14ac:dyDescent="0.3">
      <c r="L4311" s="6" t="s">
        <v>210</v>
      </c>
      <c r="M4311" s="6" t="s">
        <v>277</v>
      </c>
      <c r="N4311" s="6" t="s">
        <v>25</v>
      </c>
      <c r="O4311" s="6" t="s">
        <v>111</v>
      </c>
      <c r="P4311" s="19">
        <v>97</v>
      </c>
    </row>
    <row r="4312" spans="12:16" ht="15.75" customHeight="1" x14ac:dyDescent="0.3">
      <c r="L4312" s="6" t="s">
        <v>210</v>
      </c>
      <c r="M4312" s="6" t="s">
        <v>277</v>
      </c>
      <c r="N4312" s="6" t="s">
        <v>26</v>
      </c>
      <c r="O4312" s="6" t="s">
        <v>113</v>
      </c>
      <c r="P4312" s="19">
        <v>47</v>
      </c>
    </row>
    <row r="4313" spans="12:16" ht="15.75" customHeight="1" x14ac:dyDescent="0.3">
      <c r="L4313" s="6" t="s">
        <v>210</v>
      </c>
      <c r="M4313" s="6" t="s">
        <v>277</v>
      </c>
      <c r="N4313" s="6" t="s">
        <v>27</v>
      </c>
      <c r="O4313" s="6" t="s">
        <v>117</v>
      </c>
      <c r="P4313" s="17">
        <v>538.79510000000005</v>
      </c>
    </row>
    <row r="4314" spans="12:16" ht="15.75" customHeight="1" x14ac:dyDescent="0.3">
      <c r="L4314" s="6" t="s">
        <v>210</v>
      </c>
      <c r="M4314" s="6" t="s">
        <v>277</v>
      </c>
      <c r="N4314" s="6" t="s">
        <v>29</v>
      </c>
      <c r="O4314" s="6" t="s">
        <v>125</v>
      </c>
      <c r="P4314" s="19">
        <v>41</v>
      </c>
    </row>
    <row r="4315" spans="12:16" ht="15.75" customHeight="1" x14ac:dyDescent="0.3">
      <c r="L4315" s="6" t="s">
        <v>210</v>
      </c>
      <c r="M4315" s="6" t="s">
        <v>277</v>
      </c>
      <c r="N4315" s="6" t="s">
        <v>135</v>
      </c>
      <c r="O4315" s="6" t="s">
        <v>136</v>
      </c>
      <c r="P4315" s="19">
        <v>0</v>
      </c>
    </row>
    <row r="4316" spans="12:16" ht="15.75" customHeight="1" x14ac:dyDescent="0.3">
      <c r="L4316" s="6" t="s">
        <v>210</v>
      </c>
      <c r="M4316" s="6" t="s">
        <v>277</v>
      </c>
      <c r="N4316" s="6" t="s">
        <v>138</v>
      </c>
      <c r="O4316" s="6" t="s">
        <v>139</v>
      </c>
      <c r="P4316" s="19">
        <v>1</v>
      </c>
    </row>
    <row r="4317" spans="12:16" ht="15.75" customHeight="1" x14ac:dyDescent="0.3">
      <c r="L4317" s="6" t="s">
        <v>210</v>
      </c>
      <c r="M4317" s="6" t="s">
        <v>277</v>
      </c>
      <c r="N4317" s="6" t="s">
        <v>30</v>
      </c>
      <c r="O4317" s="6" t="s">
        <v>148</v>
      </c>
      <c r="P4317" s="17">
        <v>45.456800000000001</v>
      </c>
    </row>
    <row r="4318" spans="12:16" ht="15.75" customHeight="1" x14ac:dyDescent="0.3">
      <c r="L4318" s="6" t="s">
        <v>210</v>
      </c>
      <c r="M4318" s="6" t="s">
        <v>277</v>
      </c>
      <c r="N4318" s="6" t="s">
        <v>156</v>
      </c>
      <c r="O4318" s="6" t="s">
        <v>157</v>
      </c>
      <c r="P4318" s="19">
        <v>2</v>
      </c>
    </row>
    <row r="4319" spans="12:16" ht="15.75" customHeight="1" x14ac:dyDescent="0.3">
      <c r="L4319" s="6" t="s">
        <v>210</v>
      </c>
      <c r="M4319" s="6" t="s">
        <v>277</v>
      </c>
      <c r="N4319" s="6" t="s">
        <v>158</v>
      </c>
      <c r="O4319" s="6" t="s">
        <v>159</v>
      </c>
      <c r="P4319" s="19">
        <v>6</v>
      </c>
    </row>
    <row r="4320" spans="12:16" ht="15.75" customHeight="1" x14ac:dyDescent="0.3">
      <c r="L4320" s="6" t="s">
        <v>210</v>
      </c>
      <c r="M4320" s="6" t="s">
        <v>277</v>
      </c>
      <c r="N4320" s="6" t="s">
        <v>160</v>
      </c>
      <c r="O4320" s="6" t="s">
        <v>161</v>
      </c>
      <c r="P4320" s="19">
        <v>18</v>
      </c>
    </row>
    <row r="4321" spans="12:16" ht="15.75" customHeight="1" x14ac:dyDescent="0.3">
      <c r="L4321" s="6" t="s">
        <v>210</v>
      </c>
      <c r="M4321" s="6" t="s">
        <v>277</v>
      </c>
      <c r="N4321" s="6" t="s">
        <v>162</v>
      </c>
      <c r="O4321" s="6" t="s">
        <v>163</v>
      </c>
      <c r="P4321" s="19">
        <v>1</v>
      </c>
    </row>
    <row r="4322" spans="12:16" ht="15.75" customHeight="1" x14ac:dyDescent="0.3">
      <c r="L4322" s="6" t="s">
        <v>210</v>
      </c>
      <c r="M4322" s="6" t="s">
        <v>277</v>
      </c>
      <c r="N4322" s="6" t="s">
        <v>165</v>
      </c>
      <c r="O4322" s="6" t="s">
        <v>166</v>
      </c>
      <c r="P4322" s="19">
        <v>3</v>
      </c>
    </row>
    <row r="4323" spans="12:16" ht="15.75" customHeight="1" x14ac:dyDescent="0.3">
      <c r="L4323" s="6" t="s">
        <v>210</v>
      </c>
      <c r="M4323" s="6" t="s">
        <v>244</v>
      </c>
      <c r="N4323" s="6" t="s">
        <v>72</v>
      </c>
      <c r="O4323" s="6" t="s">
        <v>75</v>
      </c>
      <c r="P4323" s="19">
        <v>9</v>
      </c>
    </row>
    <row r="4324" spans="12:16" ht="15.75" customHeight="1" x14ac:dyDescent="0.3">
      <c r="L4324" s="6" t="s">
        <v>210</v>
      </c>
      <c r="M4324" s="6" t="s">
        <v>244</v>
      </c>
      <c r="N4324" s="6" t="s">
        <v>83</v>
      </c>
      <c r="O4324" s="6" t="s">
        <v>84</v>
      </c>
      <c r="P4324" s="19">
        <v>1</v>
      </c>
    </row>
    <row r="4325" spans="12:16" ht="15.75" customHeight="1" x14ac:dyDescent="0.3">
      <c r="L4325" s="6" t="s">
        <v>210</v>
      </c>
      <c r="M4325" s="6" t="s">
        <v>244</v>
      </c>
      <c r="N4325" s="6" t="s">
        <v>88</v>
      </c>
      <c r="O4325" s="6" t="s">
        <v>90</v>
      </c>
      <c r="P4325" s="17">
        <v>0.47370000000000001</v>
      </c>
    </row>
    <row r="4326" spans="12:16" ht="15.75" customHeight="1" x14ac:dyDescent="0.3">
      <c r="L4326" s="6" t="s">
        <v>210</v>
      </c>
      <c r="M4326" s="6" t="s">
        <v>244</v>
      </c>
      <c r="N4326" s="6" t="s">
        <v>96</v>
      </c>
      <c r="O4326" s="6" t="s">
        <v>97</v>
      </c>
      <c r="P4326" s="19">
        <v>17</v>
      </c>
    </row>
    <row r="4327" spans="12:16" ht="15.75" customHeight="1" x14ac:dyDescent="0.3">
      <c r="L4327" s="6" t="s">
        <v>210</v>
      </c>
      <c r="M4327" s="6" t="s">
        <v>244</v>
      </c>
      <c r="N4327" s="6" t="s">
        <v>100</v>
      </c>
      <c r="O4327" s="6" t="s">
        <v>101</v>
      </c>
      <c r="P4327" s="19">
        <v>7</v>
      </c>
    </row>
    <row r="4328" spans="12:16" ht="15.75" customHeight="1" x14ac:dyDescent="0.3">
      <c r="L4328" s="6" t="s">
        <v>210</v>
      </c>
      <c r="M4328" s="6" t="s">
        <v>244</v>
      </c>
      <c r="N4328" s="6" t="s">
        <v>22</v>
      </c>
      <c r="O4328" s="6" t="s">
        <v>104</v>
      </c>
      <c r="P4328" s="17">
        <v>32.410299999999999</v>
      </c>
    </row>
    <row r="4329" spans="12:16" ht="15.75" customHeight="1" x14ac:dyDescent="0.3">
      <c r="L4329" s="6" t="s">
        <v>210</v>
      </c>
      <c r="M4329" s="6" t="s">
        <v>244</v>
      </c>
      <c r="N4329" s="6" t="s">
        <v>23</v>
      </c>
      <c r="O4329" s="6" t="s">
        <v>107</v>
      </c>
      <c r="P4329" s="17">
        <v>25910.934499999999</v>
      </c>
    </row>
    <row r="4330" spans="12:16" ht="15.75" customHeight="1" x14ac:dyDescent="0.3">
      <c r="L4330" s="6" t="s">
        <v>210</v>
      </c>
      <c r="M4330" s="6" t="s">
        <v>244</v>
      </c>
      <c r="N4330" s="6" t="s">
        <v>24</v>
      </c>
      <c r="O4330" s="6" t="s">
        <v>109</v>
      </c>
      <c r="P4330" s="17">
        <v>0.29189999999999999</v>
      </c>
    </row>
    <row r="4331" spans="12:16" ht="15.75" customHeight="1" x14ac:dyDescent="0.3">
      <c r="L4331" s="6" t="s">
        <v>210</v>
      </c>
      <c r="M4331" s="6" t="s">
        <v>244</v>
      </c>
      <c r="N4331" s="6" t="s">
        <v>25</v>
      </c>
      <c r="O4331" s="6" t="s">
        <v>111</v>
      </c>
      <c r="P4331" s="19">
        <v>130</v>
      </c>
    </row>
    <row r="4332" spans="12:16" ht="15.75" customHeight="1" x14ac:dyDescent="0.3">
      <c r="L4332" s="6" t="s">
        <v>210</v>
      </c>
      <c r="M4332" s="6" t="s">
        <v>244</v>
      </c>
      <c r="N4332" s="6" t="s">
        <v>26</v>
      </c>
      <c r="O4332" s="6" t="s">
        <v>113</v>
      </c>
      <c r="P4332" s="19">
        <v>71</v>
      </c>
    </row>
    <row r="4333" spans="12:16" ht="15.75" customHeight="1" x14ac:dyDescent="0.3">
      <c r="L4333" s="6" t="s">
        <v>210</v>
      </c>
      <c r="M4333" s="6" t="s">
        <v>244</v>
      </c>
      <c r="N4333" s="6" t="s">
        <v>27</v>
      </c>
      <c r="O4333" s="6" t="s">
        <v>117</v>
      </c>
      <c r="P4333" s="17">
        <v>799.46709999999996</v>
      </c>
    </row>
    <row r="4334" spans="12:16" ht="15.75" customHeight="1" x14ac:dyDescent="0.3">
      <c r="L4334" s="6" t="s">
        <v>210</v>
      </c>
      <c r="M4334" s="6" t="s">
        <v>244</v>
      </c>
      <c r="N4334" s="6" t="s">
        <v>29</v>
      </c>
      <c r="O4334" s="6" t="s">
        <v>125</v>
      </c>
      <c r="P4334" s="19">
        <v>60</v>
      </c>
    </row>
    <row r="4335" spans="12:16" ht="15.75" customHeight="1" x14ac:dyDescent="0.3">
      <c r="L4335" s="6" t="s">
        <v>210</v>
      </c>
      <c r="M4335" s="6" t="s">
        <v>244</v>
      </c>
      <c r="N4335" s="6" t="s">
        <v>135</v>
      </c>
      <c r="O4335" s="6" t="s">
        <v>136</v>
      </c>
      <c r="P4335" s="17">
        <v>0.15790000000000001</v>
      </c>
    </row>
    <row r="4336" spans="12:16" ht="15.75" customHeight="1" x14ac:dyDescent="0.3">
      <c r="L4336" s="6" t="s">
        <v>210</v>
      </c>
      <c r="M4336" s="6" t="s">
        <v>244</v>
      </c>
      <c r="N4336" s="6" t="s">
        <v>138</v>
      </c>
      <c r="O4336" s="6" t="s">
        <v>139</v>
      </c>
      <c r="P4336" s="19">
        <v>1</v>
      </c>
    </row>
    <row r="4337" spans="12:16" ht="15.75" customHeight="1" x14ac:dyDescent="0.3">
      <c r="L4337" s="6" t="s">
        <v>210</v>
      </c>
      <c r="M4337" s="6" t="s">
        <v>244</v>
      </c>
      <c r="N4337" s="6" t="s">
        <v>30</v>
      </c>
      <c r="O4337" s="6" t="s">
        <v>148</v>
      </c>
      <c r="P4337" s="17">
        <v>40.553600000000003</v>
      </c>
    </row>
    <row r="4338" spans="12:16" ht="15.75" customHeight="1" x14ac:dyDescent="0.3">
      <c r="L4338" s="6" t="s">
        <v>210</v>
      </c>
      <c r="M4338" s="6" t="s">
        <v>244</v>
      </c>
      <c r="N4338" s="6" t="s">
        <v>156</v>
      </c>
      <c r="O4338" s="6" t="s">
        <v>157</v>
      </c>
      <c r="P4338" s="19">
        <v>2</v>
      </c>
    </row>
    <row r="4339" spans="12:16" ht="15.75" customHeight="1" x14ac:dyDescent="0.3">
      <c r="L4339" s="6" t="s">
        <v>210</v>
      </c>
      <c r="M4339" s="6" t="s">
        <v>244</v>
      </c>
      <c r="N4339" s="6" t="s">
        <v>158</v>
      </c>
      <c r="O4339" s="6" t="s">
        <v>159</v>
      </c>
      <c r="P4339" s="19">
        <v>12</v>
      </c>
    </row>
    <row r="4340" spans="12:16" ht="15.75" customHeight="1" x14ac:dyDescent="0.3">
      <c r="L4340" s="6" t="s">
        <v>210</v>
      </c>
      <c r="M4340" s="6" t="s">
        <v>244</v>
      </c>
      <c r="N4340" s="6" t="s">
        <v>160</v>
      </c>
      <c r="O4340" s="6" t="s">
        <v>161</v>
      </c>
      <c r="P4340" s="19">
        <v>23</v>
      </c>
    </row>
    <row r="4341" spans="12:16" ht="15.75" customHeight="1" x14ac:dyDescent="0.3">
      <c r="L4341" s="6" t="s">
        <v>210</v>
      </c>
      <c r="M4341" s="6" t="s">
        <v>244</v>
      </c>
      <c r="N4341" s="6" t="s">
        <v>162</v>
      </c>
      <c r="O4341" s="6" t="s">
        <v>163</v>
      </c>
      <c r="P4341" s="19">
        <v>1</v>
      </c>
    </row>
    <row r="4342" spans="12:16" ht="15.75" customHeight="1" x14ac:dyDescent="0.3">
      <c r="L4342" s="6" t="s">
        <v>210</v>
      </c>
      <c r="M4342" s="6" t="s">
        <v>244</v>
      </c>
      <c r="N4342" s="6" t="s">
        <v>165</v>
      </c>
      <c r="O4342" s="6" t="s">
        <v>166</v>
      </c>
      <c r="P4342" s="19">
        <v>2</v>
      </c>
    </row>
    <row r="4343" spans="12:16" ht="15.75" customHeight="1" x14ac:dyDescent="0.3">
      <c r="L4343" s="6" t="s">
        <v>210</v>
      </c>
      <c r="M4343" s="6" t="s">
        <v>290</v>
      </c>
      <c r="N4343" s="6" t="s">
        <v>72</v>
      </c>
      <c r="O4343" s="6" t="s">
        <v>75</v>
      </c>
      <c r="P4343" s="19">
        <v>4</v>
      </c>
    </row>
    <row r="4344" spans="12:16" ht="15.75" customHeight="1" x14ac:dyDescent="0.3">
      <c r="L4344" s="6" t="s">
        <v>210</v>
      </c>
      <c r="M4344" s="6" t="s">
        <v>290</v>
      </c>
      <c r="N4344" s="6" t="s">
        <v>83</v>
      </c>
      <c r="O4344" s="6" t="s">
        <v>84</v>
      </c>
      <c r="P4344" s="19">
        <v>1</v>
      </c>
    </row>
    <row r="4345" spans="12:16" ht="15.75" customHeight="1" x14ac:dyDescent="0.3">
      <c r="L4345" s="6" t="s">
        <v>210</v>
      </c>
      <c r="M4345" s="6" t="s">
        <v>290</v>
      </c>
      <c r="N4345" s="6" t="s">
        <v>88</v>
      </c>
      <c r="O4345" s="6" t="s">
        <v>90</v>
      </c>
      <c r="P4345" s="17">
        <v>0.71430000000000005</v>
      </c>
    </row>
    <row r="4346" spans="12:16" ht="15.75" customHeight="1" x14ac:dyDescent="0.3">
      <c r="L4346" s="6" t="s">
        <v>210</v>
      </c>
      <c r="M4346" s="6" t="s">
        <v>290</v>
      </c>
      <c r="N4346" s="6" t="s">
        <v>96</v>
      </c>
      <c r="O4346" s="6" t="s">
        <v>97</v>
      </c>
      <c r="P4346" s="19">
        <v>6</v>
      </c>
    </row>
    <row r="4347" spans="12:16" ht="15.75" customHeight="1" x14ac:dyDescent="0.3">
      <c r="L4347" s="6" t="s">
        <v>210</v>
      </c>
      <c r="M4347" s="6" t="s">
        <v>290</v>
      </c>
      <c r="N4347" s="6" t="s">
        <v>100</v>
      </c>
      <c r="O4347" s="6" t="s">
        <v>101</v>
      </c>
      <c r="P4347" s="19">
        <v>5</v>
      </c>
    </row>
    <row r="4348" spans="12:16" ht="15.75" customHeight="1" x14ac:dyDescent="0.3">
      <c r="L4348" s="6" t="s">
        <v>210</v>
      </c>
      <c r="M4348" s="6" t="s">
        <v>290</v>
      </c>
      <c r="N4348" s="6" t="s">
        <v>22</v>
      </c>
      <c r="O4348" s="6" t="s">
        <v>104</v>
      </c>
      <c r="P4348" s="17">
        <v>13.975</v>
      </c>
    </row>
    <row r="4349" spans="12:16" ht="15.75" customHeight="1" x14ac:dyDescent="0.3">
      <c r="L4349" s="6" t="s">
        <v>210</v>
      </c>
      <c r="M4349" s="6" t="s">
        <v>290</v>
      </c>
      <c r="N4349" s="6" t="s">
        <v>23</v>
      </c>
      <c r="O4349" s="6" t="s">
        <v>107</v>
      </c>
      <c r="P4349" s="17">
        <v>4511.7061000000003</v>
      </c>
    </row>
    <row r="4350" spans="12:16" ht="15.75" customHeight="1" x14ac:dyDescent="0.3">
      <c r="L4350" s="6" t="s">
        <v>210</v>
      </c>
      <c r="M4350" s="6" t="s">
        <v>290</v>
      </c>
      <c r="N4350" s="6" t="s">
        <v>24</v>
      </c>
      <c r="O4350" s="6" t="s">
        <v>109</v>
      </c>
      <c r="P4350" s="17">
        <v>9.0999999999999998E-2</v>
      </c>
    </row>
    <row r="4351" spans="12:16" ht="15.75" customHeight="1" x14ac:dyDescent="0.3">
      <c r="L4351" s="6" t="s">
        <v>210</v>
      </c>
      <c r="M4351" s="6" t="s">
        <v>290</v>
      </c>
      <c r="N4351" s="6" t="s">
        <v>25</v>
      </c>
      <c r="O4351" s="6" t="s">
        <v>111</v>
      </c>
      <c r="P4351" s="19">
        <v>64</v>
      </c>
    </row>
    <row r="4352" spans="12:16" ht="15.75" customHeight="1" x14ac:dyDescent="0.3">
      <c r="L4352" s="6" t="s">
        <v>210</v>
      </c>
      <c r="M4352" s="6" t="s">
        <v>290</v>
      </c>
      <c r="N4352" s="6" t="s">
        <v>26</v>
      </c>
      <c r="O4352" s="6" t="s">
        <v>113</v>
      </c>
      <c r="P4352" s="19">
        <v>33</v>
      </c>
    </row>
    <row r="4353" spans="12:16" ht="15.75" customHeight="1" x14ac:dyDescent="0.3">
      <c r="L4353" s="6" t="s">
        <v>210</v>
      </c>
      <c r="M4353" s="6" t="s">
        <v>290</v>
      </c>
      <c r="N4353" s="6" t="s">
        <v>27</v>
      </c>
      <c r="O4353" s="6" t="s">
        <v>117</v>
      </c>
      <c r="P4353" s="17">
        <v>322.84120000000001</v>
      </c>
    </row>
    <row r="4354" spans="12:16" ht="15.75" customHeight="1" x14ac:dyDescent="0.3">
      <c r="L4354" s="6" t="s">
        <v>210</v>
      </c>
      <c r="M4354" s="6" t="s">
        <v>290</v>
      </c>
      <c r="N4354" s="6" t="s">
        <v>29</v>
      </c>
      <c r="O4354" s="6" t="s">
        <v>125</v>
      </c>
      <c r="P4354" s="19">
        <v>29</v>
      </c>
    </row>
    <row r="4355" spans="12:16" ht="15.75" customHeight="1" x14ac:dyDescent="0.3">
      <c r="L4355" s="6" t="s">
        <v>210</v>
      </c>
      <c r="M4355" s="6" t="s">
        <v>290</v>
      </c>
      <c r="N4355" s="6" t="s">
        <v>135</v>
      </c>
      <c r="O4355" s="6" t="s">
        <v>136</v>
      </c>
      <c r="P4355" s="17">
        <v>9.0899999999999995E-2</v>
      </c>
    </row>
    <row r="4356" spans="12:16" ht="15.75" customHeight="1" x14ac:dyDescent="0.3">
      <c r="L4356" s="6" t="s">
        <v>210</v>
      </c>
      <c r="M4356" s="6" t="s">
        <v>290</v>
      </c>
      <c r="N4356" s="6" t="s">
        <v>138</v>
      </c>
      <c r="O4356" s="6" t="s">
        <v>139</v>
      </c>
      <c r="P4356" s="19">
        <v>0</v>
      </c>
    </row>
    <row r="4357" spans="12:16" ht="15.75" customHeight="1" x14ac:dyDescent="0.3">
      <c r="L4357" s="6" t="s">
        <v>210</v>
      </c>
      <c r="M4357" s="6" t="s">
        <v>290</v>
      </c>
      <c r="N4357" s="6" t="s">
        <v>30</v>
      </c>
      <c r="O4357" s="6" t="s">
        <v>148</v>
      </c>
      <c r="P4357" s="17">
        <v>50.322800000000001</v>
      </c>
    </row>
    <row r="4358" spans="12:16" ht="15.75" customHeight="1" x14ac:dyDescent="0.3">
      <c r="L4358" s="6" t="s">
        <v>210</v>
      </c>
      <c r="M4358" s="6" t="s">
        <v>290</v>
      </c>
      <c r="N4358" s="6" t="s">
        <v>156</v>
      </c>
      <c r="O4358" s="6" t="s">
        <v>157</v>
      </c>
      <c r="P4358" s="19">
        <v>1</v>
      </c>
    </row>
    <row r="4359" spans="12:16" ht="15.75" customHeight="1" x14ac:dyDescent="0.3">
      <c r="L4359" s="6" t="s">
        <v>210</v>
      </c>
      <c r="M4359" s="6" t="s">
        <v>290</v>
      </c>
      <c r="N4359" s="6" t="s">
        <v>158</v>
      </c>
      <c r="O4359" s="6" t="s">
        <v>159</v>
      </c>
      <c r="P4359" s="19">
        <v>5</v>
      </c>
    </row>
    <row r="4360" spans="12:16" ht="15.75" customHeight="1" x14ac:dyDescent="0.3">
      <c r="L4360" s="6" t="s">
        <v>210</v>
      </c>
      <c r="M4360" s="6" t="s">
        <v>290</v>
      </c>
      <c r="N4360" s="6" t="s">
        <v>160</v>
      </c>
      <c r="O4360" s="6" t="s">
        <v>161</v>
      </c>
      <c r="P4360" s="19">
        <v>12</v>
      </c>
    </row>
    <row r="4361" spans="12:16" ht="15.75" customHeight="1" x14ac:dyDescent="0.3">
      <c r="L4361" s="6" t="s">
        <v>210</v>
      </c>
      <c r="M4361" s="6" t="s">
        <v>290</v>
      </c>
      <c r="N4361" s="6" t="s">
        <v>162</v>
      </c>
      <c r="O4361" s="6" t="s">
        <v>163</v>
      </c>
      <c r="P4361" s="19">
        <v>0</v>
      </c>
    </row>
    <row r="4362" spans="12:16" ht="15.75" customHeight="1" x14ac:dyDescent="0.3">
      <c r="L4362" s="6" t="s">
        <v>210</v>
      </c>
      <c r="M4362" s="6" t="s">
        <v>290</v>
      </c>
      <c r="N4362" s="6" t="s">
        <v>165</v>
      </c>
      <c r="O4362" s="6" t="s">
        <v>166</v>
      </c>
      <c r="P4362" s="19">
        <v>1</v>
      </c>
    </row>
    <row r="4363" spans="12:16" ht="15.75" customHeight="1" x14ac:dyDescent="0.3">
      <c r="L4363" s="6" t="s">
        <v>211</v>
      </c>
      <c r="M4363" s="6" t="s">
        <v>474</v>
      </c>
      <c r="N4363" s="6" t="s">
        <v>72</v>
      </c>
      <c r="O4363" s="6" t="s">
        <v>75</v>
      </c>
      <c r="P4363" s="19">
        <v>0</v>
      </c>
    </row>
    <row r="4364" spans="12:16" ht="15.75" customHeight="1" x14ac:dyDescent="0.3">
      <c r="L4364" s="6" t="s">
        <v>211</v>
      </c>
      <c r="M4364" s="6" t="s">
        <v>474</v>
      </c>
      <c r="N4364" s="6" t="s">
        <v>83</v>
      </c>
      <c r="O4364" s="6" t="s">
        <v>84</v>
      </c>
      <c r="P4364" s="19">
        <v>0</v>
      </c>
    </row>
    <row r="4365" spans="12:16" ht="15.75" customHeight="1" x14ac:dyDescent="0.3">
      <c r="L4365" s="6" t="s">
        <v>211</v>
      </c>
      <c r="M4365" s="6" t="s">
        <v>474</v>
      </c>
      <c r="N4365" s="6" t="s">
        <v>88</v>
      </c>
      <c r="O4365" s="6" t="s">
        <v>90</v>
      </c>
      <c r="P4365" s="17">
        <v>0.66669999999999996</v>
      </c>
    </row>
    <row r="4366" spans="12:16" ht="15.75" customHeight="1" x14ac:dyDescent="0.3">
      <c r="L4366" s="6" t="s">
        <v>211</v>
      </c>
      <c r="M4366" s="6" t="s">
        <v>474</v>
      </c>
      <c r="N4366" s="6" t="s">
        <v>96</v>
      </c>
      <c r="O4366" s="6" t="s">
        <v>97</v>
      </c>
      <c r="P4366" s="19">
        <v>3</v>
      </c>
    </row>
    <row r="4367" spans="12:16" ht="15.75" customHeight="1" x14ac:dyDescent="0.3">
      <c r="L4367" s="6" t="s">
        <v>211</v>
      </c>
      <c r="M4367" s="6" t="s">
        <v>474</v>
      </c>
      <c r="N4367" s="6" t="s">
        <v>100</v>
      </c>
      <c r="O4367" s="6" t="s">
        <v>101</v>
      </c>
      <c r="P4367" s="19">
        <v>0</v>
      </c>
    </row>
    <row r="4368" spans="12:16" ht="15.75" customHeight="1" x14ac:dyDescent="0.3">
      <c r="L4368" s="6" t="s">
        <v>211</v>
      </c>
      <c r="M4368" s="6" t="s">
        <v>474</v>
      </c>
      <c r="N4368" s="6" t="s">
        <v>22</v>
      </c>
      <c r="O4368" s="6" t="s">
        <v>104</v>
      </c>
      <c r="P4368" s="17">
        <v>4.2</v>
      </c>
    </row>
    <row r="4369" spans="12:16" ht="15.75" customHeight="1" x14ac:dyDescent="0.3">
      <c r="L4369" s="6" t="s">
        <v>211</v>
      </c>
      <c r="M4369" s="6" t="s">
        <v>474</v>
      </c>
      <c r="N4369" s="6" t="s">
        <v>23</v>
      </c>
      <c r="O4369" s="6" t="s">
        <v>107</v>
      </c>
      <c r="P4369" s="17">
        <v>188.88499999999999</v>
      </c>
    </row>
    <row r="4370" spans="12:16" ht="15.75" customHeight="1" x14ac:dyDescent="0.3">
      <c r="L4370" s="6" t="s">
        <v>211</v>
      </c>
      <c r="M4370" s="6" t="s">
        <v>474</v>
      </c>
      <c r="N4370" s="6" t="s">
        <v>24</v>
      </c>
      <c r="O4370" s="6" t="s">
        <v>109</v>
      </c>
      <c r="P4370" s="17">
        <v>1.0999999999999999E-2</v>
      </c>
    </row>
    <row r="4371" spans="12:16" ht="15.75" customHeight="1" x14ac:dyDescent="0.3">
      <c r="L4371" s="6" t="s">
        <v>211</v>
      </c>
      <c r="M4371" s="6" t="s">
        <v>474</v>
      </c>
      <c r="N4371" s="6" t="s">
        <v>25</v>
      </c>
      <c r="O4371" s="6" t="s">
        <v>111</v>
      </c>
      <c r="P4371" s="19">
        <v>13</v>
      </c>
    </row>
    <row r="4372" spans="12:16" ht="15.75" customHeight="1" x14ac:dyDescent="0.3">
      <c r="L4372" s="6" t="s">
        <v>211</v>
      </c>
      <c r="M4372" s="6" t="s">
        <v>474</v>
      </c>
      <c r="N4372" s="6" t="s">
        <v>26</v>
      </c>
      <c r="O4372" s="6" t="s">
        <v>113</v>
      </c>
      <c r="P4372" s="19">
        <v>11</v>
      </c>
    </row>
    <row r="4373" spans="12:16" ht="15.75" customHeight="1" x14ac:dyDescent="0.3">
      <c r="L4373" s="6" t="s">
        <v>211</v>
      </c>
      <c r="M4373" s="6" t="s">
        <v>474</v>
      </c>
      <c r="N4373" s="6" t="s">
        <v>27</v>
      </c>
      <c r="O4373" s="6" t="s">
        <v>117</v>
      </c>
      <c r="P4373" s="17">
        <v>44.9726</v>
      </c>
    </row>
    <row r="4374" spans="12:16" ht="15.75" customHeight="1" x14ac:dyDescent="0.3">
      <c r="L4374" s="6" t="s">
        <v>211</v>
      </c>
      <c r="M4374" s="6" t="s">
        <v>474</v>
      </c>
      <c r="N4374" s="6" t="s">
        <v>29</v>
      </c>
      <c r="O4374" s="6" t="s">
        <v>125</v>
      </c>
      <c r="P4374" s="19">
        <v>7</v>
      </c>
    </row>
    <row r="4375" spans="12:16" ht="15.75" customHeight="1" x14ac:dyDescent="0.3">
      <c r="L4375" s="6" t="s">
        <v>211</v>
      </c>
      <c r="M4375" s="6" t="s">
        <v>474</v>
      </c>
      <c r="N4375" s="6" t="s">
        <v>135</v>
      </c>
      <c r="O4375" s="6" t="s">
        <v>136</v>
      </c>
      <c r="P4375" s="19">
        <v>1</v>
      </c>
    </row>
    <row r="4376" spans="12:16" ht="15.75" customHeight="1" x14ac:dyDescent="0.3">
      <c r="L4376" s="6" t="s">
        <v>211</v>
      </c>
      <c r="M4376" s="6" t="s">
        <v>474</v>
      </c>
      <c r="N4376" s="6" t="s">
        <v>138</v>
      </c>
      <c r="O4376" s="6" t="s">
        <v>139</v>
      </c>
      <c r="P4376" s="19">
        <v>0</v>
      </c>
    </row>
    <row r="4377" spans="12:16" ht="15.75" customHeight="1" x14ac:dyDescent="0.3">
      <c r="L4377" s="6" t="s">
        <v>211</v>
      </c>
      <c r="M4377" s="6" t="s">
        <v>474</v>
      </c>
      <c r="N4377" s="6" t="s">
        <v>30</v>
      </c>
      <c r="O4377" s="6" t="s">
        <v>148</v>
      </c>
      <c r="P4377" s="17">
        <v>70.057599999999994</v>
      </c>
    </row>
    <row r="4378" spans="12:16" ht="15.75" customHeight="1" x14ac:dyDescent="0.3">
      <c r="L4378" s="6" t="s">
        <v>211</v>
      </c>
      <c r="M4378" s="6" t="s">
        <v>474</v>
      </c>
      <c r="N4378" s="6" t="s">
        <v>156</v>
      </c>
      <c r="O4378" s="6" t="s">
        <v>157</v>
      </c>
      <c r="P4378" s="19">
        <v>0</v>
      </c>
    </row>
    <row r="4379" spans="12:16" ht="15.75" customHeight="1" x14ac:dyDescent="0.3">
      <c r="L4379" s="6" t="s">
        <v>211</v>
      </c>
      <c r="M4379" s="6" t="s">
        <v>474</v>
      </c>
      <c r="N4379" s="6" t="s">
        <v>158</v>
      </c>
      <c r="O4379" s="6" t="s">
        <v>159</v>
      </c>
      <c r="P4379" s="19">
        <v>1</v>
      </c>
    </row>
    <row r="4380" spans="12:16" ht="15.75" customHeight="1" x14ac:dyDescent="0.3">
      <c r="L4380" s="6" t="s">
        <v>211</v>
      </c>
      <c r="M4380" s="6" t="s">
        <v>474</v>
      </c>
      <c r="N4380" s="6" t="s">
        <v>160</v>
      </c>
      <c r="O4380" s="6" t="s">
        <v>161</v>
      </c>
      <c r="P4380" s="19">
        <v>5</v>
      </c>
    </row>
    <row r="4381" spans="12:16" ht="15.75" customHeight="1" x14ac:dyDescent="0.3">
      <c r="L4381" s="6" t="s">
        <v>211</v>
      </c>
      <c r="M4381" s="6" t="s">
        <v>474</v>
      </c>
      <c r="N4381" s="6" t="s">
        <v>162</v>
      </c>
      <c r="O4381" s="6" t="s">
        <v>163</v>
      </c>
      <c r="P4381" s="19">
        <v>0</v>
      </c>
    </row>
    <row r="4382" spans="12:16" ht="15.75" customHeight="1" x14ac:dyDescent="0.3">
      <c r="L4382" s="6" t="s">
        <v>211</v>
      </c>
      <c r="M4382" s="6" t="s">
        <v>474</v>
      </c>
      <c r="N4382" s="6" t="s">
        <v>165</v>
      </c>
      <c r="O4382" s="6" t="s">
        <v>166</v>
      </c>
      <c r="P4382" s="19">
        <v>2</v>
      </c>
    </row>
    <row r="4383" spans="12:16" ht="15.75" customHeight="1" x14ac:dyDescent="0.3">
      <c r="L4383" s="6" t="s">
        <v>211</v>
      </c>
      <c r="M4383" s="6" t="s">
        <v>511</v>
      </c>
      <c r="N4383" s="6" t="s">
        <v>72</v>
      </c>
      <c r="O4383" s="6" t="s">
        <v>75</v>
      </c>
      <c r="P4383" s="19">
        <v>0</v>
      </c>
    </row>
    <row r="4384" spans="12:16" ht="15.75" customHeight="1" x14ac:dyDescent="0.3">
      <c r="L4384" s="6" t="s">
        <v>211</v>
      </c>
      <c r="M4384" s="6" t="s">
        <v>511</v>
      </c>
      <c r="N4384" s="6" t="s">
        <v>83</v>
      </c>
      <c r="O4384" s="6" t="s">
        <v>84</v>
      </c>
      <c r="P4384" s="19">
        <v>0</v>
      </c>
    </row>
    <row r="4385" spans="12:16" ht="15.75" customHeight="1" x14ac:dyDescent="0.3">
      <c r="L4385" s="6" t="s">
        <v>211</v>
      </c>
      <c r="M4385" s="6" t="s">
        <v>511</v>
      </c>
      <c r="N4385" s="6" t="s">
        <v>88</v>
      </c>
      <c r="O4385" s="6" t="s">
        <v>90</v>
      </c>
      <c r="P4385" s="19">
        <v>1</v>
      </c>
    </row>
    <row r="4386" spans="12:16" ht="15.75" customHeight="1" x14ac:dyDescent="0.3">
      <c r="L4386" s="6" t="s">
        <v>211</v>
      </c>
      <c r="M4386" s="6" t="s">
        <v>511</v>
      </c>
      <c r="N4386" s="6" t="s">
        <v>96</v>
      </c>
      <c r="O4386" s="6" t="s">
        <v>97</v>
      </c>
      <c r="P4386" s="19">
        <v>1</v>
      </c>
    </row>
    <row r="4387" spans="12:16" ht="15.75" customHeight="1" x14ac:dyDescent="0.3">
      <c r="L4387" s="6" t="s">
        <v>211</v>
      </c>
      <c r="M4387" s="6" t="s">
        <v>511</v>
      </c>
      <c r="N4387" s="6" t="s">
        <v>100</v>
      </c>
      <c r="O4387" s="6" t="s">
        <v>101</v>
      </c>
      <c r="P4387" s="19">
        <v>0</v>
      </c>
    </row>
    <row r="4388" spans="12:16" ht="15.75" customHeight="1" x14ac:dyDescent="0.3">
      <c r="L4388" s="6" t="s">
        <v>211</v>
      </c>
      <c r="M4388" s="6" t="s">
        <v>511</v>
      </c>
      <c r="N4388" s="6" t="s">
        <v>22</v>
      </c>
      <c r="O4388" s="6" t="s">
        <v>104</v>
      </c>
      <c r="P4388" s="17">
        <v>1.5</v>
      </c>
    </row>
    <row r="4389" spans="12:16" ht="15.75" customHeight="1" x14ac:dyDescent="0.3">
      <c r="L4389" s="6" t="s">
        <v>211</v>
      </c>
      <c r="M4389" s="6" t="s">
        <v>511</v>
      </c>
      <c r="N4389" s="6" t="s">
        <v>23</v>
      </c>
      <c r="O4389" s="6" t="s">
        <v>107</v>
      </c>
      <c r="P4389" s="17">
        <v>17.4145</v>
      </c>
    </row>
    <row r="4390" spans="12:16" ht="15.75" customHeight="1" x14ac:dyDescent="0.3">
      <c r="L4390" s="6" t="s">
        <v>211</v>
      </c>
      <c r="M4390" s="6" t="s">
        <v>511</v>
      </c>
      <c r="N4390" s="6" t="s">
        <v>24</v>
      </c>
      <c r="O4390" s="6" t="s">
        <v>109</v>
      </c>
      <c r="P4390" s="17">
        <v>2.2000000000000001E-3</v>
      </c>
    </row>
    <row r="4391" spans="12:16" ht="15.75" customHeight="1" x14ac:dyDescent="0.3">
      <c r="L4391" s="6" t="s">
        <v>211</v>
      </c>
      <c r="M4391" s="6" t="s">
        <v>511</v>
      </c>
      <c r="N4391" s="6" t="s">
        <v>25</v>
      </c>
      <c r="O4391" s="6" t="s">
        <v>111</v>
      </c>
      <c r="P4391" s="19">
        <v>5</v>
      </c>
    </row>
    <row r="4392" spans="12:16" ht="15.75" customHeight="1" x14ac:dyDescent="0.3">
      <c r="L4392" s="6" t="s">
        <v>211</v>
      </c>
      <c r="M4392" s="6" t="s">
        <v>511</v>
      </c>
      <c r="N4392" s="6" t="s">
        <v>26</v>
      </c>
      <c r="O4392" s="6" t="s">
        <v>113</v>
      </c>
      <c r="P4392" s="19">
        <v>5</v>
      </c>
    </row>
    <row r="4393" spans="12:16" ht="15.75" customHeight="1" x14ac:dyDescent="0.3">
      <c r="L4393" s="6" t="s">
        <v>211</v>
      </c>
      <c r="M4393" s="6" t="s">
        <v>511</v>
      </c>
      <c r="N4393" s="6" t="s">
        <v>27</v>
      </c>
      <c r="O4393" s="6" t="s">
        <v>117</v>
      </c>
      <c r="P4393" s="17">
        <v>11.6096</v>
      </c>
    </row>
    <row r="4394" spans="12:16" ht="15.75" customHeight="1" x14ac:dyDescent="0.3">
      <c r="L4394" s="6" t="s">
        <v>211</v>
      </c>
      <c r="M4394" s="6" t="s">
        <v>511</v>
      </c>
      <c r="N4394" s="6" t="s">
        <v>29</v>
      </c>
      <c r="O4394" s="6" t="s">
        <v>125</v>
      </c>
      <c r="P4394" s="19">
        <v>4</v>
      </c>
    </row>
    <row r="4395" spans="12:16" ht="15.75" customHeight="1" x14ac:dyDescent="0.3">
      <c r="L4395" s="6" t="s">
        <v>211</v>
      </c>
      <c r="M4395" s="6" t="s">
        <v>511</v>
      </c>
      <c r="N4395" s="6" t="s">
        <v>135</v>
      </c>
      <c r="O4395" s="6" t="s">
        <v>136</v>
      </c>
      <c r="P4395" s="19">
        <v>1</v>
      </c>
    </row>
    <row r="4396" spans="12:16" ht="15.75" customHeight="1" x14ac:dyDescent="0.3">
      <c r="L4396" s="6" t="s">
        <v>211</v>
      </c>
      <c r="M4396" s="6" t="s">
        <v>511</v>
      </c>
      <c r="N4396" s="6" t="s">
        <v>138</v>
      </c>
      <c r="O4396" s="6" t="s">
        <v>139</v>
      </c>
      <c r="P4396" s="19">
        <v>0</v>
      </c>
    </row>
    <row r="4397" spans="12:16" ht="15.75" customHeight="1" x14ac:dyDescent="0.3">
      <c r="L4397" s="6" t="s">
        <v>211</v>
      </c>
      <c r="M4397" s="6" t="s">
        <v>511</v>
      </c>
      <c r="N4397" s="6" t="s">
        <v>30</v>
      </c>
      <c r="O4397" s="6" t="s">
        <v>148</v>
      </c>
      <c r="P4397" s="17">
        <v>79.574799999999996</v>
      </c>
    </row>
    <row r="4398" spans="12:16" ht="15.75" customHeight="1" x14ac:dyDescent="0.3">
      <c r="L4398" s="6" t="s">
        <v>211</v>
      </c>
      <c r="M4398" s="6" t="s">
        <v>511</v>
      </c>
      <c r="N4398" s="6" t="s">
        <v>156</v>
      </c>
      <c r="O4398" s="6" t="s">
        <v>157</v>
      </c>
      <c r="P4398" s="19">
        <v>0</v>
      </c>
    </row>
    <row r="4399" spans="12:16" ht="15.75" customHeight="1" x14ac:dyDescent="0.3">
      <c r="L4399" s="6" t="s">
        <v>211</v>
      </c>
      <c r="M4399" s="6" t="s">
        <v>511</v>
      </c>
      <c r="N4399" s="6" t="s">
        <v>158</v>
      </c>
      <c r="O4399" s="6" t="s">
        <v>159</v>
      </c>
      <c r="P4399" s="19">
        <v>1</v>
      </c>
    </row>
    <row r="4400" spans="12:16" ht="15.75" customHeight="1" x14ac:dyDescent="0.3">
      <c r="L4400" s="6" t="s">
        <v>211</v>
      </c>
      <c r="M4400" s="6" t="s">
        <v>511</v>
      </c>
      <c r="N4400" s="6" t="s">
        <v>160</v>
      </c>
      <c r="O4400" s="6" t="s">
        <v>161</v>
      </c>
      <c r="P4400" s="19">
        <v>2</v>
      </c>
    </row>
    <row r="4401" spans="12:16" ht="15.75" customHeight="1" x14ac:dyDescent="0.3">
      <c r="L4401" s="6" t="s">
        <v>211</v>
      </c>
      <c r="M4401" s="6" t="s">
        <v>511</v>
      </c>
      <c r="N4401" s="6" t="s">
        <v>162</v>
      </c>
      <c r="O4401" s="6" t="s">
        <v>163</v>
      </c>
      <c r="P4401" s="19">
        <v>0</v>
      </c>
    </row>
    <row r="4402" spans="12:16" ht="15.75" customHeight="1" x14ac:dyDescent="0.3">
      <c r="L4402" s="6" t="s">
        <v>211</v>
      </c>
      <c r="M4402" s="6" t="s">
        <v>511</v>
      </c>
      <c r="N4402" s="6" t="s">
        <v>165</v>
      </c>
      <c r="O4402" s="6" t="s">
        <v>166</v>
      </c>
      <c r="P4402" s="19">
        <v>1</v>
      </c>
    </row>
    <row r="4403" spans="12:16" ht="15.75" customHeight="1" x14ac:dyDescent="0.3">
      <c r="L4403" s="6" t="s">
        <v>211</v>
      </c>
      <c r="M4403" s="6" t="s">
        <v>513</v>
      </c>
      <c r="N4403" s="6" t="s">
        <v>72</v>
      </c>
      <c r="O4403" s="6" t="s">
        <v>75</v>
      </c>
      <c r="P4403" s="19">
        <v>0</v>
      </c>
    </row>
    <row r="4404" spans="12:16" ht="15.75" customHeight="1" x14ac:dyDescent="0.3">
      <c r="L4404" s="6" t="s">
        <v>211</v>
      </c>
      <c r="M4404" s="6" t="s">
        <v>513</v>
      </c>
      <c r="N4404" s="6" t="s">
        <v>83</v>
      </c>
      <c r="O4404" s="6" t="s">
        <v>84</v>
      </c>
      <c r="P4404" s="19">
        <v>0</v>
      </c>
    </row>
    <row r="4405" spans="12:16" ht="15.75" customHeight="1" x14ac:dyDescent="0.3">
      <c r="L4405" s="6" t="s">
        <v>211</v>
      </c>
      <c r="M4405" s="6" t="s">
        <v>513</v>
      </c>
      <c r="N4405" s="6" t="s">
        <v>88</v>
      </c>
      <c r="O4405" s="6" t="s">
        <v>90</v>
      </c>
      <c r="P4405" s="19">
        <v>1</v>
      </c>
    </row>
    <row r="4406" spans="12:16" ht="15.75" customHeight="1" x14ac:dyDescent="0.3">
      <c r="L4406" s="6" t="s">
        <v>211</v>
      </c>
      <c r="M4406" s="6" t="s">
        <v>513</v>
      </c>
      <c r="N4406" s="6" t="s">
        <v>96</v>
      </c>
      <c r="O4406" s="6" t="s">
        <v>97</v>
      </c>
      <c r="P4406" s="19">
        <v>1</v>
      </c>
    </row>
    <row r="4407" spans="12:16" ht="15.75" customHeight="1" x14ac:dyDescent="0.3">
      <c r="L4407" s="6" t="s">
        <v>211</v>
      </c>
      <c r="M4407" s="6" t="s">
        <v>513</v>
      </c>
      <c r="N4407" s="6" t="s">
        <v>100</v>
      </c>
      <c r="O4407" s="6" t="s">
        <v>101</v>
      </c>
      <c r="P4407" s="19">
        <v>0</v>
      </c>
    </row>
    <row r="4408" spans="12:16" ht="15.75" customHeight="1" x14ac:dyDescent="0.3">
      <c r="L4408" s="6" t="s">
        <v>211</v>
      </c>
      <c r="M4408" s="6" t="s">
        <v>513</v>
      </c>
      <c r="N4408" s="6" t="s">
        <v>22</v>
      </c>
      <c r="O4408" s="6" t="s">
        <v>104</v>
      </c>
      <c r="P4408" s="17">
        <v>1.5</v>
      </c>
    </row>
    <row r="4409" spans="12:16" ht="15.75" customHeight="1" x14ac:dyDescent="0.3">
      <c r="L4409" s="6" t="s">
        <v>211</v>
      </c>
      <c r="M4409" s="6" t="s">
        <v>513</v>
      </c>
      <c r="N4409" s="6" t="s">
        <v>23</v>
      </c>
      <c r="O4409" s="6" t="s">
        <v>107</v>
      </c>
      <c r="P4409" s="17">
        <v>17.4145</v>
      </c>
    </row>
    <row r="4410" spans="12:16" ht="15.75" customHeight="1" x14ac:dyDescent="0.3">
      <c r="L4410" s="6" t="s">
        <v>211</v>
      </c>
      <c r="M4410" s="6" t="s">
        <v>513</v>
      </c>
      <c r="N4410" s="6" t="s">
        <v>24</v>
      </c>
      <c r="O4410" s="6" t="s">
        <v>109</v>
      </c>
      <c r="P4410" s="17">
        <v>2.2000000000000001E-3</v>
      </c>
    </row>
    <row r="4411" spans="12:16" ht="15.75" customHeight="1" x14ac:dyDescent="0.3">
      <c r="L4411" s="6" t="s">
        <v>211</v>
      </c>
      <c r="M4411" s="6" t="s">
        <v>513</v>
      </c>
      <c r="N4411" s="6" t="s">
        <v>25</v>
      </c>
      <c r="O4411" s="6" t="s">
        <v>111</v>
      </c>
      <c r="P4411" s="19">
        <v>5</v>
      </c>
    </row>
    <row r="4412" spans="12:16" ht="15.75" customHeight="1" x14ac:dyDescent="0.3">
      <c r="L4412" s="6" t="s">
        <v>211</v>
      </c>
      <c r="M4412" s="6" t="s">
        <v>513</v>
      </c>
      <c r="N4412" s="6" t="s">
        <v>26</v>
      </c>
      <c r="O4412" s="6" t="s">
        <v>113</v>
      </c>
      <c r="P4412" s="19">
        <v>5</v>
      </c>
    </row>
    <row r="4413" spans="12:16" ht="15.75" customHeight="1" x14ac:dyDescent="0.3">
      <c r="L4413" s="6" t="s">
        <v>211</v>
      </c>
      <c r="M4413" s="6" t="s">
        <v>513</v>
      </c>
      <c r="N4413" s="6" t="s">
        <v>27</v>
      </c>
      <c r="O4413" s="6" t="s">
        <v>117</v>
      </c>
      <c r="P4413" s="17">
        <v>11.6096</v>
      </c>
    </row>
    <row r="4414" spans="12:16" ht="15.75" customHeight="1" x14ac:dyDescent="0.3">
      <c r="L4414" s="6" t="s">
        <v>211</v>
      </c>
      <c r="M4414" s="6" t="s">
        <v>513</v>
      </c>
      <c r="N4414" s="6" t="s">
        <v>29</v>
      </c>
      <c r="O4414" s="6" t="s">
        <v>125</v>
      </c>
      <c r="P4414" s="19">
        <v>4</v>
      </c>
    </row>
    <row r="4415" spans="12:16" ht="15.75" customHeight="1" x14ac:dyDescent="0.3">
      <c r="L4415" s="6" t="s">
        <v>211</v>
      </c>
      <c r="M4415" s="6" t="s">
        <v>513</v>
      </c>
      <c r="N4415" s="6" t="s">
        <v>135</v>
      </c>
      <c r="O4415" s="6" t="s">
        <v>136</v>
      </c>
      <c r="P4415" s="19">
        <v>1</v>
      </c>
    </row>
    <row r="4416" spans="12:16" ht="15.75" customHeight="1" x14ac:dyDescent="0.3">
      <c r="L4416" s="6" t="s">
        <v>211</v>
      </c>
      <c r="M4416" s="6" t="s">
        <v>513</v>
      </c>
      <c r="N4416" s="6" t="s">
        <v>138</v>
      </c>
      <c r="O4416" s="6" t="s">
        <v>139</v>
      </c>
      <c r="P4416" s="19">
        <v>0</v>
      </c>
    </row>
    <row r="4417" spans="12:16" ht="15.75" customHeight="1" x14ac:dyDescent="0.3">
      <c r="L4417" s="6" t="s">
        <v>211</v>
      </c>
      <c r="M4417" s="6" t="s">
        <v>513</v>
      </c>
      <c r="N4417" s="6" t="s">
        <v>30</v>
      </c>
      <c r="O4417" s="6" t="s">
        <v>148</v>
      </c>
      <c r="P4417" s="17">
        <v>79.574799999999996</v>
      </c>
    </row>
    <row r="4418" spans="12:16" ht="15.75" customHeight="1" x14ac:dyDescent="0.3">
      <c r="L4418" s="6" t="s">
        <v>211</v>
      </c>
      <c r="M4418" s="6" t="s">
        <v>513</v>
      </c>
      <c r="N4418" s="6" t="s">
        <v>156</v>
      </c>
      <c r="O4418" s="6" t="s">
        <v>157</v>
      </c>
      <c r="P4418" s="19">
        <v>0</v>
      </c>
    </row>
    <row r="4419" spans="12:16" ht="15.75" customHeight="1" x14ac:dyDescent="0.3">
      <c r="L4419" s="6" t="s">
        <v>211</v>
      </c>
      <c r="M4419" s="6" t="s">
        <v>513</v>
      </c>
      <c r="N4419" s="6" t="s">
        <v>158</v>
      </c>
      <c r="O4419" s="6" t="s">
        <v>159</v>
      </c>
      <c r="P4419" s="19">
        <v>1</v>
      </c>
    </row>
    <row r="4420" spans="12:16" ht="15.75" customHeight="1" x14ac:dyDescent="0.3">
      <c r="L4420" s="6" t="s">
        <v>211</v>
      </c>
      <c r="M4420" s="6" t="s">
        <v>513</v>
      </c>
      <c r="N4420" s="6" t="s">
        <v>160</v>
      </c>
      <c r="O4420" s="6" t="s">
        <v>161</v>
      </c>
      <c r="P4420" s="19">
        <v>2</v>
      </c>
    </row>
    <row r="4421" spans="12:16" ht="15.75" customHeight="1" x14ac:dyDescent="0.3">
      <c r="L4421" s="6" t="s">
        <v>211</v>
      </c>
      <c r="M4421" s="6" t="s">
        <v>513</v>
      </c>
      <c r="N4421" s="6" t="s">
        <v>162</v>
      </c>
      <c r="O4421" s="6" t="s">
        <v>163</v>
      </c>
      <c r="P4421" s="19">
        <v>0</v>
      </c>
    </row>
    <row r="4422" spans="12:16" ht="15.75" customHeight="1" x14ac:dyDescent="0.3">
      <c r="L4422" s="6" t="s">
        <v>211</v>
      </c>
      <c r="M4422" s="6" t="s">
        <v>513</v>
      </c>
      <c r="N4422" s="6" t="s">
        <v>165</v>
      </c>
      <c r="O4422" s="6" t="s">
        <v>166</v>
      </c>
      <c r="P4422" s="19">
        <v>1</v>
      </c>
    </row>
    <row r="4423" spans="12:16" ht="15.75" customHeight="1" x14ac:dyDescent="0.3">
      <c r="L4423" s="6" t="s">
        <v>212</v>
      </c>
      <c r="M4423" s="6" t="s">
        <v>447</v>
      </c>
      <c r="N4423" s="6" t="s">
        <v>72</v>
      </c>
      <c r="O4423" s="6" t="s">
        <v>75</v>
      </c>
      <c r="P4423" s="19">
        <v>0</v>
      </c>
    </row>
    <row r="4424" spans="12:16" ht="15.75" customHeight="1" x14ac:dyDescent="0.3">
      <c r="L4424" s="6" t="s">
        <v>212</v>
      </c>
      <c r="M4424" s="6" t="s">
        <v>447</v>
      </c>
      <c r="N4424" s="6" t="s">
        <v>83</v>
      </c>
      <c r="O4424" s="6" t="s">
        <v>84</v>
      </c>
      <c r="P4424" s="19">
        <v>0</v>
      </c>
    </row>
    <row r="4425" spans="12:16" ht="15.75" customHeight="1" x14ac:dyDescent="0.3">
      <c r="L4425" s="6" t="s">
        <v>212</v>
      </c>
      <c r="M4425" s="6" t="s">
        <v>447</v>
      </c>
      <c r="N4425" s="6" t="s">
        <v>88</v>
      </c>
      <c r="O4425" s="6" t="s">
        <v>90</v>
      </c>
      <c r="P4425" s="19">
        <v>1</v>
      </c>
    </row>
    <row r="4426" spans="12:16" ht="15.75" customHeight="1" x14ac:dyDescent="0.3">
      <c r="L4426" s="6" t="s">
        <v>212</v>
      </c>
      <c r="M4426" s="6" t="s">
        <v>447</v>
      </c>
      <c r="N4426" s="6" t="s">
        <v>96</v>
      </c>
      <c r="O4426" s="6" t="s">
        <v>97</v>
      </c>
      <c r="P4426" s="19">
        <v>1</v>
      </c>
    </row>
    <row r="4427" spans="12:16" ht="15.75" customHeight="1" x14ac:dyDescent="0.3">
      <c r="L4427" s="6" t="s">
        <v>212</v>
      </c>
      <c r="M4427" s="6" t="s">
        <v>447</v>
      </c>
      <c r="N4427" s="6" t="s">
        <v>100</v>
      </c>
      <c r="O4427" s="6" t="s">
        <v>101</v>
      </c>
      <c r="P4427" s="19">
        <v>1</v>
      </c>
    </row>
    <row r="4428" spans="12:16" ht="15.75" customHeight="1" x14ac:dyDescent="0.3">
      <c r="L4428" s="6" t="s">
        <v>212</v>
      </c>
      <c r="M4428" s="6" t="s">
        <v>447</v>
      </c>
      <c r="N4428" s="6" t="s">
        <v>22</v>
      </c>
      <c r="O4428" s="6" t="s">
        <v>104</v>
      </c>
      <c r="P4428" s="19">
        <v>2</v>
      </c>
    </row>
    <row r="4429" spans="12:16" ht="15.75" customHeight="1" x14ac:dyDescent="0.3">
      <c r="L4429" s="6" t="s">
        <v>212</v>
      </c>
      <c r="M4429" s="6" t="s">
        <v>447</v>
      </c>
      <c r="N4429" s="6" t="s">
        <v>23</v>
      </c>
      <c r="O4429" s="6" t="s">
        <v>107</v>
      </c>
      <c r="P4429" s="17">
        <v>188.02330000000001</v>
      </c>
    </row>
    <row r="4430" spans="12:16" ht="15.75" customHeight="1" x14ac:dyDescent="0.3">
      <c r="L4430" s="6" t="s">
        <v>212</v>
      </c>
      <c r="M4430" s="6" t="s">
        <v>447</v>
      </c>
      <c r="N4430" s="6" t="s">
        <v>24</v>
      </c>
      <c r="O4430" s="6" t="s">
        <v>109</v>
      </c>
      <c r="P4430" s="17">
        <v>1.09E-2</v>
      </c>
    </row>
    <row r="4431" spans="12:16" ht="15.75" customHeight="1" x14ac:dyDescent="0.3">
      <c r="L4431" s="6" t="s">
        <v>212</v>
      </c>
      <c r="M4431" s="6" t="s">
        <v>447</v>
      </c>
      <c r="N4431" s="6" t="s">
        <v>25</v>
      </c>
      <c r="O4431" s="6" t="s">
        <v>111</v>
      </c>
      <c r="P4431" s="19">
        <v>23</v>
      </c>
    </row>
    <row r="4432" spans="12:16" ht="15.75" customHeight="1" x14ac:dyDescent="0.3">
      <c r="L4432" s="6" t="s">
        <v>212</v>
      </c>
      <c r="M4432" s="6" t="s">
        <v>447</v>
      </c>
      <c r="N4432" s="6" t="s">
        <v>26</v>
      </c>
      <c r="O4432" s="6" t="s">
        <v>113</v>
      </c>
      <c r="P4432" s="19">
        <v>17</v>
      </c>
    </row>
    <row r="4433" spans="12:16" ht="15.75" customHeight="1" x14ac:dyDescent="0.3">
      <c r="L4433" s="6" t="s">
        <v>212</v>
      </c>
      <c r="M4433" s="6" t="s">
        <v>447</v>
      </c>
      <c r="N4433" s="6" t="s">
        <v>27</v>
      </c>
      <c r="O4433" s="6" t="s">
        <v>117</v>
      </c>
      <c r="P4433" s="17">
        <v>94.011600000000001</v>
      </c>
    </row>
    <row r="4434" spans="12:16" ht="15.75" customHeight="1" x14ac:dyDescent="0.3">
      <c r="L4434" s="6" t="s">
        <v>212</v>
      </c>
      <c r="M4434" s="6" t="s">
        <v>447</v>
      </c>
      <c r="N4434" s="6" t="s">
        <v>29</v>
      </c>
      <c r="O4434" s="6" t="s">
        <v>125</v>
      </c>
      <c r="P4434" s="19">
        <v>9</v>
      </c>
    </row>
    <row r="4435" spans="12:16" ht="15.75" customHeight="1" x14ac:dyDescent="0.3">
      <c r="L4435" s="6" t="s">
        <v>212</v>
      </c>
      <c r="M4435" s="6" t="s">
        <v>447</v>
      </c>
      <c r="N4435" s="6" t="s">
        <v>135</v>
      </c>
      <c r="O4435" s="6" t="s">
        <v>136</v>
      </c>
      <c r="P4435" s="17">
        <v>0.875</v>
      </c>
    </row>
    <row r="4436" spans="12:16" ht="15.75" customHeight="1" x14ac:dyDescent="0.3">
      <c r="L4436" s="6" t="s">
        <v>212</v>
      </c>
      <c r="M4436" s="6" t="s">
        <v>447</v>
      </c>
      <c r="N4436" s="6" t="s">
        <v>138</v>
      </c>
      <c r="O4436" s="6" t="s">
        <v>139</v>
      </c>
      <c r="P4436" s="19">
        <v>0</v>
      </c>
    </row>
    <row r="4437" spans="12:16" ht="15.75" customHeight="1" x14ac:dyDescent="0.3">
      <c r="L4437" s="6" t="s">
        <v>212</v>
      </c>
      <c r="M4437" s="6" t="s">
        <v>447</v>
      </c>
      <c r="N4437" s="6" t="s">
        <v>30</v>
      </c>
      <c r="O4437" s="6" t="s">
        <v>148</v>
      </c>
      <c r="P4437" s="17">
        <v>65.368300000000005</v>
      </c>
    </row>
    <row r="4438" spans="12:16" ht="15.75" customHeight="1" x14ac:dyDescent="0.3">
      <c r="L4438" s="6" t="s">
        <v>212</v>
      </c>
      <c r="M4438" s="6" t="s">
        <v>447</v>
      </c>
      <c r="N4438" s="6" t="s">
        <v>156</v>
      </c>
      <c r="O4438" s="6" t="s">
        <v>157</v>
      </c>
      <c r="P4438" s="19">
        <v>0</v>
      </c>
    </row>
    <row r="4439" spans="12:16" ht="15.75" customHeight="1" x14ac:dyDescent="0.3">
      <c r="L4439" s="6" t="s">
        <v>212</v>
      </c>
      <c r="M4439" s="6" t="s">
        <v>447</v>
      </c>
      <c r="N4439" s="6" t="s">
        <v>158</v>
      </c>
      <c r="O4439" s="6" t="s">
        <v>159</v>
      </c>
      <c r="P4439" s="19">
        <v>1</v>
      </c>
    </row>
    <row r="4440" spans="12:16" ht="15.75" customHeight="1" x14ac:dyDescent="0.3">
      <c r="L4440" s="6" t="s">
        <v>212</v>
      </c>
      <c r="M4440" s="6" t="s">
        <v>447</v>
      </c>
      <c r="N4440" s="6" t="s">
        <v>160</v>
      </c>
      <c r="O4440" s="6" t="s">
        <v>161</v>
      </c>
      <c r="P4440" s="19">
        <v>11</v>
      </c>
    </row>
    <row r="4441" spans="12:16" ht="15.75" customHeight="1" x14ac:dyDescent="0.3">
      <c r="L4441" s="6" t="s">
        <v>212</v>
      </c>
      <c r="M4441" s="6" t="s">
        <v>447</v>
      </c>
      <c r="N4441" s="6" t="s">
        <v>162</v>
      </c>
      <c r="O4441" s="6" t="s">
        <v>163</v>
      </c>
      <c r="P4441" s="19">
        <v>0</v>
      </c>
    </row>
    <row r="4442" spans="12:16" ht="15.75" customHeight="1" x14ac:dyDescent="0.3">
      <c r="L4442" s="6" t="s">
        <v>212</v>
      </c>
      <c r="M4442" s="6" t="s">
        <v>447</v>
      </c>
      <c r="N4442" s="6" t="s">
        <v>165</v>
      </c>
      <c r="O4442" s="6" t="s">
        <v>166</v>
      </c>
      <c r="P4442" s="19">
        <v>3</v>
      </c>
    </row>
    <row r="4443" spans="12:16" ht="15.75" customHeight="1" x14ac:dyDescent="0.3">
      <c r="L4443" s="6" t="s">
        <v>212</v>
      </c>
      <c r="M4443" s="6" t="s">
        <v>532</v>
      </c>
      <c r="N4443" s="6" t="s">
        <v>72</v>
      </c>
      <c r="O4443" s="6" t="s">
        <v>75</v>
      </c>
      <c r="P4443" s="19">
        <v>0</v>
      </c>
    </row>
    <row r="4444" spans="12:16" ht="15.75" customHeight="1" x14ac:dyDescent="0.3">
      <c r="L4444" s="6" t="s">
        <v>212</v>
      </c>
      <c r="M4444" s="6" t="s">
        <v>532</v>
      </c>
      <c r="N4444" s="6" t="s">
        <v>83</v>
      </c>
      <c r="O4444" s="6" t="s">
        <v>84</v>
      </c>
      <c r="P4444" s="19">
        <v>0</v>
      </c>
    </row>
    <row r="4445" spans="12:16" ht="15.75" customHeight="1" x14ac:dyDescent="0.3">
      <c r="L4445" s="6" t="s">
        <v>212</v>
      </c>
      <c r="M4445" s="6" t="s">
        <v>532</v>
      </c>
      <c r="N4445" s="6" t="s">
        <v>88</v>
      </c>
      <c r="O4445" s="6" t="s">
        <v>90</v>
      </c>
      <c r="P4445" s="19">
        <v>0</v>
      </c>
    </row>
    <row r="4446" spans="12:16" ht="15.75" customHeight="1" x14ac:dyDescent="0.3">
      <c r="L4446" s="6" t="s">
        <v>212</v>
      </c>
      <c r="M4446" s="6" t="s">
        <v>532</v>
      </c>
      <c r="N4446" s="6" t="s">
        <v>96</v>
      </c>
      <c r="O4446" s="6" t="s">
        <v>97</v>
      </c>
      <c r="P4446" s="19">
        <v>0</v>
      </c>
    </row>
    <row r="4447" spans="12:16" ht="15.75" customHeight="1" x14ac:dyDescent="0.3">
      <c r="L4447" s="6" t="s">
        <v>212</v>
      </c>
      <c r="M4447" s="6" t="s">
        <v>532</v>
      </c>
      <c r="N4447" s="6" t="s">
        <v>100</v>
      </c>
      <c r="O4447" s="6" t="s">
        <v>101</v>
      </c>
      <c r="P4447" s="19">
        <v>0</v>
      </c>
    </row>
    <row r="4448" spans="12:16" ht="15.75" customHeight="1" x14ac:dyDescent="0.3">
      <c r="L4448" s="6" t="s">
        <v>212</v>
      </c>
      <c r="M4448" s="6" t="s">
        <v>532</v>
      </c>
      <c r="N4448" s="6" t="s">
        <v>22</v>
      </c>
      <c r="O4448" s="6" t="s">
        <v>104</v>
      </c>
      <c r="P4448" s="19">
        <v>1</v>
      </c>
    </row>
    <row r="4449" spans="12:16" ht="15.75" customHeight="1" x14ac:dyDescent="0.3">
      <c r="L4449" s="6" t="s">
        <v>212</v>
      </c>
      <c r="M4449" s="6" t="s">
        <v>532</v>
      </c>
      <c r="N4449" s="6" t="s">
        <v>23</v>
      </c>
      <c r="O4449" s="6" t="s">
        <v>107</v>
      </c>
      <c r="P4449" s="17">
        <v>4.7549000000000001</v>
      </c>
    </row>
    <row r="4450" spans="12:16" ht="15.75" customHeight="1" x14ac:dyDescent="0.3">
      <c r="L4450" s="6" t="s">
        <v>212</v>
      </c>
      <c r="M4450" s="6" t="s">
        <v>532</v>
      </c>
      <c r="N4450" s="6" t="s">
        <v>24</v>
      </c>
      <c r="O4450" s="6" t="s">
        <v>109</v>
      </c>
      <c r="P4450" s="17">
        <v>8.9999999999999998E-4</v>
      </c>
    </row>
    <row r="4451" spans="12:16" ht="15.75" customHeight="1" x14ac:dyDescent="0.3">
      <c r="L4451" s="6" t="s">
        <v>212</v>
      </c>
      <c r="M4451" s="6" t="s">
        <v>532</v>
      </c>
      <c r="N4451" s="6" t="s">
        <v>25</v>
      </c>
      <c r="O4451" s="6" t="s">
        <v>111</v>
      </c>
      <c r="P4451" s="19">
        <v>3</v>
      </c>
    </row>
    <row r="4452" spans="12:16" ht="15.75" customHeight="1" x14ac:dyDescent="0.3">
      <c r="L4452" s="6" t="s">
        <v>212</v>
      </c>
      <c r="M4452" s="6" t="s">
        <v>532</v>
      </c>
      <c r="N4452" s="6" t="s">
        <v>26</v>
      </c>
      <c r="O4452" s="6" t="s">
        <v>113</v>
      </c>
      <c r="P4452" s="19">
        <v>3</v>
      </c>
    </row>
    <row r="4453" spans="12:16" ht="15.75" customHeight="1" x14ac:dyDescent="0.3">
      <c r="L4453" s="6" t="s">
        <v>212</v>
      </c>
      <c r="M4453" s="6" t="s">
        <v>532</v>
      </c>
      <c r="N4453" s="6" t="s">
        <v>27</v>
      </c>
      <c r="O4453" s="6" t="s">
        <v>117</v>
      </c>
      <c r="P4453" s="17">
        <v>4.7549000000000001</v>
      </c>
    </row>
    <row r="4454" spans="12:16" ht="15.75" customHeight="1" x14ac:dyDescent="0.3">
      <c r="L4454" s="6" t="s">
        <v>212</v>
      </c>
      <c r="M4454" s="6" t="s">
        <v>532</v>
      </c>
      <c r="N4454" s="6" t="s">
        <v>29</v>
      </c>
      <c r="O4454" s="6" t="s">
        <v>125</v>
      </c>
      <c r="P4454" s="19">
        <v>1</v>
      </c>
    </row>
    <row r="4455" spans="12:16" ht="15.75" customHeight="1" x14ac:dyDescent="0.3">
      <c r="L4455" s="6" t="s">
        <v>212</v>
      </c>
      <c r="M4455" s="6" t="s">
        <v>532</v>
      </c>
      <c r="N4455" s="6" t="s">
        <v>135</v>
      </c>
      <c r="O4455" s="6" t="s">
        <v>136</v>
      </c>
      <c r="P4455" s="19">
        <v>1</v>
      </c>
    </row>
    <row r="4456" spans="12:16" ht="15.75" customHeight="1" x14ac:dyDescent="0.3">
      <c r="L4456" s="6" t="s">
        <v>212</v>
      </c>
      <c r="M4456" s="6" t="s">
        <v>532</v>
      </c>
      <c r="N4456" s="6" t="s">
        <v>138</v>
      </c>
      <c r="O4456" s="6" t="s">
        <v>139</v>
      </c>
      <c r="P4456" s="19">
        <v>0</v>
      </c>
    </row>
    <row r="4457" spans="12:16" ht="15.75" customHeight="1" x14ac:dyDescent="0.3">
      <c r="L4457" s="6" t="s">
        <v>212</v>
      </c>
      <c r="M4457" s="6" t="s">
        <v>532</v>
      </c>
      <c r="N4457" s="6" t="s">
        <v>30</v>
      </c>
      <c r="O4457" s="6" t="s">
        <v>148</v>
      </c>
      <c r="P4457" s="17">
        <v>95.784400000000005</v>
      </c>
    </row>
    <row r="4458" spans="12:16" ht="15.75" customHeight="1" x14ac:dyDescent="0.3">
      <c r="L4458" s="6" t="s">
        <v>212</v>
      </c>
      <c r="M4458" s="6" t="s">
        <v>532</v>
      </c>
      <c r="N4458" s="6" t="s">
        <v>156</v>
      </c>
      <c r="O4458" s="6" t="s">
        <v>157</v>
      </c>
      <c r="P4458" s="19">
        <v>0</v>
      </c>
    </row>
    <row r="4459" spans="12:16" ht="15.75" customHeight="1" x14ac:dyDescent="0.3">
      <c r="L4459" s="6" t="s">
        <v>212</v>
      </c>
      <c r="M4459" s="6" t="s">
        <v>532</v>
      </c>
      <c r="N4459" s="6" t="s">
        <v>158</v>
      </c>
      <c r="O4459" s="6" t="s">
        <v>159</v>
      </c>
      <c r="P4459" s="19">
        <v>1</v>
      </c>
    </row>
    <row r="4460" spans="12:16" ht="15.75" customHeight="1" x14ac:dyDescent="0.3">
      <c r="L4460" s="6" t="s">
        <v>212</v>
      </c>
      <c r="M4460" s="6" t="s">
        <v>532</v>
      </c>
      <c r="N4460" s="6" t="s">
        <v>160</v>
      </c>
      <c r="O4460" s="6" t="s">
        <v>161</v>
      </c>
      <c r="P4460" s="19">
        <v>1</v>
      </c>
    </row>
    <row r="4461" spans="12:16" ht="15.75" customHeight="1" x14ac:dyDescent="0.3">
      <c r="L4461" s="6" t="s">
        <v>212</v>
      </c>
      <c r="M4461" s="6" t="s">
        <v>532</v>
      </c>
      <c r="N4461" s="6" t="s">
        <v>162</v>
      </c>
      <c r="O4461" s="6" t="s">
        <v>163</v>
      </c>
      <c r="P4461" s="19">
        <v>0</v>
      </c>
    </row>
    <row r="4462" spans="12:16" ht="15.75" customHeight="1" x14ac:dyDescent="0.3">
      <c r="L4462" s="6" t="s">
        <v>212</v>
      </c>
      <c r="M4462" s="6" t="s">
        <v>532</v>
      </c>
      <c r="N4462" s="6" t="s">
        <v>165</v>
      </c>
      <c r="O4462" s="6" t="s">
        <v>166</v>
      </c>
      <c r="P4462" s="19">
        <v>0</v>
      </c>
    </row>
    <row r="4463" spans="12:16" ht="15.75" customHeight="1" x14ac:dyDescent="0.3">
      <c r="L4463" s="6" t="s">
        <v>212</v>
      </c>
      <c r="M4463" s="6" t="s">
        <v>534</v>
      </c>
      <c r="N4463" s="6" t="s">
        <v>72</v>
      </c>
      <c r="O4463" s="6" t="s">
        <v>75</v>
      </c>
      <c r="P4463" s="19">
        <v>0</v>
      </c>
    </row>
    <row r="4464" spans="12:16" ht="15.75" customHeight="1" x14ac:dyDescent="0.3">
      <c r="L4464" s="6" t="s">
        <v>212</v>
      </c>
      <c r="M4464" s="6" t="s">
        <v>534</v>
      </c>
      <c r="N4464" s="6" t="s">
        <v>83</v>
      </c>
      <c r="O4464" s="6" t="s">
        <v>84</v>
      </c>
      <c r="P4464" s="19">
        <v>0</v>
      </c>
    </row>
    <row r="4465" spans="12:16" ht="15.75" customHeight="1" x14ac:dyDescent="0.3">
      <c r="L4465" s="6" t="s">
        <v>212</v>
      </c>
      <c r="M4465" s="6" t="s">
        <v>534</v>
      </c>
      <c r="N4465" s="6" t="s">
        <v>88</v>
      </c>
      <c r="O4465" s="6" t="s">
        <v>90</v>
      </c>
      <c r="P4465" s="19">
        <v>0</v>
      </c>
    </row>
    <row r="4466" spans="12:16" ht="15.75" customHeight="1" x14ac:dyDescent="0.3">
      <c r="L4466" s="6" t="s">
        <v>212</v>
      </c>
      <c r="M4466" s="6" t="s">
        <v>534</v>
      </c>
      <c r="N4466" s="6" t="s">
        <v>96</v>
      </c>
      <c r="O4466" s="6" t="s">
        <v>97</v>
      </c>
      <c r="P4466" s="19">
        <v>0</v>
      </c>
    </row>
    <row r="4467" spans="12:16" ht="15.75" customHeight="1" x14ac:dyDescent="0.3">
      <c r="L4467" s="6" t="s">
        <v>212</v>
      </c>
      <c r="M4467" s="6" t="s">
        <v>534</v>
      </c>
      <c r="N4467" s="6" t="s">
        <v>100</v>
      </c>
      <c r="O4467" s="6" t="s">
        <v>101</v>
      </c>
      <c r="P4467" s="19">
        <v>0</v>
      </c>
    </row>
    <row r="4468" spans="12:16" ht="15.75" customHeight="1" x14ac:dyDescent="0.3">
      <c r="L4468" s="6" t="s">
        <v>212</v>
      </c>
      <c r="M4468" s="6" t="s">
        <v>534</v>
      </c>
      <c r="N4468" s="6" t="s">
        <v>22</v>
      </c>
      <c r="O4468" s="6" t="s">
        <v>104</v>
      </c>
      <c r="P4468" s="19">
        <v>1</v>
      </c>
    </row>
    <row r="4469" spans="12:16" ht="15.75" customHeight="1" x14ac:dyDescent="0.3">
      <c r="L4469" s="6" t="s">
        <v>212</v>
      </c>
      <c r="M4469" s="6" t="s">
        <v>534</v>
      </c>
      <c r="N4469" s="6" t="s">
        <v>23</v>
      </c>
      <c r="O4469" s="6" t="s">
        <v>107</v>
      </c>
      <c r="P4469" s="17">
        <v>4.7549000000000001</v>
      </c>
    </row>
    <row r="4470" spans="12:16" ht="15.75" customHeight="1" x14ac:dyDescent="0.3">
      <c r="L4470" s="6" t="s">
        <v>212</v>
      </c>
      <c r="M4470" s="6" t="s">
        <v>534</v>
      </c>
      <c r="N4470" s="6" t="s">
        <v>24</v>
      </c>
      <c r="O4470" s="6" t="s">
        <v>109</v>
      </c>
      <c r="P4470" s="17">
        <v>8.9999999999999998E-4</v>
      </c>
    </row>
    <row r="4471" spans="12:16" ht="15.75" customHeight="1" x14ac:dyDescent="0.3">
      <c r="L4471" s="6" t="s">
        <v>212</v>
      </c>
      <c r="M4471" s="6" t="s">
        <v>534</v>
      </c>
      <c r="N4471" s="6" t="s">
        <v>25</v>
      </c>
      <c r="O4471" s="6" t="s">
        <v>111</v>
      </c>
      <c r="P4471" s="19">
        <v>3</v>
      </c>
    </row>
    <row r="4472" spans="12:16" ht="15.75" customHeight="1" x14ac:dyDescent="0.3">
      <c r="L4472" s="6" t="s">
        <v>212</v>
      </c>
      <c r="M4472" s="6" t="s">
        <v>534</v>
      </c>
      <c r="N4472" s="6" t="s">
        <v>26</v>
      </c>
      <c r="O4472" s="6" t="s">
        <v>113</v>
      </c>
      <c r="P4472" s="19">
        <v>3</v>
      </c>
    </row>
    <row r="4473" spans="12:16" ht="15.75" customHeight="1" x14ac:dyDescent="0.3">
      <c r="L4473" s="6" t="s">
        <v>212</v>
      </c>
      <c r="M4473" s="6" t="s">
        <v>534</v>
      </c>
      <c r="N4473" s="6" t="s">
        <v>27</v>
      </c>
      <c r="O4473" s="6" t="s">
        <v>117</v>
      </c>
      <c r="P4473" s="17">
        <v>4.7549000000000001</v>
      </c>
    </row>
    <row r="4474" spans="12:16" ht="15.75" customHeight="1" x14ac:dyDescent="0.3">
      <c r="L4474" s="6" t="s">
        <v>212</v>
      </c>
      <c r="M4474" s="6" t="s">
        <v>534</v>
      </c>
      <c r="N4474" s="6" t="s">
        <v>29</v>
      </c>
      <c r="O4474" s="6" t="s">
        <v>125</v>
      </c>
      <c r="P4474" s="19">
        <v>1</v>
      </c>
    </row>
    <row r="4475" spans="12:16" ht="15.75" customHeight="1" x14ac:dyDescent="0.3">
      <c r="L4475" s="6" t="s">
        <v>212</v>
      </c>
      <c r="M4475" s="6" t="s">
        <v>534</v>
      </c>
      <c r="N4475" s="6" t="s">
        <v>135</v>
      </c>
      <c r="O4475" s="6" t="s">
        <v>136</v>
      </c>
      <c r="P4475" s="19">
        <v>1</v>
      </c>
    </row>
    <row r="4476" spans="12:16" ht="15.75" customHeight="1" x14ac:dyDescent="0.3">
      <c r="L4476" s="6" t="s">
        <v>212</v>
      </c>
      <c r="M4476" s="6" t="s">
        <v>534</v>
      </c>
      <c r="N4476" s="6" t="s">
        <v>138</v>
      </c>
      <c r="O4476" s="6" t="s">
        <v>139</v>
      </c>
      <c r="P4476" s="19">
        <v>0</v>
      </c>
    </row>
    <row r="4477" spans="12:16" ht="15.75" customHeight="1" x14ac:dyDescent="0.3">
      <c r="L4477" s="6" t="s">
        <v>212</v>
      </c>
      <c r="M4477" s="6" t="s">
        <v>534</v>
      </c>
      <c r="N4477" s="6" t="s">
        <v>30</v>
      </c>
      <c r="O4477" s="6" t="s">
        <v>148</v>
      </c>
      <c r="P4477" s="17">
        <v>95.784400000000005</v>
      </c>
    </row>
    <row r="4478" spans="12:16" ht="15.75" customHeight="1" x14ac:dyDescent="0.3">
      <c r="L4478" s="6" t="s">
        <v>212</v>
      </c>
      <c r="M4478" s="6" t="s">
        <v>534</v>
      </c>
      <c r="N4478" s="6" t="s">
        <v>156</v>
      </c>
      <c r="O4478" s="6" t="s">
        <v>157</v>
      </c>
      <c r="P4478" s="19">
        <v>0</v>
      </c>
    </row>
    <row r="4479" spans="12:16" ht="15.75" customHeight="1" x14ac:dyDescent="0.3">
      <c r="L4479" s="6" t="s">
        <v>212</v>
      </c>
      <c r="M4479" s="6" t="s">
        <v>534</v>
      </c>
      <c r="N4479" s="6" t="s">
        <v>158</v>
      </c>
      <c r="O4479" s="6" t="s">
        <v>159</v>
      </c>
      <c r="P4479" s="19">
        <v>1</v>
      </c>
    </row>
    <row r="4480" spans="12:16" ht="15.75" customHeight="1" x14ac:dyDescent="0.3">
      <c r="L4480" s="6" t="s">
        <v>212</v>
      </c>
      <c r="M4480" s="6" t="s">
        <v>534</v>
      </c>
      <c r="N4480" s="6" t="s">
        <v>160</v>
      </c>
      <c r="O4480" s="6" t="s">
        <v>161</v>
      </c>
      <c r="P4480" s="19">
        <v>1</v>
      </c>
    </row>
    <row r="4481" spans="12:16" ht="15.75" customHeight="1" x14ac:dyDescent="0.3">
      <c r="L4481" s="6" t="s">
        <v>212</v>
      </c>
      <c r="M4481" s="6" t="s">
        <v>534</v>
      </c>
      <c r="N4481" s="6" t="s">
        <v>162</v>
      </c>
      <c r="O4481" s="6" t="s">
        <v>163</v>
      </c>
      <c r="P4481" s="19">
        <v>0</v>
      </c>
    </row>
    <row r="4482" spans="12:16" ht="15.75" customHeight="1" x14ac:dyDescent="0.3">
      <c r="L4482" s="6" t="s">
        <v>212</v>
      </c>
      <c r="M4482" s="6" t="s">
        <v>534</v>
      </c>
      <c r="N4482" s="6" t="s">
        <v>165</v>
      </c>
      <c r="O4482" s="6" t="s">
        <v>166</v>
      </c>
      <c r="P4482" s="19">
        <v>0</v>
      </c>
    </row>
    <row r="4483" spans="12:16" ht="15.75" customHeight="1" x14ac:dyDescent="0.3">
      <c r="L4483" s="6" t="s">
        <v>212</v>
      </c>
      <c r="M4483" s="6" t="s">
        <v>536</v>
      </c>
      <c r="N4483" s="6" t="s">
        <v>72</v>
      </c>
      <c r="O4483" s="6" t="s">
        <v>75</v>
      </c>
      <c r="P4483" s="19">
        <v>0</v>
      </c>
    </row>
    <row r="4484" spans="12:16" ht="15.75" customHeight="1" x14ac:dyDescent="0.3">
      <c r="L4484" s="6" t="s">
        <v>212</v>
      </c>
      <c r="M4484" s="6" t="s">
        <v>536</v>
      </c>
      <c r="N4484" s="6" t="s">
        <v>83</v>
      </c>
      <c r="O4484" s="6" t="s">
        <v>84</v>
      </c>
      <c r="P4484" s="19">
        <v>0</v>
      </c>
    </row>
    <row r="4485" spans="12:16" ht="15.75" customHeight="1" x14ac:dyDescent="0.3">
      <c r="L4485" s="6" t="s">
        <v>212</v>
      </c>
      <c r="M4485" s="6" t="s">
        <v>536</v>
      </c>
      <c r="N4485" s="6" t="s">
        <v>88</v>
      </c>
      <c r="O4485" s="6" t="s">
        <v>90</v>
      </c>
      <c r="P4485" s="19">
        <v>0</v>
      </c>
    </row>
    <row r="4486" spans="12:16" ht="15.75" customHeight="1" x14ac:dyDescent="0.3">
      <c r="L4486" s="6" t="s">
        <v>212</v>
      </c>
      <c r="M4486" s="6" t="s">
        <v>536</v>
      </c>
      <c r="N4486" s="6" t="s">
        <v>96</v>
      </c>
      <c r="O4486" s="6" t="s">
        <v>97</v>
      </c>
      <c r="P4486" s="19">
        <v>0</v>
      </c>
    </row>
    <row r="4487" spans="12:16" ht="15.75" customHeight="1" x14ac:dyDescent="0.3">
      <c r="L4487" s="6" t="s">
        <v>212</v>
      </c>
      <c r="M4487" s="6" t="s">
        <v>536</v>
      </c>
      <c r="N4487" s="6" t="s">
        <v>100</v>
      </c>
      <c r="O4487" s="6" t="s">
        <v>101</v>
      </c>
      <c r="P4487" s="19">
        <v>0</v>
      </c>
    </row>
    <row r="4488" spans="12:16" ht="15.75" customHeight="1" x14ac:dyDescent="0.3">
      <c r="L4488" s="6" t="s">
        <v>212</v>
      </c>
      <c r="M4488" s="6" t="s">
        <v>536</v>
      </c>
      <c r="N4488" s="6" t="s">
        <v>22</v>
      </c>
      <c r="O4488" s="6" t="s">
        <v>104</v>
      </c>
      <c r="P4488" s="19">
        <v>1</v>
      </c>
    </row>
    <row r="4489" spans="12:16" ht="15.75" customHeight="1" x14ac:dyDescent="0.3">
      <c r="L4489" s="6" t="s">
        <v>212</v>
      </c>
      <c r="M4489" s="6" t="s">
        <v>536</v>
      </c>
      <c r="N4489" s="6" t="s">
        <v>23</v>
      </c>
      <c r="O4489" s="6" t="s">
        <v>107</v>
      </c>
      <c r="P4489" s="17">
        <v>4.7549000000000001</v>
      </c>
    </row>
    <row r="4490" spans="12:16" ht="15.75" customHeight="1" x14ac:dyDescent="0.3">
      <c r="L4490" s="6" t="s">
        <v>212</v>
      </c>
      <c r="M4490" s="6" t="s">
        <v>536</v>
      </c>
      <c r="N4490" s="6" t="s">
        <v>24</v>
      </c>
      <c r="O4490" s="6" t="s">
        <v>109</v>
      </c>
      <c r="P4490" s="17">
        <v>8.9999999999999998E-4</v>
      </c>
    </row>
    <row r="4491" spans="12:16" ht="15.75" customHeight="1" x14ac:dyDescent="0.3">
      <c r="L4491" s="6" t="s">
        <v>212</v>
      </c>
      <c r="M4491" s="6" t="s">
        <v>536</v>
      </c>
      <c r="N4491" s="6" t="s">
        <v>25</v>
      </c>
      <c r="O4491" s="6" t="s">
        <v>111</v>
      </c>
      <c r="P4491" s="19">
        <v>3</v>
      </c>
    </row>
    <row r="4492" spans="12:16" ht="15.75" customHeight="1" x14ac:dyDescent="0.3">
      <c r="L4492" s="6" t="s">
        <v>212</v>
      </c>
      <c r="M4492" s="6" t="s">
        <v>536</v>
      </c>
      <c r="N4492" s="6" t="s">
        <v>26</v>
      </c>
      <c r="O4492" s="6" t="s">
        <v>113</v>
      </c>
      <c r="P4492" s="19">
        <v>3</v>
      </c>
    </row>
    <row r="4493" spans="12:16" ht="15.75" customHeight="1" x14ac:dyDescent="0.3">
      <c r="L4493" s="6" t="s">
        <v>212</v>
      </c>
      <c r="M4493" s="6" t="s">
        <v>536</v>
      </c>
      <c r="N4493" s="6" t="s">
        <v>27</v>
      </c>
      <c r="O4493" s="6" t="s">
        <v>117</v>
      </c>
      <c r="P4493" s="17">
        <v>4.7549000000000001</v>
      </c>
    </row>
    <row r="4494" spans="12:16" ht="15.75" customHeight="1" x14ac:dyDescent="0.3">
      <c r="L4494" s="6" t="s">
        <v>212</v>
      </c>
      <c r="M4494" s="6" t="s">
        <v>536</v>
      </c>
      <c r="N4494" s="6" t="s">
        <v>29</v>
      </c>
      <c r="O4494" s="6" t="s">
        <v>125</v>
      </c>
      <c r="P4494" s="19">
        <v>1</v>
      </c>
    </row>
    <row r="4495" spans="12:16" ht="15.75" customHeight="1" x14ac:dyDescent="0.3">
      <c r="L4495" s="6" t="s">
        <v>212</v>
      </c>
      <c r="M4495" s="6" t="s">
        <v>536</v>
      </c>
      <c r="N4495" s="6" t="s">
        <v>135</v>
      </c>
      <c r="O4495" s="6" t="s">
        <v>136</v>
      </c>
      <c r="P4495" s="19">
        <v>1</v>
      </c>
    </row>
    <row r="4496" spans="12:16" ht="15.75" customHeight="1" x14ac:dyDescent="0.3">
      <c r="L4496" s="6" t="s">
        <v>212</v>
      </c>
      <c r="M4496" s="6" t="s">
        <v>536</v>
      </c>
      <c r="N4496" s="6" t="s">
        <v>138</v>
      </c>
      <c r="O4496" s="6" t="s">
        <v>139</v>
      </c>
      <c r="P4496" s="19">
        <v>0</v>
      </c>
    </row>
    <row r="4497" spans="12:16" ht="15.75" customHeight="1" x14ac:dyDescent="0.3">
      <c r="L4497" s="6" t="s">
        <v>212</v>
      </c>
      <c r="M4497" s="6" t="s">
        <v>536</v>
      </c>
      <c r="N4497" s="6" t="s">
        <v>30</v>
      </c>
      <c r="O4497" s="6" t="s">
        <v>148</v>
      </c>
      <c r="P4497" s="17">
        <v>95.784400000000005</v>
      </c>
    </row>
    <row r="4498" spans="12:16" ht="15.75" customHeight="1" x14ac:dyDescent="0.3">
      <c r="L4498" s="6" t="s">
        <v>212</v>
      </c>
      <c r="M4498" s="6" t="s">
        <v>536</v>
      </c>
      <c r="N4498" s="6" t="s">
        <v>156</v>
      </c>
      <c r="O4498" s="6" t="s">
        <v>157</v>
      </c>
      <c r="P4498" s="19">
        <v>0</v>
      </c>
    </row>
    <row r="4499" spans="12:16" ht="15.75" customHeight="1" x14ac:dyDescent="0.3">
      <c r="L4499" s="6" t="s">
        <v>212</v>
      </c>
      <c r="M4499" s="6" t="s">
        <v>536</v>
      </c>
      <c r="N4499" s="6" t="s">
        <v>158</v>
      </c>
      <c r="O4499" s="6" t="s">
        <v>159</v>
      </c>
      <c r="P4499" s="19">
        <v>1</v>
      </c>
    </row>
    <row r="4500" spans="12:16" ht="15.75" customHeight="1" x14ac:dyDescent="0.3">
      <c r="L4500" s="6" t="s">
        <v>212</v>
      </c>
      <c r="M4500" s="6" t="s">
        <v>536</v>
      </c>
      <c r="N4500" s="6" t="s">
        <v>160</v>
      </c>
      <c r="O4500" s="6" t="s">
        <v>161</v>
      </c>
      <c r="P4500" s="19">
        <v>1</v>
      </c>
    </row>
    <row r="4501" spans="12:16" ht="15.75" customHeight="1" x14ac:dyDescent="0.3">
      <c r="L4501" s="6" t="s">
        <v>212</v>
      </c>
      <c r="M4501" s="6" t="s">
        <v>536</v>
      </c>
      <c r="N4501" s="6" t="s">
        <v>162</v>
      </c>
      <c r="O4501" s="6" t="s">
        <v>163</v>
      </c>
      <c r="P4501" s="19">
        <v>0</v>
      </c>
    </row>
    <row r="4502" spans="12:16" ht="15.75" customHeight="1" x14ac:dyDescent="0.3">
      <c r="L4502" s="6" t="s">
        <v>212</v>
      </c>
      <c r="M4502" s="6" t="s">
        <v>536</v>
      </c>
      <c r="N4502" s="6" t="s">
        <v>165</v>
      </c>
      <c r="O4502" s="6" t="s">
        <v>166</v>
      </c>
      <c r="P4502" s="19">
        <v>0</v>
      </c>
    </row>
    <row r="4503" spans="12:16" ht="15.75" customHeight="1" x14ac:dyDescent="0.3">
      <c r="L4503" s="6" t="s">
        <v>212</v>
      </c>
      <c r="M4503" s="6" t="s">
        <v>538</v>
      </c>
      <c r="N4503" s="6" t="s">
        <v>72</v>
      </c>
      <c r="O4503" s="6" t="s">
        <v>75</v>
      </c>
      <c r="P4503" s="19">
        <v>0</v>
      </c>
    </row>
    <row r="4504" spans="12:16" ht="15.75" customHeight="1" x14ac:dyDescent="0.3">
      <c r="L4504" s="6" t="s">
        <v>212</v>
      </c>
      <c r="M4504" s="6" t="s">
        <v>538</v>
      </c>
      <c r="N4504" s="6" t="s">
        <v>83</v>
      </c>
      <c r="O4504" s="6" t="s">
        <v>84</v>
      </c>
      <c r="P4504" s="19">
        <v>0</v>
      </c>
    </row>
    <row r="4505" spans="12:16" ht="15.75" customHeight="1" x14ac:dyDescent="0.3">
      <c r="L4505" s="6" t="s">
        <v>212</v>
      </c>
      <c r="M4505" s="6" t="s">
        <v>538</v>
      </c>
      <c r="N4505" s="6" t="s">
        <v>88</v>
      </c>
      <c r="O4505" s="6" t="s">
        <v>90</v>
      </c>
      <c r="P4505" s="19">
        <v>0</v>
      </c>
    </row>
    <row r="4506" spans="12:16" ht="15.75" customHeight="1" x14ac:dyDescent="0.3">
      <c r="L4506" s="6" t="s">
        <v>212</v>
      </c>
      <c r="M4506" s="6" t="s">
        <v>538</v>
      </c>
      <c r="N4506" s="6" t="s">
        <v>96</v>
      </c>
      <c r="O4506" s="6" t="s">
        <v>97</v>
      </c>
      <c r="P4506" s="19">
        <v>0</v>
      </c>
    </row>
    <row r="4507" spans="12:16" ht="15.75" customHeight="1" x14ac:dyDescent="0.3">
      <c r="L4507" s="6" t="s">
        <v>212</v>
      </c>
      <c r="M4507" s="6" t="s">
        <v>538</v>
      </c>
      <c r="N4507" s="6" t="s">
        <v>100</v>
      </c>
      <c r="O4507" s="6" t="s">
        <v>101</v>
      </c>
      <c r="P4507" s="19">
        <v>0</v>
      </c>
    </row>
    <row r="4508" spans="12:16" ht="15.75" customHeight="1" x14ac:dyDescent="0.3">
      <c r="L4508" s="6" t="s">
        <v>212</v>
      </c>
      <c r="M4508" s="6" t="s">
        <v>538</v>
      </c>
      <c r="N4508" s="6" t="s">
        <v>22</v>
      </c>
      <c r="O4508" s="6" t="s">
        <v>104</v>
      </c>
      <c r="P4508" s="19">
        <v>1</v>
      </c>
    </row>
    <row r="4509" spans="12:16" ht="15.75" customHeight="1" x14ac:dyDescent="0.3">
      <c r="L4509" s="6" t="s">
        <v>212</v>
      </c>
      <c r="M4509" s="6" t="s">
        <v>538</v>
      </c>
      <c r="N4509" s="6" t="s">
        <v>23</v>
      </c>
      <c r="O4509" s="6" t="s">
        <v>107</v>
      </c>
      <c r="P4509" s="17">
        <v>4.7549000000000001</v>
      </c>
    </row>
    <row r="4510" spans="12:16" ht="15.75" customHeight="1" x14ac:dyDescent="0.3">
      <c r="L4510" s="6" t="s">
        <v>212</v>
      </c>
      <c r="M4510" s="6" t="s">
        <v>538</v>
      </c>
      <c r="N4510" s="6" t="s">
        <v>24</v>
      </c>
      <c r="O4510" s="6" t="s">
        <v>109</v>
      </c>
      <c r="P4510" s="17">
        <v>8.9999999999999998E-4</v>
      </c>
    </row>
    <row r="4511" spans="12:16" ht="15.75" customHeight="1" x14ac:dyDescent="0.3">
      <c r="L4511" s="6" t="s">
        <v>212</v>
      </c>
      <c r="M4511" s="6" t="s">
        <v>538</v>
      </c>
      <c r="N4511" s="6" t="s">
        <v>25</v>
      </c>
      <c r="O4511" s="6" t="s">
        <v>111</v>
      </c>
      <c r="P4511" s="19">
        <v>3</v>
      </c>
    </row>
    <row r="4512" spans="12:16" ht="15.75" customHeight="1" x14ac:dyDescent="0.3">
      <c r="L4512" s="6" t="s">
        <v>212</v>
      </c>
      <c r="M4512" s="6" t="s">
        <v>538</v>
      </c>
      <c r="N4512" s="6" t="s">
        <v>26</v>
      </c>
      <c r="O4512" s="6" t="s">
        <v>113</v>
      </c>
      <c r="P4512" s="19">
        <v>3</v>
      </c>
    </row>
    <row r="4513" spans="12:16" ht="15.75" customHeight="1" x14ac:dyDescent="0.3">
      <c r="L4513" s="6" t="s">
        <v>212</v>
      </c>
      <c r="M4513" s="6" t="s">
        <v>538</v>
      </c>
      <c r="N4513" s="6" t="s">
        <v>27</v>
      </c>
      <c r="O4513" s="6" t="s">
        <v>117</v>
      </c>
      <c r="P4513" s="17">
        <v>4.7549000000000001</v>
      </c>
    </row>
    <row r="4514" spans="12:16" ht="15.75" customHeight="1" x14ac:dyDescent="0.3">
      <c r="L4514" s="6" t="s">
        <v>212</v>
      </c>
      <c r="M4514" s="6" t="s">
        <v>538</v>
      </c>
      <c r="N4514" s="6" t="s">
        <v>29</v>
      </c>
      <c r="O4514" s="6" t="s">
        <v>125</v>
      </c>
      <c r="P4514" s="19">
        <v>1</v>
      </c>
    </row>
    <row r="4515" spans="12:16" ht="15.75" customHeight="1" x14ac:dyDescent="0.3">
      <c r="L4515" s="6" t="s">
        <v>212</v>
      </c>
      <c r="M4515" s="6" t="s">
        <v>538</v>
      </c>
      <c r="N4515" s="6" t="s">
        <v>135</v>
      </c>
      <c r="O4515" s="6" t="s">
        <v>136</v>
      </c>
      <c r="P4515" s="19">
        <v>1</v>
      </c>
    </row>
    <row r="4516" spans="12:16" ht="15.75" customHeight="1" x14ac:dyDescent="0.3">
      <c r="L4516" s="6" t="s">
        <v>212</v>
      </c>
      <c r="M4516" s="6" t="s">
        <v>538</v>
      </c>
      <c r="N4516" s="6" t="s">
        <v>138</v>
      </c>
      <c r="O4516" s="6" t="s">
        <v>139</v>
      </c>
      <c r="P4516" s="19">
        <v>0</v>
      </c>
    </row>
    <row r="4517" spans="12:16" ht="15.75" customHeight="1" x14ac:dyDescent="0.3">
      <c r="L4517" s="6" t="s">
        <v>212</v>
      </c>
      <c r="M4517" s="6" t="s">
        <v>538</v>
      </c>
      <c r="N4517" s="6" t="s">
        <v>30</v>
      </c>
      <c r="O4517" s="6" t="s">
        <v>148</v>
      </c>
      <c r="P4517" s="17">
        <v>95.784400000000005</v>
      </c>
    </row>
    <row r="4518" spans="12:16" ht="15.75" customHeight="1" x14ac:dyDescent="0.3">
      <c r="L4518" s="6" t="s">
        <v>212</v>
      </c>
      <c r="M4518" s="6" t="s">
        <v>538</v>
      </c>
      <c r="N4518" s="6" t="s">
        <v>156</v>
      </c>
      <c r="O4518" s="6" t="s">
        <v>157</v>
      </c>
      <c r="P4518" s="19">
        <v>0</v>
      </c>
    </row>
    <row r="4519" spans="12:16" ht="15.75" customHeight="1" x14ac:dyDescent="0.3">
      <c r="L4519" s="6" t="s">
        <v>212</v>
      </c>
      <c r="M4519" s="6" t="s">
        <v>538</v>
      </c>
      <c r="N4519" s="6" t="s">
        <v>158</v>
      </c>
      <c r="O4519" s="6" t="s">
        <v>159</v>
      </c>
      <c r="P4519" s="19">
        <v>1</v>
      </c>
    </row>
    <row r="4520" spans="12:16" ht="15.75" customHeight="1" x14ac:dyDescent="0.3">
      <c r="L4520" s="6" t="s">
        <v>212</v>
      </c>
      <c r="M4520" s="6" t="s">
        <v>538</v>
      </c>
      <c r="N4520" s="6" t="s">
        <v>160</v>
      </c>
      <c r="O4520" s="6" t="s">
        <v>161</v>
      </c>
      <c r="P4520" s="19">
        <v>1</v>
      </c>
    </row>
    <row r="4521" spans="12:16" ht="15.75" customHeight="1" x14ac:dyDescent="0.3">
      <c r="L4521" s="6" t="s">
        <v>212</v>
      </c>
      <c r="M4521" s="6" t="s">
        <v>538</v>
      </c>
      <c r="N4521" s="6" t="s">
        <v>162</v>
      </c>
      <c r="O4521" s="6" t="s">
        <v>163</v>
      </c>
      <c r="P4521" s="19">
        <v>0</v>
      </c>
    </row>
    <row r="4522" spans="12:16" ht="15.75" customHeight="1" x14ac:dyDescent="0.3">
      <c r="L4522" s="6" t="s">
        <v>212</v>
      </c>
      <c r="M4522" s="6" t="s">
        <v>538</v>
      </c>
      <c r="N4522" s="6" t="s">
        <v>165</v>
      </c>
      <c r="O4522" s="6" t="s">
        <v>166</v>
      </c>
      <c r="P4522" s="19">
        <v>0</v>
      </c>
    </row>
    <row r="4523" spans="12:16" ht="15.75" customHeight="1" x14ac:dyDescent="0.3">
      <c r="L4523" s="6" t="s">
        <v>212</v>
      </c>
      <c r="M4523" s="6" t="s">
        <v>540</v>
      </c>
      <c r="N4523" s="6" t="s">
        <v>72</v>
      </c>
      <c r="O4523" s="6" t="s">
        <v>75</v>
      </c>
      <c r="P4523" s="19">
        <v>0</v>
      </c>
    </row>
    <row r="4524" spans="12:16" ht="15.75" customHeight="1" x14ac:dyDescent="0.3">
      <c r="L4524" s="6" t="s">
        <v>212</v>
      </c>
      <c r="M4524" s="6" t="s">
        <v>540</v>
      </c>
      <c r="N4524" s="6" t="s">
        <v>83</v>
      </c>
      <c r="O4524" s="6" t="s">
        <v>84</v>
      </c>
      <c r="P4524" s="19">
        <v>0</v>
      </c>
    </row>
    <row r="4525" spans="12:16" ht="15.75" customHeight="1" x14ac:dyDescent="0.3">
      <c r="L4525" s="6" t="s">
        <v>212</v>
      </c>
      <c r="M4525" s="6" t="s">
        <v>540</v>
      </c>
      <c r="N4525" s="6" t="s">
        <v>88</v>
      </c>
      <c r="O4525" s="6" t="s">
        <v>90</v>
      </c>
      <c r="P4525" s="19">
        <v>0</v>
      </c>
    </row>
    <row r="4526" spans="12:16" ht="15.75" customHeight="1" x14ac:dyDescent="0.3">
      <c r="L4526" s="6" t="s">
        <v>212</v>
      </c>
      <c r="M4526" s="6" t="s">
        <v>540</v>
      </c>
      <c r="N4526" s="6" t="s">
        <v>96</v>
      </c>
      <c r="O4526" s="6" t="s">
        <v>97</v>
      </c>
      <c r="P4526" s="19">
        <v>0</v>
      </c>
    </row>
    <row r="4527" spans="12:16" ht="15.75" customHeight="1" x14ac:dyDescent="0.3">
      <c r="L4527" s="6" t="s">
        <v>212</v>
      </c>
      <c r="M4527" s="6" t="s">
        <v>540</v>
      </c>
      <c r="N4527" s="6" t="s">
        <v>100</v>
      </c>
      <c r="O4527" s="6" t="s">
        <v>101</v>
      </c>
      <c r="P4527" s="19">
        <v>0</v>
      </c>
    </row>
    <row r="4528" spans="12:16" ht="15.75" customHeight="1" x14ac:dyDescent="0.3">
      <c r="L4528" s="6" t="s">
        <v>212</v>
      </c>
      <c r="M4528" s="6" t="s">
        <v>540</v>
      </c>
      <c r="N4528" s="6" t="s">
        <v>22</v>
      </c>
      <c r="O4528" s="6" t="s">
        <v>104</v>
      </c>
      <c r="P4528" s="17">
        <v>1.5</v>
      </c>
    </row>
    <row r="4529" spans="12:16" ht="15.75" customHeight="1" x14ac:dyDescent="0.3">
      <c r="L4529" s="6" t="s">
        <v>212</v>
      </c>
      <c r="M4529" s="6" t="s">
        <v>540</v>
      </c>
      <c r="N4529" s="6" t="s">
        <v>23</v>
      </c>
      <c r="O4529" s="6" t="s">
        <v>107</v>
      </c>
      <c r="P4529" s="19">
        <v>12</v>
      </c>
    </row>
    <row r="4530" spans="12:16" ht="15.75" customHeight="1" x14ac:dyDescent="0.3">
      <c r="L4530" s="6" t="s">
        <v>212</v>
      </c>
      <c r="M4530" s="6" t="s">
        <v>540</v>
      </c>
      <c r="N4530" s="6" t="s">
        <v>24</v>
      </c>
      <c r="O4530" s="6" t="s">
        <v>109</v>
      </c>
      <c r="P4530" s="17">
        <v>1.6999999999999999E-3</v>
      </c>
    </row>
    <row r="4531" spans="12:16" ht="15.75" customHeight="1" x14ac:dyDescent="0.3">
      <c r="L4531" s="6" t="s">
        <v>212</v>
      </c>
      <c r="M4531" s="6" t="s">
        <v>540</v>
      </c>
      <c r="N4531" s="6" t="s">
        <v>25</v>
      </c>
      <c r="O4531" s="6" t="s">
        <v>111</v>
      </c>
      <c r="P4531" s="19">
        <v>4</v>
      </c>
    </row>
    <row r="4532" spans="12:16" ht="15.75" customHeight="1" x14ac:dyDescent="0.3">
      <c r="L4532" s="6" t="s">
        <v>212</v>
      </c>
      <c r="M4532" s="6" t="s">
        <v>540</v>
      </c>
      <c r="N4532" s="6" t="s">
        <v>26</v>
      </c>
      <c r="O4532" s="6" t="s">
        <v>113</v>
      </c>
      <c r="P4532" s="19">
        <v>4</v>
      </c>
    </row>
    <row r="4533" spans="12:16" ht="15.75" customHeight="1" x14ac:dyDescent="0.3">
      <c r="L4533" s="6" t="s">
        <v>212</v>
      </c>
      <c r="M4533" s="6" t="s">
        <v>540</v>
      </c>
      <c r="N4533" s="6" t="s">
        <v>27</v>
      </c>
      <c r="O4533" s="6" t="s">
        <v>117</v>
      </c>
      <c r="P4533" s="19">
        <v>8</v>
      </c>
    </row>
    <row r="4534" spans="12:16" ht="15.75" customHeight="1" x14ac:dyDescent="0.3">
      <c r="L4534" s="6" t="s">
        <v>212</v>
      </c>
      <c r="M4534" s="6" t="s">
        <v>540</v>
      </c>
      <c r="N4534" s="6" t="s">
        <v>29</v>
      </c>
      <c r="O4534" s="6" t="s">
        <v>125</v>
      </c>
      <c r="P4534" s="19">
        <v>1</v>
      </c>
    </row>
    <row r="4535" spans="12:16" ht="15.75" customHeight="1" x14ac:dyDescent="0.3">
      <c r="L4535" s="6" t="s">
        <v>212</v>
      </c>
      <c r="M4535" s="6" t="s">
        <v>540</v>
      </c>
      <c r="N4535" s="6" t="s">
        <v>135</v>
      </c>
      <c r="O4535" s="6" t="s">
        <v>136</v>
      </c>
      <c r="P4535" s="19">
        <v>1</v>
      </c>
    </row>
    <row r="4536" spans="12:16" ht="15.75" customHeight="1" x14ac:dyDescent="0.3">
      <c r="L4536" s="6" t="s">
        <v>212</v>
      </c>
      <c r="M4536" s="6" t="s">
        <v>540</v>
      </c>
      <c r="N4536" s="6" t="s">
        <v>138</v>
      </c>
      <c r="O4536" s="6" t="s">
        <v>139</v>
      </c>
      <c r="P4536" s="19">
        <v>0</v>
      </c>
    </row>
    <row r="4537" spans="12:16" ht="15.75" customHeight="1" x14ac:dyDescent="0.3">
      <c r="L4537" s="6" t="s">
        <v>212</v>
      </c>
      <c r="M4537" s="6" t="s">
        <v>540</v>
      </c>
      <c r="N4537" s="6" t="s">
        <v>30</v>
      </c>
      <c r="O4537" s="6" t="s">
        <v>148</v>
      </c>
      <c r="P4537" s="17">
        <v>93.676599999999993</v>
      </c>
    </row>
    <row r="4538" spans="12:16" ht="15.75" customHeight="1" x14ac:dyDescent="0.3">
      <c r="L4538" s="6" t="s">
        <v>212</v>
      </c>
      <c r="M4538" s="6" t="s">
        <v>540</v>
      </c>
      <c r="N4538" s="6" t="s">
        <v>156</v>
      </c>
      <c r="O4538" s="6" t="s">
        <v>157</v>
      </c>
      <c r="P4538" s="19">
        <v>0</v>
      </c>
    </row>
    <row r="4539" spans="12:16" ht="15.75" customHeight="1" x14ac:dyDescent="0.3">
      <c r="L4539" s="6" t="s">
        <v>212</v>
      </c>
      <c r="M4539" s="6" t="s">
        <v>540</v>
      </c>
      <c r="N4539" s="6" t="s">
        <v>158</v>
      </c>
      <c r="O4539" s="6" t="s">
        <v>159</v>
      </c>
      <c r="P4539" s="19">
        <v>1</v>
      </c>
    </row>
    <row r="4540" spans="12:16" ht="15.75" customHeight="1" x14ac:dyDescent="0.3">
      <c r="L4540" s="6" t="s">
        <v>212</v>
      </c>
      <c r="M4540" s="6" t="s">
        <v>540</v>
      </c>
      <c r="N4540" s="6" t="s">
        <v>160</v>
      </c>
      <c r="O4540" s="6" t="s">
        <v>161</v>
      </c>
      <c r="P4540" s="19">
        <v>1</v>
      </c>
    </row>
    <row r="4541" spans="12:16" ht="15.75" customHeight="1" x14ac:dyDescent="0.3">
      <c r="L4541" s="6" t="s">
        <v>212</v>
      </c>
      <c r="M4541" s="6" t="s">
        <v>540</v>
      </c>
      <c r="N4541" s="6" t="s">
        <v>162</v>
      </c>
      <c r="O4541" s="6" t="s">
        <v>163</v>
      </c>
      <c r="P4541" s="19">
        <v>0</v>
      </c>
    </row>
    <row r="4542" spans="12:16" ht="15.75" customHeight="1" x14ac:dyDescent="0.3">
      <c r="L4542" s="6" t="s">
        <v>212</v>
      </c>
      <c r="M4542" s="6" t="s">
        <v>540</v>
      </c>
      <c r="N4542" s="6" t="s">
        <v>165</v>
      </c>
      <c r="O4542" s="6" t="s">
        <v>166</v>
      </c>
      <c r="P4542" s="19">
        <v>0</v>
      </c>
    </row>
    <row r="4543" spans="12:16" ht="15.75" customHeight="1" x14ac:dyDescent="0.3">
      <c r="L4543" s="6" t="s">
        <v>212</v>
      </c>
      <c r="M4543" s="6" t="s">
        <v>542</v>
      </c>
      <c r="N4543" s="6" t="s">
        <v>72</v>
      </c>
      <c r="O4543" s="6" t="s">
        <v>75</v>
      </c>
      <c r="P4543" s="19">
        <v>0</v>
      </c>
    </row>
    <row r="4544" spans="12:16" ht="15.75" customHeight="1" x14ac:dyDescent="0.3">
      <c r="L4544" s="6" t="s">
        <v>212</v>
      </c>
      <c r="M4544" s="6" t="s">
        <v>542</v>
      </c>
      <c r="N4544" s="6" t="s">
        <v>83</v>
      </c>
      <c r="O4544" s="6" t="s">
        <v>84</v>
      </c>
      <c r="P4544" s="19">
        <v>0</v>
      </c>
    </row>
    <row r="4545" spans="12:16" ht="15.75" customHeight="1" x14ac:dyDescent="0.3">
      <c r="L4545" s="6" t="s">
        <v>212</v>
      </c>
      <c r="M4545" s="6" t="s">
        <v>542</v>
      </c>
      <c r="N4545" s="6" t="s">
        <v>88</v>
      </c>
      <c r="O4545" s="6" t="s">
        <v>90</v>
      </c>
      <c r="P4545" s="19">
        <v>0</v>
      </c>
    </row>
    <row r="4546" spans="12:16" ht="15.75" customHeight="1" x14ac:dyDescent="0.3">
      <c r="L4546" s="6" t="s">
        <v>212</v>
      </c>
      <c r="M4546" s="6" t="s">
        <v>542</v>
      </c>
      <c r="N4546" s="6" t="s">
        <v>96</v>
      </c>
      <c r="O4546" s="6" t="s">
        <v>97</v>
      </c>
      <c r="P4546" s="19">
        <v>0</v>
      </c>
    </row>
    <row r="4547" spans="12:16" ht="15.75" customHeight="1" x14ac:dyDescent="0.3">
      <c r="L4547" s="6" t="s">
        <v>212</v>
      </c>
      <c r="M4547" s="6" t="s">
        <v>542</v>
      </c>
      <c r="N4547" s="6" t="s">
        <v>100</v>
      </c>
      <c r="O4547" s="6" t="s">
        <v>101</v>
      </c>
      <c r="P4547" s="19">
        <v>0</v>
      </c>
    </row>
    <row r="4548" spans="12:16" ht="15.75" customHeight="1" x14ac:dyDescent="0.3">
      <c r="L4548" s="6" t="s">
        <v>212</v>
      </c>
      <c r="M4548" s="6" t="s">
        <v>542</v>
      </c>
      <c r="N4548" s="6" t="s">
        <v>22</v>
      </c>
      <c r="O4548" s="6" t="s">
        <v>104</v>
      </c>
      <c r="P4548" s="19">
        <v>1</v>
      </c>
    </row>
    <row r="4549" spans="12:16" ht="15.75" customHeight="1" x14ac:dyDescent="0.3">
      <c r="L4549" s="6" t="s">
        <v>212</v>
      </c>
      <c r="M4549" s="6" t="s">
        <v>542</v>
      </c>
      <c r="N4549" s="6" t="s">
        <v>23</v>
      </c>
      <c r="O4549" s="6" t="s">
        <v>107</v>
      </c>
      <c r="P4549" s="17">
        <v>4.7549000000000001</v>
      </c>
    </row>
    <row r="4550" spans="12:16" ht="15.75" customHeight="1" x14ac:dyDescent="0.3">
      <c r="L4550" s="6" t="s">
        <v>212</v>
      </c>
      <c r="M4550" s="6" t="s">
        <v>542</v>
      </c>
      <c r="N4550" s="6" t="s">
        <v>24</v>
      </c>
      <c r="O4550" s="6" t="s">
        <v>109</v>
      </c>
      <c r="P4550" s="17">
        <v>8.9999999999999998E-4</v>
      </c>
    </row>
    <row r="4551" spans="12:16" ht="15.75" customHeight="1" x14ac:dyDescent="0.3">
      <c r="L4551" s="6" t="s">
        <v>212</v>
      </c>
      <c r="M4551" s="6" t="s">
        <v>542</v>
      </c>
      <c r="N4551" s="6" t="s">
        <v>25</v>
      </c>
      <c r="O4551" s="6" t="s">
        <v>111</v>
      </c>
      <c r="P4551" s="19">
        <v>3</v>
      </c>
    </row>
    <row r="4552" spans="12:16" ht="15.75" customHeight="1" x14ac:dyDescent="0.3">
      <c r="L4552" s="6" t="s">
        <v>212</v>
      </c>
      <c r="M4552" s="6" t="s">
        <v>542</v>
      </c>
      <c r="N4552" s="6" t="s">
        <v>26</v>
      </c>
      <c r="O4552" s="6" t="s">
        <v>113</v>
      </c>
      <c r="P4552" s="19">
        <v>3</v>
      </c>
    </row>
    <row r="4553" spans="12:16" ht="15.75" customHeight="1" x14ac:dyDescent="0.3">
      <c r="L4553" s="6" t="s">
        <v>212</v>
      </c>
      <c r="M4553" s="6" t="s">
        <v>542</v>
      </c>
      <c r="N4553" s="6" t="s">
        <v>27</v>
      </c>
      <c r="O4553" s="6" t="s">
        <v>117</v>
      </c>
      <c r="P4553" s="17">
        <v>4.7549000000000001</v>
      </c>
    </row>
    <row r="4554" spans="12:16" ht="15.75" customHeight="1" x14ac:dyDescent="0.3">
      <c r="L4554" s="6" t="s">
        <v>212</v>
      </c>
      <c r="M4554" s="6" t="s">
        <v>542</v>
      </c>
      <c r="N4554" s="6" t="s">
        <v>29</v>
      </c>
      <c r="O4554" s="6" t="s">
        <v>125</v>
      </c>
      <c r="P4554" s="19">
        <v>1</v>
      </c>
    </row>
    <row r="4555" spans="12:16" ht="15.75" customHeight="1" x14ac:dyDescent="0.3">
      <c r="L4555" s="6" t="s">
        <v>212</v>
      </c>
      <c r="M4555" s="6" t="s">
        <v>542</v>
      </c>
      <c r="N4555" s="6" t="s">
        <v>135</v>
      </c>
      <c r="O4555" s="6" t="s">
        <v>136</v>
      </c>
      <c r="P4555" s="19">
        <v>1</v>
      </c>
    </row>
    <row r="4556" spans="12:16" ht="15.75" customHeight="1" x14ac:dyDescent="0.3">
      <c r="L4556" s="6" t="s">
        <v>212</v>
      </c>
      <c r="M4556" s="6" t="s">
        <v>542</v>
      </c>
      <c r="N4556" s="6" t="s">
        <v>138</v>
      </c>
      <c r="O4556" s="6" t="s">
        <v>139</v>
      </c>
      <c r="P4556" s="19">
        <v>0</v>
      </c>
    </row>
    <row r="4557" spans="12:16" ht="15.75" customHeight="1" x14ac:dyDescent="0.3">
      <c r="L4557" s="6" t="s">
        <v>212</v>
      </c>
      <c r="M4557" s="6" t="s">
        <v>542</v>
      </c>
      <c r="N4557" s="6" t="s">
        <v>30</v>
      </c>
      <c r="O4557" s="6" t="s">
        <v>148</v>
      </c>
      <c r="P4557" s="17">
        <v>95.784400000000005</v>
      </c>
    </row>
    <row r="4558" spans="12:16" ht="15.75" customHeight="1" x14ac:dyDescent="0.3">
      <c r="L4558" s="6" t="s">
        <v>212</v>
      </c>
      <c r="M4558" s="6" t="s">
        <v>542</v>
      </c>
      <c r="N4558" s="6" t="s">
        <v>156</v>
      </c>
      <c r="O4558" s="6" t="s">
        <v>157</v>
      </c>
      <c r="P4558" s="19">
        <v>0</v>
      </c>
    </row>
    <row r="4559" spans="12:16" ht="15.75" customHeight="1" x14ac:dyDescent="0.3">
      <c r="L4559" s="6" t="s">
        <v>212</v>
      </c>
      <c r="M4559" s="6" t="s">
        <v>542</v>
      </c>
      <c r="N4559" s="6" t="s">
        <v>158</v>
      </c>
      <c r="O4559" s="6" t="s">
        <v>159</v>
      </c>
      <c r="P4559" s="19">
        <v>1</v>
      </c>
    </row>
    <row r="4560" spans="12:16" ht="15.75" customHeight="1" x14ac:dyDescent="0.3">
      <c r="L4560" s="6" t="s">
        <v>212</v>
      </c>
      <c r="M4560" s="6" t="s">
        <v>542</v>
      </c>
      <c r="N4560" s="6" t="s">
        <v>160</v>
      </c>
      <c r="O4560" s="6" t="s">
        <v>161</v>
      </c>
      <c r="P4560" s="19">
        <v>1</v>
      </c>
    </row>
    <row r="4561" spans="12:16" ht="15.75" customHeight="1" x14ac:dyDescent="0.3">
      <c r="L4561" s="6" t="s">
        <v>212</v>
      </c>
      <c r="M4561" s="6" t="s">
        <v>542</v>
      </c>
      <c r="N4561" s="6" t="s">
        <v>162</v>
      </c>
      <c r="O4561" s="6" t="s">
        <v>163</v>
      </c>
      <c r="P4561" s="19">
        <v>0</v>
      </c>
    </row>
    <row r="4562" spans="12:16" ht="15.75" customHeight="1" x14ac:dyDescent="0.3">
      <c r="L4562" s="6" t="s">
        <v>212</v>
      </c>
      <c r="M4562" s="6" t="s">
        <v>542</v>
      </c>
      <c r="N4562" s="6" t="s">
        <v>165</v>
      </c>
      <c r="O4562" s="6" t="s">
        <v>166</v>
      </c>
      <c r="P4562" s="19">
        <v>0</v>
      </c>
    </row>
    <row r="4563" spans="12:16" ht="15.75" customHeight="1" x14ac:dyDescent="0.3">
      <c r="L4563" s="6" t="s">
        <v>212</v>
      </c>
      <c r="M4563" s="6" t="s">
        <v>544</v>
      </c>
      <c r="N4563" s="6" t="s">
        <v>72</v>
      </c>
      <c r="O4563" s="6" t="s">
        <v>75</v>
      </c>
      <c r="P4563" s="19">
        <v>0</v>
      </c>
    </row>
    <row r="4564" spans="12:16" ht="15.75" customHeight="1" x14ac:dyDescent="0.3">
      <c r="L4564" s="6" t="s">
        <v>212</v>
      </c>
      <c r="M4564" s="6" t="s">
        <v>544</v>
      </c>
      <c r="N4564" s="6" t="s">
        <v>83</v>
      </c>
      <c r="O4564" s="6" t="s">
        <v>84</v>
      </c>
      <c r="P4564" s="19">
        <v>0</v>
      </c>
    </row>
    <row r="4565" spans="12:16" ht="15.75" customHeight="1" x14ac:dyDescent="0.3">
      <c r="L4565" s="6" t="s">
        <v>212</v>
      </c>
      <c r="M4565" s="6" t="s">
        <v>544</v>
      </c>
      <c r="N4565" s="6" t="s">
        <v>88</v>
      </c>
      <c r="O4565" s="6" t="s">
        <v>90</v>
      </c>
      <c r="P4565" s="19">
        <v>0</v>
      </c>
    </row>
    <row r="4566" spans="12:16" ht="15.75" customHeight="1" x14ac:dyDescent="0.3">
      <c r="L4566" s="6" t="s">
        <v>212</v>
      </c>
      <c r="M4566" s="6" t="s">
        <v>544</v>
      </c>
      <c r="N4566" s="6" t="s">
        <v>96</v>
      </c>
      <c r="O4566" s="6" t="s">
        <v>97</v>
      </c>
      <c r="P4566" s="19">
        <v>0</v>
      </c>
    </row>
    <row r="4567" spans="12:16" ht="15.75" customHeight="1" x14ac:dyDescent="0.3">
      <c r="L4567" s="6" t="s">
        <v>212</v>
      </c>
      <c r="M4567" s="6" t="s">
        <v>544</v>
      </c>
      <c r="N4567" s="6" t="s">
        <v>100</v>
      </c>
      <c r="O4567" s="6" t="s">
        <v>101</v>
      </c>
      <c r="P4567" s="19">
        <v>0</v>
      </c>
    </row>
    <row r="4568" spans="12:16" ht="15.75" customHeight="1" x14ac:dyDescent="0.3">
      <c r="L4568" s="6" t="s">
        <v>212</v>
      </c>
      <c r="M4568" s="6" t="s">
        <v>544</v>
      </c>
      <c r="N4568" s="6" t="s">
        <v>22</v>
      </c>
      <c r="O4568" s="6" t="s">
        <v>104</v>
      </c>
      <c r="P4568" s="17">
        <v>1.5</v>
      </c>
    </row>
    <row r="4569" spans="12:16" ht="15.75" customHeight="1" x14ac:dyDescent="0.3">
      <c r="L4569" s="6" t="s">
        <v>212</v>
      </c>
      <c r="M4569" s="6" t="s">
        <v>544</v>
      </c>
      <c r="N4569" s="6" t="s">
        <v>23</v>
      </c>
      <c r="O4569" s="6" t="s">
        <v>107</v>
      </c>
      <c r="P4569" s="19">
        <v>12</v>
      </c>
    </row>
    <row r="4570" spans="12:16" ht="15.75" customHeight="1" x14ac:dyDescent="0.3">
      <c r="L4570" s="6" t="s">
        <v>212</v>
      </c>
      <c r="M4570" s="6" t="s">
        <v>544</v>
      </c>
      <c r="N4570" s="6" t="s">
        <v>24</v>
      </c>
      <c r="O4570" s="6" t="s">
        <v>109</v>
      </c>
      <c r="P4570" s="17">
        <v>1.6999999999999999E-3</v>
      </c>
    </row>
    <row r="4571" spans="12:16" ht="15.75" customHeight="1" x14ac:dyDescent="0.3">
      <c r="L4571" s="6" t="s">
        <v>212</v>
      </c>
      <c r="M4571" s="6" t="s">
        <v>544</v>
      </c>
      <c r="N4571" s="6" t="s">
        <v>25</v>
      </c>
      <c r="O4571" s="6" t="s">
        <v>111</v>
      </c>
      <c r="P4571" s="19">
        <v>4</v>
      </c>
    </row>
    <row r="4572" spans="12:16" ht="15.75" customHeight="1" x14ac:dyDescent="0.3">
      <c r="L4572" s="6" t="s">
        <v>212</v>
      </c>
      <c r="M4572" s="6" t="s">
        <v>544</v>
      </c>
      <c r="N4572" s="6" t="s">
        <v>26</v>
      </c>
      <c r="O4572" s="6" t="s">
        <v>113</v>
      </c>
      <c r="P4572" s="19">
        <v>4</v>
      </c>
    </row>
    <row r="4573" spans="12:16" ht="15.75" customHeight="1" x14ac:dyDescent="0.3">
      <c r="L4573" s="6" t="s">
        <v>212</v>
      </c>
      <c r="M4573" s="6" t="s">
        <v>544</v>
      </c>
      <c r="N4573" s="6" t="s">
        <v>27</v>
      </c>
      <c r="O4573" s="6" t="s">
        <v>117</v>
      </c>
      <c r="P4573" s="19">
        <v>8</v>
      </c>
    </row>
    <row r="4574" spans="12:16" ht="15.75" customHeight="1" x14ac:dyDescent="0.3">
      <c r="L4574" s="6" t="s">
        <v>212</v>
      </c>
      <c r="M4574" s="6" t="s">
        <v>544</v>
      </c>
      <c r="N4574" s="6" t="s">
        <v>29</v>
      </c>
      <c r="O4574" s="6" t="s">
        <v>125</v>
      </c>
      <c r="P4574" s="19">
        <v>1</v>
      </c>
    </row>
    <row r="4575" spans="12:16" ht="15.75" customHeight="1" x14ac:dyDescent="0.3">
      <c r="L4575" s="6" t="s">
        <v>212</v>
      </c>
      <c r="M4575" s="6" t="s">
        <v>544</v>
      </c>
      <c r="N4575" s="6" t="s">
        <v>135</v>
      </c>
      <c r="O4575" s="6" t="s">
        <v>136</v>
      </c>
      <c r="P4575" s="19">
        <v>1</v>
      </c>
    </row>
    <row r="4576" spans="12:16" ht="15.75" customHeight="1" x14ac:dyDescent="0.3">
      <c r="L4576" s="6" t="s">
        <v>212</v>
      </c>
      <c r="M4576" s="6" t="s">
        <v>544</v>
      </c>
      <c r="N4576" s="6" t="s">
        <v>138</v>
      </c>
      <c r="O4576" s="6" t="s">
        <v>139</v>
      </c>
      <c r="P4576" s="19">
        <v>0</v>
      </c>
    </row>
    <row r="4577" spans="12:16" ht="15.75" customHeight="1" x14ac:dyDescent="0.3">
      <c r="L4577" s="6" t="s">
        <v>212</v>
      </c>
      <c r="M4577" s="6" t="s">
        <v>544</v>
      </c>
      <c r="N4577" s="6" t="s">
        <v>30</v>
      </c>
      <c r="O4577" s="6" t="s">
        <v>148</v>
      </c>
      <c r="P4577" s="17">
        <v>93.676599999999993</v>
      </c>
    </row>
    <row r="4578" spans="12:16" ht="15.75" customHeight="1" x14ac:dyDescent="0.3">
      <c r="L4578" s="6" t="s">
        <v>212</v>
      </c>
      <c r="M4578" s="6" t="s">
        <v>544</v>
      </c>
      <c r="N4578" s="6" t="s">
        <v>156</v>
      </c>
      <c r="O4578" s="6" t="s">
        <v>157</v>
      </c>
      <c r="P4578" s="19">
        <v>0</v>
      </c>
    </row>
    <row r="4579" spans="12:16" ht="15.75" customHeight="1" x14ac:dyDescent="0.3">
      <c r="L4579" s="6" t="s">
        <v>212</v>
      </c>
      <c r="M4579" s="6" t="s">
        <v>544</v>
      </c>
      <c r="N4579" s="6" t="s">
        <v>158</v>
      </c>
      <c r="O4579" s="6" t="s">
        <v>159</v>
      </c>
      <c r="P4579" s="19">
        <v>1</v>
      </c>
    </row>
    <row r="4580" spans="12:16" ht="15.75" customHeight="1" x14ac:dyDescent="0.3">
      <c r="L4580" s="6" t="s">
        <v>212</v>
      </c>
      <c r="M4580" s="6" t="s">
        <v>544</v>
      </c>
      <c r="N4580" s="6" t="s">
        <v>160</v>
      </c>
      <c r="O4580" s="6" t="s">
        <v>161</v>
      </c>
      <c r="P4580" s="19">
        <v>1</v>
      </c>
    </row>
    <row r="4581" spans="12:16" ht="15.75" customHeight="1" x14ac:dyDescent="0.3">
      <c r="L4581" s="6" t="s">
        <v>212</v>
      </c>
      <c r="M4581" s="6" t="s">
        <v>544</v>
      </c>
      <c r="N4581" s="6" t="s">
        <v>162</v>
      </c>
      <c r="O4581" s="6" t="s">
        <v>163</v>
      </c>
      <c r="P4581" s="19">
        <v>0</v>
      </c>
    </row>
    <row r="4582" spans="12:16" ht="15.75" customHeight="1" x14ac:dyDescent="0.3">
      <c r="L4582" s="6" t="s">
        <v>212</v>
      </c>
      <c r="M4582" s="6" t="s">
        <v>544</v>
      </c>
      <c r="N4582" s="6" t="s">
        <v>165</v>
      </c>
      <c r="O4582" s="6" t="s">
        <v>166</v>
      </c>
      <c r="P4582" s="19">
        <v>0</v>
      </c>
    </row>
    <row r="4583" spans="12:16" ht="15.75" customHeight="1" x14ac:dyDescent="0.3">
      <c r="L4583" s="6" t="s">
        <v>212</v>
      </c>
      <c r="M4583" s="6" t="s">
        <v>515</v>
      </c>
      <c r="N4583" s="6" t="s">
        <v>72</v>
      </c>
      <c r="O4583" s="6" t="s">
        <v>75</v>
      </c>
      <c r="P4583" s="19">
        <v>0</v>
      </c>
    </row>
    <row r="4584" spans="12:16" ht="15.75" customHeight="1" x14ac:dyDescent="0.3">
      <c r="L4584" s="6" t="s">
        <v>212</v>
      </c>
      <c r="M4584" s="6" t="s">
        <v>515</v>
      </c>
      <c r="N4584" s="6" t="s">
        <v>83</v>
      </c>
      <c r="O4584" s="6" t="s">
        <v>84</v>
      </c>
      <c r="P4584" s="19">
        <v>0</v>
      </c>
    </row>
    <row r="4585" spans="12:16" ht="15.75" customHeight="1" x14ac:dyDescent="0.3">
      <c r="L4585" s="6" t="s">
        <v>212</v>
      </c>
      <c r="M4585" s="6" t="s">
        <v>515</v>
      </c>
      <c r="N4585" s="6" t="s">
        <v>88</v>
      </c>
      <c r="O4585" s="6" t="s">
        <v>90</v>
      </c>
      <c r="P4585" s="19">
        <v>0</v>
      </c>
    </row>
    <row r="4586" spans="12:16" ht="15.75" customHeight="1" x14ac:dyDescent="0.3">
      <c r="L4586" s="6" t="s">
        <v>212</v>
      </c>
      <c r="M4586" s="6" t="s">
        <v>515</v>
      </c>
      <c r="N4586" s="6" t="s">
        <v>96</v>
      </c>
      <c r="O4586" s="6" t="s">
        <v>97</v>
      </c>
      <c r="P4586" s="19">
        <v>0</v>
      </c>
    </row>
    <row r="4587" spans="12:16" ht="15.75" customHeight="1" x14ac:dyDescent="0.3">
      <c r="L4587" s="6" t="s">
        <v>212</v>
      </c>
      <c r="M4587" s="6" t="s">
        <v>515</v>
      </c>
      <c r="N4587" s="6" t="s">
        <v>100</v>
      </c>
      <c r="O4587" s="6" t="s">
        <v>101</v>
      </c>
      <c r="P4587" s="19">
        <v>0</v>
      </c>
    </row>
    <row r="4588" spans="12:16" ht="15.75" customHeight="1" x14ac:dyDescent="0.3">
      <c r="L4588" s="6" t="s">
        <v>212</v>
      </c>
      <c r="M4588" s="6" t="s">
        <v>515</v>
      </c>
      <c r="N4588" s="6" t="s">
        <v>22</v>
      </c>
      <c r="O4588" s="6" t="s">
        <v>104</v>
      </c>
      <c r="P4588" s="17">
        <v>1.5</v>
      </c>
    </row>
    <row r="4589" spans="12:16" ht="15.75" customHeight="1" x14ac:dyDescent="0.3">
      <c r="L4589" s="6" t="s">
        <v>212</v>
      </c>
      <c r="M4589" s="6" t="s">
        <v>515</v>
      </c>
      <c r="N4589" s="6" t="s">
        <v>23</v>
      </c>
      <c r="O4589" s="6" t="s">
        <v>107</v>
      </c>
      <c r="P4589" s="17">
        <v>33.688299999999998</v>
      </c>
    </row>
    <row r="4590" spans="12:16" ht="15.75" customHeight="1" x14ac:dyDescent="0.3">
      <c r="L4590" s="6" t="s">
        <v>212</v>
      </c>
      <c r="M4590" s="6" t="s">
        <v>515</v>
      </c>
      <c r="N4590" s="6" t="s">
        <v>24</v>
      </c>
      <c r="O4590" s="6" t="s">
        <v>109</v>
      </c>
      <c r="P4590" s="17">
        <v>3.5000000000000001E-3</v>
      </c>
    </row>
    <row r="4591" spans="12:16" ht="15.75" customHeight="1" x14ac:dyDescent="0.3">
      <c r="L4591" s="6" t="s">
        <v>212</v>
      </c>
      <c r="M4591" s="6" t="s">
        <v>515</v>
      </c>
      <c r="N4591" s="6" t="s">
        <v>25</v>
      </c>
      <c r="O4591" s="6" t="s">
        <v>111</v>
      </c>
      <c r="P4591" s="19">
        <v>8</v>
      </c>
    </row>
    <row r="4592" spans="12:16" ht="15.75" customHeight="1" x14ac:dyDescent="0.3">
      <c r="L4592" s="6" t="s">
        <v>212</v>
      </c>
      <c r="M4592" s="6" t="s">
        <v>515</v>
      </c>
      <c r="N4592" s="6" t="s">
        <v>26</v>
      </c>
      <c r="O4592" s="6" t="s">
        <v>113</v>
      </c>
      <c r="P4592" s="19">
        <v>7</v>
      </c>
    </row>
    <row r="4593" spans="12:16" ht="15.75" customHeight="1" x14ac:dyDescent="0.3">
      <c r="L4593" s="6" t="s">
        <v>212</v>
      </c>
      <c r="M4593" s="6" t="s">
        <v>515</v>
      </c>
      <c r="N4593" s="6" t="s">
        <v>27</v>
      </c>
      <c r="O4593" s="6" t="s">
        <v>117</v>
      </c>
      <c r="P4593" s="17">
        <v>22.4588</v>
      </c>
    </row>
    <row r="4594" spans="12:16" ht="15.75" customHeight="1" x14ac:dyDescent="0.3">
      <c r="L4594" s="6" t="s">
        <v>212</v>
      </c>
      <c r="M4594" s="6" t="s">
        <v>515</v>
      </c>
      <c r="N4594" s="6" t="s">
        <v>29</v>
      </c>
      <c r="O4594" s="6" t="s">
        <v>125</v>
      </c>
      <c r="P4594" s="19">
        <v>4</v>
      </c>
    </row>
    <row r="4595" spans="12:16" ht="15.75" customHeight="1" x14ac:dyDescent="0.3">
      <c r="L4595" s="6" t="s">
        <v>212</v>
      </c>
      <c r="M4595" s="6" t="s">
        <v>515</v>
      </c>
      <c r="N4595" s="6" t="s">
        <v>135</v>
      </c>
      <c r="O4595" s="6" t="s">
        <v>136</v>
      </c>
      <c r="P4595" s="19">
        <v>1</v>
      </c>
    </row>
    <row r="4596" spans="12:16" ht="15.75" customHeight="1" x14ac:dyDescent="0.3">
      <c r="L4596" s="6" t="s">
        <v>212</v>
      </c>
      <c r="M4596" s="6" t="s">
        <v>515</v>
      </c>
      <c r="N4596" s="6" t="s">
        <v>138</v>
      </c>
      <c r="O4596" s="6" t="s">
        <v>139</v>
      </c>
      <c r="P4596" s="19">
        <v>0</v>
      </c>
    </row>
    <row r="4597" spans="12:16" ht="15.75" customHeight="1" x14ac:dyDescent="0.3">
      <c r="L4597" s="6" t="s">
        <v>212</v>
      </c>
      <c r="M4597" s="6" t="s">
        <v>515</v>
      </c>
      <c r="N4597" s="6" t="s">
        <v>30</v>
      </c>
      <c r="O4597" s="6" t="s">
        <v>148</v>
      </c>
      <c r="P4597" s="17">
        <v>77.466999999999999</v>
      </c>
    </row>
    <row r="4598" spans="12:16" ht="15.75" customHeight="1" x14ac:dyDescent="0.3">
      <c r="L4598" s="6" t="s">
        <v>212</v>
      </c>
      <c r="M4598" s="6" t="s">
        <v>515</v>
      </c>
      <c r="N4598" s="6" t="s">
        <v>156</v>
      </c>
      <c r="O4598" s="6" t="s">
        <v>157</v>
      </c>
      <c r="P4598" s="19">
        <v>0</v>
      </c>
    </row>
    <row r="4599" spans="12:16" ht="15.75" customHeight="1" x14ac:dyDescent="0.3">
      <c r="L4599" s="6" t="s">
        <v>212</v>
      </c>
      <c r="M4599" s="6" t="s">
        <v>515</v>
      </c>
      <c r="N4599" s="6" t="s">
        <v>158</v>
      </c>
      <c r="O4599" s="6" t="s">
        <v>159</v>
      </c>
      <c r="P4599" s="19">
        <v>1</v>
      </c>
    </row>
    <row r="4600" spans="12:16" ht="15.75" customHeight="1" x14ac:dyDescent="0.3">
      <c r="L4600" s="6" t="s">
        <v>212</v>
      </c>
      <c r="M4600" s="6" t="s">
        <v>515</v>
      </c>
      <c r="N4600" s="6" t="s">
        <v>160</v>
      </c>
      <c r="O4600" s="6" t="s">
        <v>161</v>
      </c>
      <c r="P4600" s="19">
        <v>2</v>
      </c>
    </row>
    <row r="4601" spans="12:16" ht="15.75" customHeight="1" x14ac:dyDescent="0.3">
      <c r="L4601" s="6" t="s">
        <v>212</v>
      </c>
      <c r="M4601" s="6" t="s">
        <v>515</v>
      </c>
      <c r="N4601" s="6" t="s">
        <v>162</v>
      </c>
      <c r="O4601" s="6" t="s">
        <v>163</v>
      </c>
      <c r="P4601" s="19">
        <v>0</v>
      </c>
    </row>
    <row r="4602" spans="12:16" ht="15.75" customHeight="1" x14ac:dyDescent="0.3">
      <c r="L4602" s="6" t="s">
        <v>212</v>
      </c>
      <c r="M4602" s="6" t="s">
        <v>515</v>
      </c>
      <c r="N4602" s="6" t="s">
        <v>165</v>
      </c>
      <c r="O4602" s="6" t="s">
        <v>166</v>
      </c>
      <c r="P4602" s="19">
        <v>0</v>
      </c>
    </row>
    <row r="4603" spans="12:16" ht="15.75" customHeight="1" x14ac:dyDescent="0.3">
      <c r="L4603" s="6" t="s">
        <v>212</v>
      </c>
      <c r="M4603" s="6" t="s">
        <v>517</v>
      </c>
      <c r="N4603" s="6" t="s">
        <v>72</v>
      </c>
      <c r="O4603" s="6" t="s">
        <v>75</v>
      </c>
      <c r="P4603" s="19">
        <v>0</v>
      </c>
    </row>
    <row r="4604" spans="12:16" ht="15.75" customHeight="1" x14ac:dyDescent="0.3">
      <c r="L4604" s="6" t="s">
        <v>212</v>
      </c>
      <c r="M4604" s="6" t="s">
        <v>517</v>
      </c>
      <c r="N4604" s="6" t="s">
        <v>83</v>
      </c>
      <c r="O4604" s="6" t="s">
        <v>84</v>
      </c>
      <c r="P4604" s="19">
        <v>0</v>
      </c>
    </row>
    <row r="4605" spans="12:16" ht="15.75" customHeight="1" x14ac:dyDescent="0.3">
      <c r="L4605" s="6" t="s">
        <v>212</v>
      </c>
      <c r="M4605" s="6" t="s">
        <v>517</v>
      </c>
      <c r="N4605" s="6" t="s">
        <v>88</v>
      </c>
      <c r="O4605" s="6" t="s">
        <v>90</v>
      </c>
      <c r="P4605" s="19">
        <v>0</v>
      </c>
    </row>
    <row r="4606" spans="12:16" ht="15.75" customHeight="1" x14ac:dyDescent="0.3">
      <c r="L4606" s="6" t="s">
        <v>212</v>
      </c>
      <c r="M4606" s="6" t="s">
        <v>517</v>
      </c>
      <c r="N4606" s="6" t="s">
        <v>96</v>
      </c>
      <c r="O4606" s="6" t="s">
        <v>97</v>
      </c>
      <c r="P4606" s="19">
        <v>0</v>
      </c>
    </row>
    <row r="4607" spans="12:16" ht="15.75" customHeight="1" x14ac:dyDescent="0.3">
      <c r="L4607" s="6" t="s">
        <v>212</v>
      </c>
      <c r="M4607" s="6" t="s">
        <v>517</v>
      </c>
      <c r="N4607" s="6" t="s">
        <v>100</v>
      </c>
      <c r="O4607" s="6" t="s">
        <v>101</v>
      </c>
      <c r="P4607" s="19">
        <v>0</v>
      </c>
    </row>
    <row r="4608" spans="12:16" ht="15.75" customHeight="1" x14ac:dyDescent="0.3">
      <c r="L4608" s="6" t="s">
        <v>212</v>
      </c>
      <c r="M4608" s="6" t="s">
        <v>517</v>
      </c>
      <c r="N4608" s="6" t="s">
        <v>22</v>
      </c>
      <c r="O4608" s="6" t="s">
        <v>104</v>
      </c>
      <c r="P4608" s="17">
        <v>1.5</v>
      </c>
    </row>
    <row r="4609" spans="12:16" ht="15.75" customHeight="1" x14ac:dyDescent="0.3">
      <c r="L4609" s="6" t="s">
        <v>212</v>
      </c>
      <c r="M4609" s="6" t="s">
        <v>517</v>
      </c>
      <c r="N4609" s="6" t="s">
        <v>23</v>
      </c>
      <c r="O4609" s="6" t="s">
        <v>107</v>
      </c>
      <c r="P4609" s="17">
        <v>33.688299999999998</v>
      </c>
    </row>
    <row r="4610" spans="12:16" ht="15.75" customHeight="1" x14ac:dyDescent="0.3">
      <c r="L4610" s="6" t="s">
        <v>212</v>
      </c>
      <c r="M4610" s="6" t="s">
        <v>517</v>
      </c>
      <c r="N4610" s="6" t="s">
        <v>24</v>
      </c>
      <c r="O4610" s="6" t="s">
        <v>109</v>
      </c>
      <c r="P4610" s="17">
        <v>3.5000000000000001E-3</v>
      </c>
    </row>
    <row r="4611" spans="12:16" ht="15.75" customHeight="1" x14ac:dyDescent="0.3">
      <c r="L4611" s="6" t="s">
        <v>212</v>
      </c>
      <c r="M4611" s="6" t="s">
        <v>517</v>
      </c>
      <c r="N4611" s="6" t="s">
        <v>25</v>
      </c>
      <c r="O4611" s="6" t="s">
        <v>111</v>
      </c>
      <c r="P4611" s="19">
        <v>8</v>
      </c>
    </row>
    <row r="4612" spans="12:16" ht="15.75" customHeight="1" x14ac:dyDescent="0.3">
      <c r="L4612" s="6" t="s">
        <v>212</v>
      </c>
      <c r="M4612" s="6" t="s">
        <v>517</v>
      </c>
      <c r="N4612" s="6" t="s">
        <v>26</v>
      </c>
      <c r="O4612" s="6" t="s">
        <v>113</v>
      </c>
      <c r="P4612" s="19">
        <v>7</v>
      </c>
    </row>
    <row r="4613" spans="12:16" ht="15.75" customHeight="1" x14ac:dyDescent="0.3">
      <c r="L4613" s="6" t="s">
        <v>212</v>
      </c>
      <c r="M4613" s="6" t="s">
        <v>517</v>
      </c>
      <c r="N4613" s="6" t="s">
        <v>27</v>
      </c>
      <c r="O4613" s="6" t="s">
        <v>117</v>
      </c>
      <c r="P4613" s="17">
        <v>22.4588</v>
      </c>
    </row>
    <row r="4614" spans="12:16" ht="15.75" customHeight="1" x14ac:dyDescent="0.3">
      <c r="L4614" s="6" t="s">
        <v>212</v>
      </c>
      <c r="M4614" s="6" t="s">
        <v>517</v>
      </c>
      <c r="N4614" s="6" t="s">
        <v>29</v>
      </c>
      <c r="O4614" s="6" t="s">
        <v>125</v>
      </c>
      <c r="P4614" s="19">
        <v>4</v>
      </c>
    </row>
    <row r="4615" spans="12:16" ht="15.75" customHeight="1" x14ac:dyDescent="0.3">
      <c r="L4615" s="6" t="s">
        <v>212</v>
      </c>
      <c r="M4615" s="6" t="s">
        <v>517</v>
      </c>
      <c r="N4615" s="6" t="s">
        <v>135</v>
      </c>
      <c r="O4615" s="6" t="s">
        <v>136</v>
      </c>
      <c r="P4615" s="19">
        <v>1</v>
      </c>
    </row>
    <row r="4616" spans="12:16" ht="15.75" customHeight="1" x14ac:dyDescent="0.3">
      <c r="L4616" s="6" t="s">
        <v>212</v>
      </c>
      <c r="M4616" s="6" t="s">
        <v>517</v>
      </c>
      <c r="N4616" s="6" t="s">
        <v>138</v>
      </c>
      <c r="O4616" s="6" t="s">
        <v>139</v>
      </c>
      <c r="P4616" s="19">
        <v>0</v>
      </c>
    </row>
    <row r="4617" spans="12:16" ht="15.75" customHeight="1" x14ac:dyDescent="0.3">
      <c r="L4617" s="6" t="s">
        <v>212</v>
      </c>
      <c r="M4617" s="6" t="s">
        <v>517</v>
      </c>
      <c r="N4617" s="6" t="s">
        <v>30</v>
      </c>
      <c r="O4617" s="6" t="s">
        <v>148</v>
      </c>
      <c r="P4617" s="17">
        <v>77.466999999999999</v>
      </c>
    </row>
    <row r="4618" spans="12:16" ht="15.75" customHeight="1" x14ac:dyDescent="0.3">
      <c r="L4618" s="6" t="s">
        <v>212</v>
      </c>
      <c r="M4618" s="6" t="s">
        <v>517</v>
      </c>
      <c r="N4618" s="6" t="s">
        <v>156</v>
      </c>
      <c r="O4618" s="6" t="s">
        <v>157</v>
      </c>
      <c r="P4618" s="19">
        <v>0</v>
      </c>
    </row>
    <row r="4619" spans="12:16" ht="15.75" customHeight="1" x14ac:dyDescent="0.3">
      <c r="L4619" s="6" t="s">
        <v>212</v>
      </c>
      <c r="M4619" s="6" t="s">
        <v>517</v>
      </c>
      <c r="N4619" s="6" t="s">
        <v>158</v>
      </c>
      <c r="O4619" s="6" t="s">
        <v>159</v>
      </c>
      <c r="P4619" s="19">
        <v>1</v>
      </c>
    </row>
    <row r="4620" spans="12:16" ht="15.75" customHeight="1" x14ac:dyDescent="0.3">
      <c r="L4620" s="6" t="s">
        <v>212</v>
      </c>
      <c r="M4620" s="6" t="s">
        <v>517</v>
      </c>
      <c r="N4620" s="6" t="s">
        <v>160</v>
      </c>
      <c r="O4620" s="6" t="s">
        <v>161</v>
      </c>
      <c r="P4620" s="19">
        <v>2</v>
      </c>
    </row>
    <row r="4621" spans="12:16" ht="15.75" customHeight="1" x14ac:dyDescent="0.3">
      <c r="L4621" s="6" t="s">
        <v>212</v>
      </c>
      <c r="M4621" s="6" t="s">
        <v>517</v>
      </c>
      <c r="N4621" s="6" t="s">
        <v>162</v>
      </c>
      <c r="O4621" s="6" t="s">
        <v>163</v>
      </c>
      <c r="P4621" s="19">
        <v>0</v>
      </c>
    </row>
    <row r="4622" spans="12:16" ht="15.75" customHeight="1" x14ac:dyDescent="0.3">
      <c r="L4622" s="6" t="s">
        <v>212</v>
      </c>
      <c r="M4622" s="6" t="s">
        <v>517</v>
      </c>
      <c r="N4622" s="6" t="s">
        <v>165</v>
      </c>
      <c r="O4622" s="6" t="s">
        <v>166</v>
      </c>
      <c r="P4622" s="19">
        <v>0</v>
      </c>
    </row>
  </sheetData>
  <autoFilter ref="A2:P4622" xr:uid="{00000000-0009-0000-0000-000000000000}"/>
  <mergeCells count="4">
    <mergeCell ref="A1:C1"/>
    <mergeCell ref="D1:G1"/>
    <mergeCell ref="H1:K1"/>
    <mergeCell ref="L1:P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tabSelected="1" workbookViewId="0">
      <pane ySplit="4" topLeftCell="A5" activePane="bottomLeft" state="frozen"/>
      <selection pane="bottomLeft" activeCell="J12" sqref="J12"/>
    </sheetView>
  </sheetViews>
  <sheetFormatPr defaultColWidth="14.44140625" defaultRowHeight="15" customHeight="1" x14ac:dyDescent="0.3"/>
  <cols>
    <col min="1" max="1" width="38" customWidth="1"/>
    <col min="2" max="3" width="16" customWidth="1"/>
    <col min="4" max="26" width="8.6640625" customWidth="1"/>
  </cols>
  <sheetData>
    <row r="1" spans="1:3" ht="21.75" customHeight="1" x14ac:dyDescent="0.3">
      <c r="A1" s="1" t="s">
        <v>0</v>
      </c>
    </row>
    <row r="2" spans="1:3" ht="14.4" x14ac:dyDescent="0.3">
      <c r="A2" s="2" t="s">
        <v>3</v>
      </c>
    </row>
    <row r="4" spans="1:3" ht="14.4" x14ac:dyDescent="0.3">
      <c r="A4" s="4" t="s">
        <v>6</v>
      </c>
      <c r="B4" s="4" t="s">
        <v>8</v>
      </c>
      <c r="C4" s="4" t="s">
        <v>9</v>
      </c>
    </row>
    <row r="5" spans="1:3" ht="14.4" x14ac:dyDescent="0.3">
      <c r="A5" s="6" t="s">
        <v>10</v>
      </c>
      <c r="B5" s="8" t="s">
        <v>13</v>
      </c>
      <c r="C5" s="10">
        <v>0.7238</v>
      </c>
    </row>
    <row r="6" spans="1:3" ht="14.4" x14ac:dyDescent="0.3">
      <c r="A6" s="12" t="s">
        <v>16</v>
      </c>
      <c r="B6" s="14" t="s">
        <v>19</v>
      </c>
      <c r="C6" s="15">
        <v>0.441</v>
      </c>
    </row>
    <row r="7" spans="1:3" ht="14.4" x14ac:dyDescent="0.3">
      <c r="A7" s="6" t="s">
        <v>33</v>
      </c>
      <c r="B7" s="8" t="s">
        <v>35</v>
      </c>
      <c r="C7" s="10">
        <v>0.16669999999999999</v>
      </c>
    </row>
    <row r="8" spans="1:3" ht="14.4" x14ac:dyDescent="0.3">
      <c r="A8" s="12" t="s">
        <v>38</v>
      </c>
      <c r="B8" s="14" t="s">
        <v>38</v>
      </c>
      <c r="C8" s="15">
        <v>2.7307000000000001</v>
      </c>
    </row>
    <row r="9" spans="1:3" ht="14.4" x14ac:dyDescent="0.3">
      <c r="A9" s="6" t="s">
        <v>41</v>
      </c>
      <c r="B9" s="8" t="s">
        <v>41</v>
      </c>
      <c r="C9" s="10">
        <v>2.7385999999999999</v>
      </c>
    </row>
    <row r="10" spans="1:3" ht="14.4" x14ac:dyDescent="0.3">
      <c r="A10" s="12" t="s">
        <v>43</v>
      </c>
      <c r="B10" s="14" t="s">
        <v>43</v>
      </c>
      <c r="C10" s="15">
        <v>5.8266999999999998</v>
      </c>
    </row>
    <row r="11" spans="1:3" ht="14.4" x14ac:dyDescent="0.3">
      <c r="A11" s="6" t="s">
        <v>44</v>
      </c>
      <c r="B11" s="8" t="s">
        <v>44</v>
      </c>
      <c r="C11" s="10">
        <v>3.2770000000000001</v>
      </c>
    </row>
    <row r="12" spans="1:3" ht="14.4" x14ac:dyDescent="0.3">
      <c r="A12" s="12" t="s">
        <v>22</v>
      </c>
      <c r="B12" s="14" t="s">
        <v>46</v>
      </c>
      <c r="C12" s="15">
        <v>1196.7929999999999</v>
      </c>
    </row>
    <row r="13" spans="1:3" ht="14.4" x14ac:dyDescent="0.3">
      <c r="A13" s="6" t="s">
        <v>23</v>
      </c>
      <c r="B13" s="8" t="s">
        <v>47</v>
      </c>
      <c r="C13" s="10">
        <v>2862195.0251000002</v>
      </c>
    </row>
    <row r="14" spans="1:3" ht="14.4" x14ac:dyDescent="0.3">
      <c r="A14" s="12" t="s">
        <v>24</v>
      </c>
      <c r="B14" s="14" t="s">
        <v>48</v>
      </c>
      <c r="C14" s="15">
        <v>15.613200000000001</v>
      </c>
    </row>
    <row r="15" spans="1:3" ht="14.4" x14ac:dyDescent="0.3">
      <c r="A15" s="6" t="s">
        <v>25</v>
      </c>
      <c r="B15" s="8" t="s">
        <v>49</v>
      </c>
      <c r="C15" s="16">
        <v>5236</v>
      </c>
    </row>
    <row r="16" spans="1:3" ht="14.4" x14ac:dyDescent="0.3">
      <c r="A16" s="12" t="s">
        <v>26</v>
      </c>
      <c r="B16" s="14" t="s">
        <v>51</v>
      </c>
      <c r="C16" s="18">
        <v>1696</v>
      </c>
    </row>
    <row r="17" spans="1:3" ht="14.4" x14ac:dyDescent="0.3">
      <c r="A17" s="6" t="s">
        <v>27</v>
      </c>
      <c r="B17" s="8" t="s">
        <v>63</v>
      </c>
      <c r="C17" s="10">
        <v>34666.675799999997</v>
      </c>
    </row>
    <row r="18" spans="1:3" ht="14.4" x14ac:dyDescent="0.3">
      <c r="A18" s="12" t="s">
        <v>29</v>
      </c>
      <c r="B18" s="14" t="s">
        <v>66</v>
      </c>
      <c r="C18" s="18">
        <v>2464</v>
      </c>
    </row>
    <row r="19" spans="1:3" ht="14.4" x14ac:dyDescent="0.3">
      <c r="A19" s="6" t="s">
        <v>30</v>
      </c>
      <c r="B19" s="8" t="s">
        <v>74</v>
      </c>
      <c r="C19" s="16">
        <v>0</v>
      </c>
    </row>
    <row r="20" spans="1:3" ht="14.4" x14ac:dyDescent="0.3">
      <c r="A20" s="12" t="s">
        <v>78</v>
      </c>
      <c r="B20" s="14" t="s">
        <v>79</v>
      </c>
      <c r="C20" s="15">
        <v>0.16109999999999999</v>
      </c>
    </row>
    <row r="21" spans="1:3" ht="15.75" customHeight="1" x14ac:dyDescent="0.3">
      <c r="A21" s="6" t="s">
        <v>80</v>
      </c>
      <c r="B21" s="8" t="s">
        <v>81</v>
      </c>
      <c r="C21" s="10">
        <v>0.30420000000000003</v>
      </c>
    </row>
    <row r="22" spans="1:3" ht="15.75" customHeight="1" x14ac:dyDescent="0.3">
      <c r="A22" s="12" t="s">
        <v>31</v>
      </c>
      <c r="B22" s="14" t="s">
        <v>68</v>
      </c>
      <c r="C22" s="18">
        <v>1352</v>
      </c>
    </row>
    <row r="23" spans="1:3" ht="15.75" customHeight="1" x14ac:dyDescent="0.3">
      <c r="A23" s="6" t="s">
        <v>34</v>
      </c>
      <c r="B23" s="8" t="s">
        <v>71</v>
      </c>
      <c r="C23" s="16">
        <v>1</v>
      </c>
    </row>
    <row r="24" spans="1:3" ht="15.75" customHeight="1" x14ac:dyDescent="0.3">
      <c r="A24" s="12" t="s">
        <v>37</v>
      </c>
      <c r="B24" s="14" t="s">
        <v>73</v>
      </c>
      <c r="C24" s="18">
        <v>32</v>
      </c>
    </row>
    <row r="25" spans="1:3" ht="15.75" customHeight="1" x14ac:dyDescent="0.3">
      <c r="A25" s="6" t="s">
        <v>39</v>
      </c>
      <c r="B25" s="8" t="s">
        <v>76</v>
      </c>
      <c r="C25" s="16">
        <v>5</v>
      </c>
    </row>
    <row r="26" spans="1:3" ht="15.75" customHeight="1" x14ac:dyDescent="0.3">
      <c r="A26" s="12" t="s">
        <v>40</v>
      </c>
      <c r="B26" s="14" t="s">
        <v>77</v>
      </c>
      <c r="C26" s="18">
        <v>9</v>
      </c>
    </row>
    <row r="27" spans="1:3" ht="15.75" customHeight="1" x14ac:dyDescent="0.3">
      <c r="A27" s="6" t="s">
        <v>87</v>
      </c>
      <c r="B27" s="8" t="s">
        <v>89</v>
      </c>
      <c r="C27" s="10">
        <v>0.44740000000000002</v>
      </c>
    </row>
    <row r="28" spans="1:3" ht="15.75" customHeight="1" x14ac:dyDescent="0.3">
      <c r="A28" s="12" t="s">
        <v>91</v>
      </c>
      <c r="B28" s="14" t="s">
        <v>91</v>
      </c>
      <c r="C28" s="15">
        <v>2.1429</v>
      </c>
    </row>
    <row r="29" spans="1:3" ht="15.75" customHeight="1" x14ac:dyDescent="0.3">
      <c r="A29" s="6" t="s">
        <v>92</v>
      </c>
      <c r="B29" s="8" t="s">
        <v>92</v>
      </c>
      <c r="C29" s="10">
        <v>-3.552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4.44140625" defaultRowHeight="15" customHeight="1" x14ac:dyDescent="0.3"/>
  <cols>
    <col min="1" max="1" width="16" customWidth="1"/>
    <col min="2" max="5" width="11" customWidth="1"/>
    <col min="6" max="6" width="13" customWidth="1"/>
    <col min="7" max="19" width="11" customWidth="1"/>
    <col min="20" max="26" width="8.6640625" customWidth="1"/>
  </cols>
  <sheetData>
    <row r="1" spans="1:19" ht="21.75" customHeight="1" x14ac:dyDescent="0.3">
      <c r="A1" s="1" t="s">
        <v>1</v>
      </c>
    </row>
    <row r="2" spans="1:19" ht="14.4" x14ac:dyDescent="0.3">
      <c r="A2" s="2" t="s">
        <v>4</v>
      </c>
      <c r="F2" s="3" t="s">
        <v>5</v>
      </c>
      <c r="G2" s="5" t="s">
        <v>7</v>
      </c>
      <c r="I2" s="7" t="s">
        <v>12</v>
      </c>
      <c r="K2" s="9" t="s">
        <v>14</v>
      </c>
    </row>
    <row r="4" spans="1:19" ht="36" customHeight="1" x14ac:dyDescent="0.3">
      <c r="A4" s="11"/>
      <c r="B4" s="13" t="s">
        <v>18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  <c r="I4" s="13" t="s">
        <v>26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34</v>
      </c>
      <c r="Q4" s="13" t="s">
        <v>37</v>
      </c>
      <c r="R4" s="13" t="s">
        <v>39</v>
      </c>
      <c r="S4" s="13" t="s">
        <v>40</v>
      </c>
    </row>
    <row r="5" spans="1:19" ht="14.4" x14ac:dyDescent="0.3">
      <c r="A5" s="4" t="s">
        <v>36</v>
      </c>
      <c r="B5" s="4" t="s">
        <v>52</v>
      </c>
      <c r="C5" s="4" t="s">
        <v>53</v>
      </c>
      <c r="D5" s="4" t="s">
        <v>54</v>
      </c>
      <c r="E5" s="4" t="s">
        <v>56</v>
      </c>
      <c r="F5" s="4" t="s">
        <v>57</v>
      </c>
      <c r="G5" s="4" t="s">
        <v>59</v>
      </c>
      <c r="H5" s="4" t="s">
        <v>61</v>
      </c>
      <c r="I5" s="4" t="s">
        <v>62</v>
      </c>
      <c r="J5" s="4" t="s">
        <v>64</v>
      </c>
      <c r="K5" s="4" t="s">
        <v>65</v>
      </c>
      <c r="L5" s="4" t="s">
        <v>66</v>
      </c>
      <c r="M5" s="4" t="s">
        <v>67</v>
      </c>
      <c r="N5" s="4" t="s">
        <v>68</v>
      </c>
      <c r="O5" s="4" t="s">
        <v>69</v>
      </c>
      <c r="P5" s="4" t="s">
        <v>71</v>
      </c>
      <c r="Q5" s="4" t="s">
        <v>73</v>
      </c>
      <c r="R5" s="4" t="s">
        <v>76</v>
      </c>
      <c r="S5" s="4" t="s">
        <v>77</v>
      </c>
    </row>
    <row r="6" spans="1:19" ht="14.4" x14ac:dyDescent="0.3">
      <c r="A6" s="8" t="s">
        <v>50</v>
      </c>
      <c r="B6" s="20">
        <v>0.23080000000000001</v>
      </c>
      <c r="C6" s="19">
        <v>4</v>
      </c>
      <c r="D6" s="19">
        <v>0</v>
      </c>
      <c r="E6" s="20">
        <v>969.30420000000004</v>
      </c>
      <c r="F6" s="21">
        <v>2521861.5849000001</v>
      </c>
      <c r="G6" s="20">
        <v>13.1744</v>
      </c>
      <c r="H6" s="19">
        <v>4315</v>
      </c>
      <c r="I6" s="19">
        <v>1327</v>
      </c>
      <c r="J6" s="20">
        <v>28958.3717</v>
      </c>
      <c r="K6" s="19">
        <v>0</v>
      </c>
      <c r="L6" s="19">
        <v>2070</v>
      </c>
      <c r="M6" s="20">
        <v>0</v>
      </c>
      <c r="N6" s="19">
        <v>1110</v>
      </c>
      <c r="O6" s="20">
        <v>0.76919999999999999</v>
      </c>
      <c r="P6" s="19">
        <v>1</v>
      </c>
      <c r="Q6" s="19">
        <v>16</v>
      </c>
      <c r="R6" s="19">
        <v>5</v>
      </c>
      <c r="S6" s="19">
        <v>0</v>
      </c>
    </row>
    <row r="7" spans="1:19" ht="14.4" x14ac:dyDescent="0.3">
      <c r="A7" s="14" t="s">
        <v>95</v>
      </c>
      <c r="B7" s="22">
        <v>0</v>
      </c>
      <c r="C7" s="23">
        <v>0</v>
      </c>
      <c r="D7" s="23">
        <v>4</v>
      </c>
      <c r="E7" s="22">
        <v>227.48869999999999</v>
      </c>
      <c r="F7" s="24">
        <v>340333.44020000001</v>
      </c>
      <c r="G7" s="22">
        <v>2.4388000000000001</v>
      </c>
      <c r="H7" s="23">
        <v>921</v>
      </c>
      <c r="I7" s="23">
        <v>369</v>
      </c>
      <c r="J7" s="22">
        <v>5708.3041000000003</v>
      </c>
      <c r="K7" s="23">
        <v>1</v>
      </c>
      <c r="L7" s="23">
        <v>369</v>
      </c>
      <c r="M7" s="22">
        <v>17.0977</v>
      </c>
      <c r="N7" s="23">
        <v>236</v>
      </c>
      <c r="O7" s="22">
        <v>0</v>
      </c>
      <c r="P7" s="23">
        <v>0</v>
      </c>
      <c r="Q7" s="23">
        <v>7</v>
      </c>
      <c r="R7" s="23">
        <v>0</v>
      </c>
      <c r="S7" s="23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6:C7">
    <cfRule type="expression" dxfId="71" priority="1">
      <formula>AND(ISNUMBER(C6),C6&gt;65)</formula>
    </cfRule>
    <cfRule type="expression" dxfId="70" priority="2">
      <formula>AND(ISNUMBER(C6),C6&gt;40)</formula>
    </cfRule>
    <cfRule type="expression" dxfId="69" priority="3">
      <formula>AND(ISNUMBER(C6),C6&gt;8)</formula>
    </cfRule>
  </conditionalFormatting>
  <conditionalFormatting sqref="D6:D7">
    <cfRule type="expression" dxfId="68" priority="4">
      <formula>AND(ISNUMBER(D6),D6&gt;33)</formula>
    </cfRule>
    <cfRule type="expression" dxfId="67" priority="5">
      <formula>AND(ISNUMBER(D6),D6&gt;17)</formula>
    </cfRule>
    <cfRule type="expression" dxfId="66" priority="6">
      <formula>AND(ISNUMBER(D6),D6&gt;7)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showGridLines="0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4140625" defaultRowHeight="15" customHeight="1" x14ac:dyDescent="0.3"/>
  <cols>
    <col min="1" max="1" width="12" customWidth="1"/>
    <col min="2" max="2" width="28" customWidth="1"/>
    <col min="3" max="8" width="11" customWidth="1"/>
    <col min="9" max="9" width="13" customWidth="1"/>
    <col min="10" max="31" width="11" customWidth="1"/>
  </cols>
  <sheetData>
    <row r="1" spans="1:31" ht="21.75" customHeight="1" x14ac:dyDescent="0.3">
      <c r="A1" s="1" t="s">
        <v>102</v>
      </c>
    </row>
    <row r="2" spans="1:31" ht="14.4" x14ac:dyDescent="0.3">
      <c r="A2" s="2" t="s">
        <v>105</v>
      </c>
      <c r="F2" s="3" t="s">
        <v>5</v>
      </c>
      <c r="G2" s="5" t="s">
        <v>7</v>
      </c>
      <c r="I2" s="7" t="s">
        <v>12</v>
      </c>
      <c r="K2" s="9" t="s">
        <v>14</v>
      </c>
    </row>
    <row r="4" spans="1:31" ht="36" customHeight="1" x14ac:dyDescent="0.3">
      <c r="A4" s="11"/>
      <c r="B4" s="11"/>
      <c r="C4" s="13" t="s">
        <v>58</v>
      </c>
      <c r="D4" s="13" t="s">
        <v>72</v>
      </c>
      <c r="E4" s="13" t="s">
        <v>85</v>
      </c>
      <c r="F4" s="13" t="s">
        <v>93</v>
      </c>
      <c r="G4" s="13" t="s">
        <v>98</v>
      </c>
      <c r="H4" s="13" t="s">
        <v>22</v>
      </c>
      <c r="I4" s="13" t="s">
        <v>23</v>
      </c>
      <c r="J4" s="13" t="s">
        <v>24</v>
      </c>
      <c r="K4" s="13" t="s">
        <v>25</v>
      </c>
      <c r="L4" s="13" t="s">
        <v>26</v>
      </c>
      <c r="M4" s="13" t="s">
        <v>27</v>
      </c>
      <c r="N4" s="13" t="s">
        <v>115</v>
      </c>
      <c r="O4" s="13" t="s">
        <v>116</v>
      </c>
      <c r="P4" s="13" t="s">
        <v>30</v>
      </c>
      <c r="Q4" s="13" t="s">
        <v>118</v>
      </c>
      <c r="R4" s="13" t="s">
        <v>31</v>
      </c>
      <c r="S4" s="13" t="s">
        <v>119</v>
      </c>
      <c r="T4" s="13" t="s">
        <v>120</v>
      </c>
      <c r="U4" s="13" t="s">
        <v>122</v>
      </c>
      <c r="V4" s="13" t="s">
        <v>123</v>
      </c>
      <c r="W4" s="13" t="s">
        <v>124</v>
      </c>
      <c r="X4" s="13" t="s">
        <v>126</v>
      </c>
      <c r="Y4" s="13" t="s">
        <v>127</v>
      </c>
      <c r="Z4" s="13" t="s">
        <v>128</v>
      </c>
      <c r="AA4" s="13" t="s">
        <v>129</v>
      </c>
      <c r="AB4" s="13" t="s">
        <v>130</v>
      </c>
      <c r="AC4" s="13" t="s">
        <v>131</v>
      </c>
      <c r="AD4" s="13" t="s">
        <v>133</v>
      </c>
      <c r="AE4" s="13" t="s">
        <v>134</v>
      </c>
    </row>
    <row r="5" spans="1:31" ht="14.4" x14ac:dyDescent="0.3">
      <c r="A5" s="4" t="s">
        <v>36</v>
      </c>
      <c r="B5" s="4" t="s">
        <v>42</v>
      </c>
      <c r="C5" s="4" t="s">
        <v>60</v>
      </c>
      <c r="D5" s="4" t="s">
        <v>82</v>
      </c>
      <c r="E5" s="4" t="s">
        <v>86</v>
      </c>
      <c r="F5" s="4" t="s">
        <v>94</v>
      </c>
      <c r="G5" s="4" t="s">
        <v>99</v>
      </c>
      <c r="H5" s="4" t="s">
        <v>103</v>
      </c>
      <c r="I5" s="4" t="s">
        <v>106</v>
      </c>
      <c r="J5" s="4" t="s">
        <v>108</v>
      </c>
      <c r="K5" s="4" t="s">
        <v>110</v>
      </c>
      <c r="L5" s="4" t="s">
        <v>112</v>
      </c>
      <c r="M5" s="4" t="s">
        <v>114</v>
      </c>
      <c r="N5" s="4" t="s">
        <v>121</v>
      </c>
      <c r="O5" s="4" t="s">
        <v>132</v>
      </c>
      <c r="P5" s="4" t="s">
        <v>137</v>
      </c>
      <c r="Q5" s="4" t="s">
        <v>140</v>
      </c>
      <c r="R5" s="4" t="s">
        <v>141</v>
      </c>
      <c r="S5" s="4" t="s">
        <v>142</v>
      </c>
      <c r="T5" s="4" t="s">
        <v>143</v>
      </c>
      <c r="U5" s="4" t="s">
        <v>144</v>
      </c>
      <c r="V5" s="4" t="s">
        <v>145</v>
      </c>
      <c r="W5" s="4" t="s">
        <v>146</v>
      </c>
      <c r="X5" s="4" t="s">
        <v>147</v>
      </c>
      <c r="Y5" s="4" t="s">
        <v>149</v>
      </c>
      <c r="Z5" s="4" t="s">
        <v>150</v>
      </c>
      <c r="AA5" s="4" t="s">
        <v>151</v>
      </c>
      <c r="AB5" s="4" t="s">
        <v>152</v>
      </c>
      <c r="AC5" s="4" t="s">
        <v>153</v>
      </c>
      <c r="AD5" s="4" t="s">
        <v>154</v>
      </c>
      <c r="AE5" s="4" t="s">
        <v>155</v>
      </c>
    </row>
    <row r="6" spans="1:31" ht="14.4" x14ac:dyDescent="0.3">
      <c r="A6" s="6" t="s">
        <v>50</v>
      </c>
      <c r="B6" s="8" t="s">
        <v>55</v>
      </c>
      <c r="C6" s="19">
        <v>0</v>
      </c>
      <c r="D6" s="19">
        <v>0</v>
      </c>
      <c r="E6" s="19">
        <v>4</v>
      </c>
      <c r="F6" s="19">
        <v>0</v>
      </c>
      <c r="G6" s="19">
        <v>2</v>
      </c>
      <c r="H6" s="20">
        <v>7.5</v>
      </c>
      <c r="I6" s="21">
        <v>485.43779999999998</v>
      </c>
      <c r="J6" s="20">
        <v>2.06E-2</v>
      </c>
      <c r="K6" s="19">
        <v>17</v>
      </c>
      <c r="L6" s="19">
        <v>14</v>
      </c>
      <c r="M6" s="20">
        <v>64.724999999999994</v>
      </c>
      <c r="N6" s="19">
        <v>0</v>
      </c>
      <c r="O6" s="19">
        <v>11</v>
      </c>
      <c r="P6" s="20">
        <v>64.636200000000002</v>
      </c>
      <c r="Q6" s="19">
        <v>5</v>
      </c>
      <c r="R6" s="19">
        <v>2</v>
      </c>
      <c r="S6" s="19">
        <v>0</v>
      </c>
      <c r="T6" s="19">
        <v>0</v>
      </c>
      <c r="U6" s="19">
        <v>10</v>
      </c>
      <c r="V6" s="19">
        <v>55</v>
      </c>
      <c r="W6" s="19">
        <v>0</v>
      </c>
      <c r="X6" s="19">
        <v>1</v>
      </c>
      <c r="Y6" s="19">
        <v>51</v>
      </c>
      <c r="Z6" s="19">
        <v>0</v>
      </c>
      <c r="AA6" s="19">
        <v>0</v>
      </c>
      <c r="AB6" s="19">
        <v>7</v>
      </c>
      <c r="AC6" s="20">
        <v>0</v>
      </c>
      <c r="AD6" s="20">
        <v>0</v>
      </c>
      <c r="AE6" s="19">
        <v>1</v>
      </c>
    </row>
    <row r="7" spans="1:31" ht="14.4" x14ac:dyDescent="0.3">
      <c r="A7" s="12" t="s">
        <v>50</v>
      </c>
      <c r="B7" s="14" t="s">
        <v>164</v>
      </c>
      <c r="C7" s="23">
        <v>6</v>
      </c>
      <c r="D7" s="23">
        <v>6</v>
      </c>
      <c r="E7" s="23">
        <v>4</v>
      </c>
      <c r="F7" s="23">
        <v>2</v>
      </c>
      <c r="G7" s="23">
        <v>5</v>
      </c>
      <c r="H7" s="22">
        <v>99.366699999999994</v>
      </c>
      <c r="I7" s="24">
        <v>329356.54100000003</v>
      </c>
      <c r="J7" s="22">
        <v>1.5896999999999999</v>
      </c>
      <c r="K7" s="23">
        <v>472</v>
      </c>
      <c r="L7" s="23">
        <v>130</v>
      </c>
      <c r="M7" s="22">
        <v>3314.5576000000001</v>
      </c>
      <c r="N7" s="23">
        <v>1</v>
      </c>
      <c r="O7" s="23">
        <v>94</v>
      </c>
      <c r="P7" s="22">
        <v>31.998999999999999</v>
      </c>
      <c r="Q7" s="23">
        <v>56</v>
      </c>
      <c r="R7" s="23">
        <v>82</v>
      </c>
      <c r="S7" s="23">
        <v>0</v>
      </c>
      <c r="T7" s="23">
        <v>3</v>
      </c>
      <c r="U7" s="23">
        <v>213</v>
      </c>
      <c r="V7" s="23">
        <v>798</v>
      </c>
      <c r="W7" s="23">
        <v>0</v>
      </c>
      <c r="X7" s="23">
        <v>5</v>
      </c>
      <c r="Y7" s="23">
        <v>713</v>
      </c>
      <c r="Z7" s="23">
        <v>1</v>
      </c>
      <c r="AA7" s="23">
        <v>0</v>
      </c>
      <c r="AB7" s="23">
        <v>37</v>
      </c>
      <c r="AC7" s="22">
        <v>0.5</v>
      </c>
      <c r="AD7" s="22">
        <v>1</v>
      </c>
      <c r="AE7" s="23">
        <v>10</v>
      </c>
    </row>
    <row r="8" spans="1:31" ht="14.4" x14ac:dyDescent="0.3">
      <c r="A8" s="6" t="s">
        <v>50</v>
      </c>
      <c r="B8" s="8" t="s">
        <v>168</v>
      </c>
      <c r="C8" s="19">
        <v>3</v>
      </c>
      <c r="D8" s="19">
        <v>21</v>
      </c>
      <c r="E8" s="19">
        <v>8</v>
      </c>
      <c r="F8" s="19">
        <v>0</v>
      </c>
      <c r="G8" s="19">
        <v>1</v>
      </c>
      <c r="H8" s="20">
        <v>62.739100000000001</v>
      </c>
      <c r="I8" s="21">
        <v>63742.026899999997</v>
      </c>
      <c r="J8" s="20">
        <v>0.53190000000000004</v>
      </c>
      <c r="K8" s="19">
        <v>172</v>
      </c>
      <c r="L8" s="19">
        <v>60</v>
      </c>
      <c r="M8" s="20">
        <v>1015.9852</v>
      </c>
      <c r="N8" s="19">
        <v>1</v>
      </c>
      <c r="O8" s="19">
        <v>71</v>
      </c>
      <c r="P8" s="20">
        <v>38.127200000000002</v>
      </c>
      <c r="Q8" s="19">
        <v>36</v>
      </c>
      <c r="R8" s="19">
        <v>48</v>
      </c>
      <c r="S8" s="19">
        <v>0</v>
      </c>
      <c r="T8" s="19">
        <v>4</v>
      </c>
      <c r="U8" s="19">
        <v>0</v>
      </c>
      <c r="V8" s="19">
        <v>18</v>
      </c>
      <c r="W8" s="25" t="s">
        <v>169</v>
      </c>
      <c r="X8" s="19">
        <v>5</v>
      </c>
      <c r="Y8" s="19">
        <v>18</v>
      </c>
      <c r="Z8" s="19">
        <v>0</v>
      </c>
      <c r="AA8" s="19">
        <v>0</v>
      </c>
      <c r="AB8" s="19">
        <v>20</v>
      </c>
      <c r="AC8" s="20">
        <v>0.33329999999999999</v>
      </c>
      <c r="AD8" s="20">
        <v>1</v>
      </c>
      <c r="AE8" s="19">
        <v>26</v>
      </c>
    </row>
    <row r="9" spans="1:31" ht="14.4" x14ac:dyDescent="0.3">
      <c r="A9" s="12" t="s">
        <v>50</v>
      </c>
      <c r="B9" s="14" t="s">
        <v>170</v>
      </c>
      <c r="C9" s="23">
        <v>1</v>
      </c>
      <c r="D9" s="23">
        <v>5</v>
      </c>
      <c r="E9" s="23">
        <v>4</v>
      </c>
      <c r="F9" s="23">
        <v>0</v>
      </c>
      <c r="G9" s="23">
        <v>2</v>
      </c>
      <c r="H9" s="22">
        <v>30</v>
      </c>
      <c r="I9" s="24">
        <v>14268.0854</v>
      </c>
      <c r="J9" s="22">
        <v>0.1961</v>
      </c>
      <c r="K9" s="23">
        <v>96</v>
      </c>
      <c r="L9" s="23">
        <v>31</v>
      </c>
      <c r="M9" s="22">
        <v>475.6028</v>
      </c>
      <c r="N9" s="23">
        <v>0</v>
      </c>
      <c r="O9" s="23">
        <v>27</v>
      </c>
      <c r="P9" s="22">
        <v>49.738500000000002</v>
      </c>
      <c r="Q9" s="23">
        <v>21</v>
      </c>
      <c r="R9" s="23">
        <v>26</v>
      </c>
      <c r="S9" s="23">
        <v>0</v>
      </c>
      <c r="T9" s="23">
        <v>0</v>
      </c>
      <c r="U9" s="23">
        <v>10</v>
      </c>
      <c r="V9" s="23">
        <v>55</v>
      </c>
      <c r="W9" s="23">
        <v>0</v>
      </c>
      <c r="X9" s="23">
        <v>1</v>
      </c>
      <c r="Y9" s="23">
        <v>51</v>
      </c>
      <c r="Z9" s="23">
        <v>0</v>
      </c>
      <c r="AA9" s="23">
        <v>0</v>
      </c>
      <c r="AB9" s="23">
        <v>8</v>
      </c>
      <c r="AC9" s="22">
        <v>0</v>
      </c>
      <c r="AD9" s="22">
        <v>0</v>
      </c>
      <c r="AE9" s="23">
        <v>9</v>
      </c>
    </row>
    <row r="10" spans="1:31" ht="14.4" x14ac:dyDescent="0.3">
      <c r="A10" s="6" t="s">
        <v>50</v>
      </c>
      <c r="B10" s="8" t="s">
        <v>171</v>
      </c>
      <c r="C10" s="19">
        <v>1</v>
      </c>
      <c r="D10" s="19">
        <v>5</v>
      </c>
      <c r="E10" s="19">
        <v>4</v>
      </c>
      <c r="F10" s="19">
        <v>0</v>
      </c>
      <c r="G10" s="19">
        <v>2</v>
      </c>
      <c r="H10" s="20">
        <v>30</v>
      </c>
      <c r="I10" s="21">
        <v>14268.0854</v>
      </c>
      <c r="J10" s="20">
        <v>0.1961</v>
      </c>
      <c r="K10" s="19">
        <v>96</v>
      </c>
      <c r="L10" s="19">
        <v>31</v>
      </c>
      <c r="M10" s="20">
        <v>475.6028</v>
      </c>
      <c r="N10" s="19">
        <v>0</v>
      </c>
      <c r="O10" s="19">
        <v>27</v>
      </c>
      <c r="P10" s="20">
        <v>49.738500000000002</v>
      </c>
      <c r="Q10" s="19">
        <v>21</v>
      </c>
      <c r="R10" s="19">
        <v>26</v>
      </c>
      <c r="S10" s="19">
        <v>0</v>
      </c>
      <c r="T10" s="19">
        <v>0</v>
      </c>
      <c r="U10" s="19">
        <v>10</v>
      </c>
      <c r="V10" s="19">
        <v>55</v>
      </c>
      <c r="W10" s="19">
        <v>0</v>
      </c>
      <c r="X10" s="19">
        <v>1</v>
      </c>
      <c r="Y10" s="19">
        <v>51</v>
      </c>
      <c r="Z10" s="19">
        <v>0</v>
      </c>
      <c r="AA10" s="19">
        <v>0</v>
      </c>
      <c r="AB10" s="19">
        <v>8</v>
      </c>
      <c r="AC10" s="20">
        <v>0</v>
      </c>
      <c r="AD10" s="20">
        <v>0</v>
      </c>
      <c r="AE10" s="19">
        <v>9</v>
      </c>
    </row>
    <row r="11" spans="1:31" ht="14.4" x14ac:dyDescent="0.3">
      <c r="A11" s="12" t="s">
        <v>50</v>
      </c>
      <c r="B11" s="14" t="s">
        <v>172</v>
      </c>
      <c r="C11" s="26" t="s">
        <v>169</v>
      </c>
      <c r="D11" s="23">
        <v>0</v>
      </c>
      <c r="E11" s="26" t="s">
        <v>169</v>
      </c>
      <c r="F11" s="26" t="s">
        <v>169</v>
      </c>
      <c r="G11" s="26" t="s">
        <v>169</v>
      </c>
      <c r="H11" s="26" t="s">
        <v>169</v>
      </c>
      <c r="I11" s="26" t="s">
        <v>169</v>
      </c>
      <c r="J11" s="26" t="s">
        <v>169</v>
      </c>
      <c r="K11" s="26" t="s">
        <v>169</v>
      </c>
      <c r="L11" s="26" t="s">
        <v>169</v>
      </c>
      <c r="M11" s="26" t="s">
        <v>169</v>
      </c>
      <c r="N11" s="26" t="s">
        <v>169</v>
      </c>
      <c r="O11" s="23">
        <v>9</v>
      </c>
      <c r="P11" s="26" t="s">
        <v>173</v>
      </c>
      <c r="Q11" s="26" t="s">
        <v>169</v>
      </c>
      <c r="R11" s="23">
        <v>2</v>
      </c>
      <c r="S11" s="26" t="s">
        <v>169</v>
      </c>
      <c r="T11" s="26" t="s">
        <v>169</v>
      </c>
      <c r="U11" s="26" t="s">
        <v>169</v>
      </c>
      <c r="V11" s="26" t="s">
        <v>169</v>
      </c>
      <c r="W11" s="26" t="s">
        <v>169</v>
      </c>
      <c r="X11" s="26" t="s">
        <v>169</v>
      </c>
      <c r="Y11" s="26" t="s">
        <v>169</v>
      </c>
      <c r="Z11" s="26" t="s">
        <v>169</v>
      </c>
      <c r="AA11" s="26" t="s">
        <v>169</v>
      </c>
      <c r="AB11" s="26" t="s">
        <v>169</v>
      </c>
      <c r="AC11" s="26" t="s">
        <v>169</v>
      </c>
      <c r="AD11" s="26" t="s">
        <v>169</v>
      </c>
      <c r="AE11" s="26" t="s">
        <v>169</v>
      </c>
    </row>
    <row r="12" spans="1:31" ht="14.4" x14ac:dyDescent="0.3">
      <c r="A12" s="6" t="s">
        <v>50</v>
      </c>
      <c r="B12" s="8" t="s">
        <v>174</v>
      </c>
      <c r="C12" s="25" t="s">
        <v>169</v>
      </c>
      <c r="D12" s="19">
        <v>1</v>
      </c>
      <c r="E12" s="25" t="s">
        <v>169</v>
      </c>
      <c r="F12" s="25" t="s">
        <v>169</v>
      </c>
      <c r="G12" s="25" t="s">
        <v>169</v>
      </c>
      <c r="H12" s="25" t="s">
        <v>169</v>
      </c>
      <c r="I12" s="25" t="s">
        <v>169</v>
      </c>
      <c r="J12" s="25" t="s">
        <v>169</v>
      </c>
      <c r="K12" s="25" t="s">
        <v>169</v>
      </c>
      <c r="L12" s="25" t="s">
        <v>169</v>
      </c>
      <c r="M12" s="25" t="s">
        <v>169</v>
      </c>
      <c r="N12" s="25" t="s">
        <v>169</v>
      </c>
      <c r="O12" s="19">
        <v>66</v>
      </c>
      <c r="P12" s="25" t="s">
        <v>173</v>
      </c>
      <c r="Q12" s="25" t="s">
        <v>169</v>
      </c>
      <c r="R12" s="19">
        <v>23</v>
      </c>
      <c r="S12" s="25" t="s">
        <v>169</v>
      </c>
      <c r="T12" s="25" t="s">
        <v>169</v>
      </c>
      <c r="U12" s="25" t="s">
        <v>169</v>
      </c>
      <c r="V12" s="25" t="s">
        <v>169</v>
      </c>
      <c r="W12" s="25" t="s">
        <v>169</v>
      </c>
      <c r="X12" s="25" t="s">
        <v>169</v>
      </c>
      <c r="Y12" s="25" t="s">
        <v>169</v>
      </c>
      <c r="Z12" s="25" t="s">
        <v>169</v>
      </c>
      <c r="AA12" s="25" t="s">
        <v>169</v>
      </c>
      <c r="AB12" s="25" t="s">
        <v>169</v>
      </c>
      <c r="AC12" s="25" t="s">
        <v>169</v>
      </c>
      <c r="AD12" s="25" t="s">
        <v>169</v>
      </c>
      <c r="AE12" s="25" t="s">
        <v>169</v>
      </c>
    </row>
    <row r="13" spans="1:31" ht="14.4" x14ac:dyDescent="0.3">
      <c r="A13" s="12" t="s">
        <v>50</v>
      </c>
      <c r="B13" s="14" t="s">
        <v>175</v>
      </c>
      <c r="C13" s="23">
        <v>2</v>
      </c>
      <c r="D13" s="23">
        <v>17</v>
      </c>
      <c r="E13" s="23">
        <v>10</v>
      </c>
      <c r="F13" s="23">
        <v>1</v>
      </c>
      <c r="G13" s="23">
        <v>1</v>
      </c>
      <c r="H13" s="22">
        <v>64.5</v>
      </c>
      <c r="I13" s="24">
        <v>77881.734700000001</v>
      </c>
      <c r="J13" s="22">
        <v>0.6079</v>
      </c>
      <c r="K13" s="23">
        <v>197</v>
      </c>
      <c r="L13" s="23">
        <v>70</v>
      </c>
      <c r="M13" s="22">
        <v>1207.4688000000001</v>
      </c>
      <c r="N13" s="23">
        <v>2</v>
      </c>
      <c r="O13" s="23">
        <v>212</v>
      </c>
      <c r="P13" s="22">
        <v>27.2134</v>
      </c>
      <c r="Q13" s="23">
        <v>30</v>
      </c>
      <c r="R13" s="23">
        <v>56</v>
      </c>
      <c r="S13" s="23">
        <v>1</v>
      </c>
      <c r="T13" s="23">
        <v>13</v>
      </c>
      <c r="U13" s="23">
        <v>2</v>
      </c>
      <c r="V13" s="23">
        <v>35</v>
      </c>
      <c r="W13" s="23">
        <v>0</v>
      </c>
      <c r="X13" s="23">
        <v>14</v>
      </c>
      <c r="Y13" s="23">
        <v>34</v>
      </c>
      <c r="Z13" s="23">
        <v>0</v>
      </c>
      <c r="AA13" s="23">
        <v>0</v>
      </c>
      <c r="AB13" s="23">
        <v>30</v>
      </c>
      <c r="AC13" s="22">
        <v>0.37180000000000002</v>
      </c>
      <c r="AD13" s="22">
        <v>0.92310000000000003</v>
      </c>
      <c r="AE13" s="23">
        <v>31</v>
      </c>
    </row>
    <row r="14" spans="1:31" ht="14.4" x14ac:dyDescent="0.3">
      <c r="A14" s="6" t="s">
        <v>50</v>
      </c>
      <c r="B14" s="8" t="s">
        <v>176</v>
      </c>
      <c r="C14" s="19">
        <v>1</v>
      </c>
      <c r="D14" s="19">
        <v>5</v>
      </c>
      <c r="E14" s="19">
        <v>4</v>
      </c>
      <c r="F14" s="19">
        <v>0</v>
      </c>
      <c r="G14" s="19">
        <v>2</v>
      </c>
      <c r="H14" s="20">
        <v>30</v>
      </c>
      <c r="I14" s="21">
        <v>14268.0854</v>
      </c>
      <c r="J14" s="20">
        <v>0.1961</v>
      </c>
      <c r="K14" s="19">
        <v>96</v>
      </c>
      <c r="L14" s="19">
        <v>31</v>
      </c>
      <c r="M14" s="20">
        <v>475.6028</v>
      </c>
      <c r="N14" s="19">
        <v>0</v>
      </c>
      <c r="O14" s="19">
        <v>27</v>
      </c>
      <c r="P14" s="20">
        <v>49.738500000000002</v>
      </c>
      <c r="Q14" s="19">
        <v>21</v>
      </c>
      <c r="R14" s="19">
        <v>26</v>
      </c>
      <c r="S14" s="19">
        <v>0</v>
      </c>
      <c r="T14" s="19">
        <v>0</v>
      </c>
      <c r="U14" s="19">
        <v>10</v>
      </c>
      <c r="V14" s="19">
        <v>55</v>
      </c>
      <c r="W14" s="19">
        <v>0</v>
      </c>
      <c r="X14" s="19">
        <v>1</v>
      </c>
      <c r="Y14" s="19">
        <v>51</v>
      </c>
      <c r="Z14" s="19">
        <v>0</v>
      </c>
      <c r="AA14" s="19">
        <v>0</v>
      </c>
      <c r="AB14" s="19">
        <v>8</v>
      </c>
      <c r="AC14" s="20">
        <v>0</v>
      </c>
      <c r="AD14" s="20">
        <v>0</v>
      </c>
      <c r="AE14" s="19">
        <v>9</v>
      </c>
    </row>
    <row r="15" spans="1:31" ht="14.4" x14ac:dyDescent="0.3">
      <c r="A15" s="12" t="s">
        <v>50</v>
      </c>
      <c r="B15" s="14" t="s">
        <v>177</v>
      </c>
      <c r="C15" s="23">
        <v>1</v>
      </c>
      <c r="D15" s="23">
        <v>6</v>
      </c>
      <c r="E15" s="23">
        <v>4</v>
      </c>
      <c r="F15" s="23">
        <v>0</v>
      </c>
      <c r="G15" s="23">
        <v>2</v>
      </c>
      <c r="H15" s="22">
        <v>60</v>
      </c>
      <c r="I15" s="24">
        <v>60989.296000000002</v>
      </c>
      <c r="J15" s="22">
        <v>0.51649999999999996</v>
      </c>
      <c r="K15" s="23">
        <v>191</v>
      </c>
      <c r="L15" s="23">
        <v>40</v>
      </c>
      <c r="M15" s="22">
        <v>1016.4883</v>
      </c>
      <c r="N15" s="23">
        <v>4</v>
      </c>
      <c r="O15" s="23">
        <v>72</v>
      </c>
      <c r="P15" s="22">
        <v>38.0749</v>
      </c>
      <c r="Q15" s="23">
        <v>49</v>
      </c>
      <c r="R15" s="23">
        <v>45</v>
      </c>
      <c r="S15" s="23">
        <v>0</v>
      </c>
      <c r="T15" s="23">
        <v>4</v>
      </c>
      <c r="U15" s="23">
        <v>10</v>
      </c>
      <c r="V15" s="23">
        <v>59</v>
      </c>
      <c r="W15" s="23">
        <v>0</v>
      </c>
      <c r="X15" s="23">
        <v>5</v>
      </c>
      <c r="Y15" s="23">
        <v>55</v>
      </c>
      <c r="Z15" s="23">
        <v>0</v>
      </c>
      <c r="AA15" s="23">
        <v>0</v>
      </c>
      <c r="AB15" s="23">
        <v>11</v>
      </c>
      <c r="AC15" s="22">
        <v>0</v>
      </c>
      <c r="AD15" s="22">
        <v>1</v>
      </c>
      <c r="AE15" s="23">
        <v>14</v>
      </c>
    </row>
    <row r="16" spans="1:31" ht="14.4" x14ac:dyDescent="0.3">
      <c r="A16" s="6" t="s">
        <v>50</v>
      </c>
      <c r="B16" s="8" t="s">
        <v>178</v>
      </c>
      <c r="C16" s="19">
        <v>2</v>
      </c>
      <c r="D16" s="19">
        <v>49</v>
      </c>
      <c r="E16" s="19">
        <v>16</v>
      </c>
      <c r="F16" s="19">
        <v>3</v>
      </c>
      <c r="G16" s="19">
        <v>1</v>
      </c>
      <c r="H16" s="20">
        <v>135.84909999999999</v>
      </c>
      <c r="I16" s="21">
        <v>799890.52500000002</v>
      </c>
      <c r="J16" s="20">
        <v>2.8723000000000001</v>
      </c>
      <c r="K16" s="19">
        <v>781</v>
      </c>
      <c r="L16" s="19">
        <v>186</v>
      </c>
      <c r="M16" s="20">
        <v>5888.0829999999996</v>
      </c>
      <c r="N16" s="19">
        <v>1</v>
      </c>
      <c r="O16" s="19">
        <v>359</v>
      </c>
      <c r="P16" s="20">
        <v>17.296399999999998</v>
      </c>
      <c r="Q16" s="19">
        <v>117</v>
      </c>
      <c r="R16" s="19">
        <v>215</v>
      </c>
      <c r="S16" s="19">
        <v>4</v>
      </c>
      <c r="T16" s="19">
        <v>23</v>
      </c>
      <c r="U16" s="19">
        <v>16</v>
      </c>
      <c r="V16" s="19">
        <v>70</v>
      </c>
      <c r="W16" s="19">
        <v>0</v>
      </c>
      <c r="X16" s="19">
        <v>24</v>
      </c>
      <c r="Y16" s="19">
        <v>54</v>
      </c>
      <c r="Z16" s="19">
        <v>0</v>
      </c>
      <c r="AA16" s="19">
        <v>0</v>
      </c>
      <c r="AB16" s="19">
        <v>80</v>
      </c>
      <c r="AC16" s="20">
        <v>0.16600000000000001</v>
      </c>
      <c r="AD16" s="20">
        <v>0.82609999999999995</v>
      </c>
      <c r="AE16" s="19">
        <v>69</v>
      </c>
    </row>
    <row r="17" spans="1:31" ht="14.4" x14ac:dyDescent="0.3">
      <c r="A17" s="12" t="s">
        <v>50</v>
      </c>
      <c r="B17" s="14" t="s">
        <v>180</v>
      </c>
      <c r="C17" s="23">
        <v>4</v>
      </c>
      <c r="D17" s="23">
        <v>10</v>
      </c>
      <c r="E17" s="23">
        <v>5</v>
      </c>
      <c r="F17" s="23">
        <v>0</v>
      </c>
      <c r="G17" s="23">
        <v>1</v>
      </c>
      <c r="H17" s="22">
        <v>54.576300000000003</v>
      </c>
      <c r="I17" s="24">
        <v>88917.114499999996</v>
      </c>
      <c r="J17" s="22">
        <v>0.66410000000000002</v>
      </c>
      <c r="K17" s="23">
        <v>238</v>
      </c>
      <c r="L17" s="23">
        <v>115</v>
      </c>
      <c r="M17" s="22">
        <v>1629.2266</v>
      </c>
      <c r="N17" s="23">
        <v>1</v>
      </c>
      <c r="O17" s="23">
        <v>74</v>
      </c>
      <c r="P17" s="22">
        <v>36.361800000000002</v>
      </c>
      <c r="Q17" s="23">
        <v>52</v>
      </c>
      <c r="R17" s="23">
        <v>63</v>
      </c>
      <c r="S17" s="23">
        <v>0</v>
      </c>
      <c r="T17" s="23">
        <v>5</v>
      </c>
      <c r="U17" s="23">
        <v>2</v>
      </c>
      <c r="V17" s="23">
        <v>21</v>
      </c>
      <c r="W17" s="26" t="s">
        <v>169</v>
      </c>
      <c r="X17" s="23">
        <v>6</v>
      </c>
      <c r="Y17" s="23">
        <v>19</v>
      </c>
      <c r="Z17" s="23">
        <v>0</v>
      </c>
      <c r="AA17" s="23">
        <v>0</v>
      </c>
      <c r="AB17" s="23">
        <v>41</v>
      </c>
      <c r="AC17" s="22">
        <v>0</v>
      </c>
      <c r="AD17" s="22">
        <v>1</v>
      </c>
      <c r="AE17" s="23">
        <v>16</v>
      </c>
    </row>
    <row r="18" spans="1:31" ht="14.4" x14ac:dyDescent="0.3">
      <c r="A18" s="6" t="s">
        <v>50</v>
      </c>
      <c r="B18" s="8" t="s">
        <v>181</v>
      </c>
      <c r="C18" s="19">
        <v>1</v>
      </c>
      <c r="D18" s="19">
        <v>5</v>
      </c>
      <c r="E18" s="19">
        <v>7</v>
      </c>
      <c r="F18" s="19">
        <v>5</v>
      </c>
      <c r="G18" s="19">
        <v>1</v>
      </c>
      <c r="H18" s="20">
        <v>55.137099999999997</v>
      </c>
      <c r="I18" s="21">
        <v>100021.71859999999</v>
      </c>
      <c r="J18" s="20">
        <v>0.71819999999999995</v>
      </c>
      <c r="K18" s="19">
        <v>265</v>
      </c>
      <c r="L18" s="19">
        <v>115</v>
      </c>
      <c r="M18" s="20">
        <v>1814.0549000000001</v>
      </c>
      <c r="N18" s="19">
        <v>3</v>
      </c>
      <c r="O18" s="19">
        <v>81</v>
      </c>
      <c r="P18" s="20">
        <v>35.217100000000002</v>
      </c>
      <c r="Q18" s="19">
        <v>3</v>
      </c>
      <c r="R18" s="19">
        <v>56</v>
      </c>
      <c r="S18" s="19">
        <v>0</v>
      </c>
      <c r="T18" s="19">
        <v>6</v>
      </c>
      <c r="U18" s="19">
        <v>7</v>
      </c>
      <c r="V18" s="19">
        <v>27</v>
      </c>
      <c r="W18" s="19">
        <v>0</v>
      </c>
      <c r="X18" s="19">
        <v>7</v>
      </c>
      <c r="Y18" s="19">
        <v>20</v>
      </c>
      <c r="Z18" s="19">
        <v>0</v>
      </c>
      <c r="AA18" s="19">
        <v>0</v>
      </c>
      <c r="AB18" s="19">
        <v>45</v>
      </c>
      <c r="AC18" s="20">
        <v>0.2</v>
      </c>
      <c r="AD18" s="20">
        <v>1</v>
      </c>
      <c r="AE18" s="19">
        <v>12</v>
      </c>
    </row>
    <row r="19" spans="1:31" ht="14.4" x14ac:dyDescent="0.3">
      <c r="A19" s="12" t="s">
        <v>50</v>
      </c>
      <c r="B19" s="14" t="s">
        <v>182</v>
      </c>
      <c r="C19" s="23">
        <v>1</v>
      </c>
      <c r="D19" s="23">
        <v>0</v>
      </c>
      <c r="E19" s="23">
        <v>3</v>
      </c>
      <c r="F19" s="23">
        <v>1</v>
      </c>
      <c r="G19" s="23">
        <v>2</v>
      </c>
      <c r="H19" s="22">
        <v>13.8125</v>
      </c>
      <c r="I19" s="24">
        <v>2366.0864999999999</v>
      </c>
      <c r="J19" s="22">
        <v>5.9200000000000003E-2</v>
      </c>
      <c r="K19" s="23">
        <v>39</v>
      </c>
      <c r="L19" s="23">
        <v>21</v>
      </c>
      <c r="M19" s="22">
        <v>171.3004</v>
      </c>
      <c r="N19" s="23">
        <v>2</v>
      </c>
      <c r="O19" s="23">
        <v>16</v>
      </c>
      <c r="P19" s="22">
        <v>57.881399999999999</v>
      </c>
      <c r="Q19" s="23">
        <v>3</v>
      </c>
      <c r="R19" s="23">
        <v>5</v>
      </c>
      <c r="S19" s="23">
        <v>3</v>
      </c>
      <c r="T19" s="23">
        <v>4</v>
      </c>
      <c r="U19" s="23">
        <v>2</v>
      </c>
      <c r="V19" s="23">
        <v>27</v>
      </c>
      <c r="W19" s="26" t="s">
        <v>169</v>
      </c>
      <c r="X19" s="23">
        <v>5</v>
      </c>
      <c r="Y19" s="23">
        <v>25</v>
      </c>
      <c r="Z19" s="23">
        <v>0</v>
      </c>
      <c r="AA19" s="23">
        <v>0</v>
      </c>
      <c r="AB19" s="23">
        <v>8</v>
      </c>
      <c r="AC19" s="22">
        <v>0.5</v>
      </c>
      <c r="AD19" s="22">
        <v>0.25</v>
      </c>
      <c r="AE19" s="23">
        <v>5</v>
      </c>
    </row>
    <row r="20" spans="1:31" ht="14.4" x14ac:dyDescent="0.3">
      <c r="A20" s="6" t="s">
        <v>50</v>
      </c>
      <c r="B20" s="8" t="s">
        <v>183</v>
      </c>
      <c r="C20" s="19">
        <v>1</v>
      </c>
      <c r="D20" s="19">
        <v>3</v>
      </c>
      <c r="E20" s="19">
        <v>2</v>
      </c>
      <c r="F20" s="19">
        <v>2</v>
      </c>
      <c r="G20" s="19">
        <v>1</v>
      </c>
      <c r="H20" s="20">
        <v>16.5</v>
      </c>
      <c r="I20" s="21">
        <v>4372.0394999999999</v>
      </c>
      <c r="J20" s="20">
        <v>8.9099999999999999E-2</v>
      </c>
      <c r="K20" s="19">
        <v>54</v>
      </c>
      <c r="L20" s="19">
        <v>30</v>
      </c>
      <c r="M20" s="20">
        <v>264.97210000000001</v>
      </c>
      <c r="N20" s="19">
        <v>1</v>
      </c>
      <c r="O20" s="19">
        <v>38</v>
      </c>
      <c r="P20" s="20">
        <v>48.3416</v>
      </c>
      <c r="Q20" s="19">
        <v>10</v>
      </c>
      <c r="R20" s="19">
        <v>12</v>
      </c>
      <c r="S20" s="19">
        <v>0</v>
      </c>
      <c r="T20" s="19">
        <v>3</v>
      </c>
      <c r="U20" s="19">
        <v>2</v>
      </c>
      <c r="V20" s="19">
        <v>19</v>
      </c>
      <c r="W20" s="19">
        <v>0</v>
      </c>
      <c r="X20" s="19">
        <v>4</v>
      </c>
      <c r="Y20" s="19">
        <v>17</v>
      </c>
      <c r="Z20" s="19">
        <v>0</v>
      </c>
      <c r="AA20" s="19">
        <v>0</v>
      </c>
      <c r="AB20" s="19">
        <v>12</v>
      </c>
      <c r="AC20" s="20">
        <v>1</v>
      </c>
      <c r="AD20" s="20">
        <v>1</v>
      </c>
      <c r="AE20" s="19">
        <v>6</v>
      </c>
    </row>
    <row r="21" spans="1:31" ht="15.75" customHeight="1" x14ac:dyDescent="0.3">
      <c r="A21" s="12" t="s">
        <v>50</v>
      </c>
      <c r="B21" s="14" t="s">
        <v>184</v>
      </c>
      <c r="C21" s="26" t="s">
        <v>169</v>
      </c>
      <c r="D21" s="23">
        <v>0</v>
      </c>
      <c r="E21" s="26" t="s">
        <v>169</v>
      </c>
      <c r="F21" s="26" t="s">
        <v>169</v>
      </c>
      <c r="G21" s="26" t="s">
        <v>169</v>
      </c>
      <c r="H21" s="26" t="s">
        <v>169</v>
      </c>
      <c r="I21" s="26" t="s">
        <v>169</v>
      </c>
      <c r="J21" s="26" t="s">
        <v>169</v>
      </c>
      <c r="K21" s="26" t="s">
        <v>169</v>
      </c>
      <c r="L21" s="26" t="s">
        <v>169</v>
      </c>
      <c r="M21" s="26" t="s">
        <v>169</v>
      </c>
      <c r="N21" s="26" t="s">
        <v>169</v>
      </c>
      <c r="O21" s="23">
        <v>0</v>
      </c>
      <c r="P21" s="22">
        <v>0</v>
      </c>
      <c r="Q21" s="26" t="s">
        <v>169</v>
      </c>
      <c r="R21" s="26" t="s">
        <v>169</v>
      </c>
      <c r="S21" s="26" t="s">
        <v>169</v>
      </c>
      <c r="T21" s="26" t="s">
        <v>169</v>
      </c>
      <c r="U21" s="26" t="s">
        <v>169</v>
      </c>
      <c r="V21" s="26" t="s">
        <v>169</v>
      </c>
      <c r="W21" s="26" t="s">
        <v>169</v>
      </c>
      <c r="X21" s="26" t="s">
        <v>169</v>
      </c>
      <c r="Y21" s="26" t="s">
        <v>169</v>
      </c>
      <c r="Z21" s="26" t="s">
        <v>169</v>
      </c>
      <c r="AA21" s="26" t="s">
        <v>169</v>
      </c>
      <c r="AB21" s="26" t="s">
        <v>169</v>
      </c>
      <c r="AC21" s="26" t="s">
        <v>169</v>
      </c>
      <c r="AD21" s="26" t="s">
        <v>169</v>
      </c>
      <c r="AE21" s="26" t="s">
        <v>169</v>
      </c>
    </row>
    <row r="22" spans="1:31" ht="15.75" customHeight="1" x14ac:dyDescent="0.3">
      <c r="A22" s="6" t="s">
        <v>50</v>
      </c>
      <c r="B22" s="8" t="s">
        <v>185</v>
      </c>
      <c r="C22" s="25" t="s">
        <v>169</v>
      </c>
      <c r="D22" s="19">
        <v>0</v>
      </c>
      <c r="E22" s="25" t="s">
        <v>169</v>
      </c>
      <c r="F22" s="25" t="s">
        <v>169</v>
      </c>
      <c r="G22" s="25" t="s">
        <v>169</v>
      </c>
      <c r="H22" s="25" t="s">
        <v>169</v>
      </c>
      <c r="I22" s="25" t="s">
        <v>169</v>
      </c>
      <c r="J22" s="25" t="s">
        <v>169</v>
      </c>
      <c r="K22" s="25" t="s">
        <v>169</v>
      </c>
      <c r="L22" s="25" t="s">
        <v>169</v>
      </c>
      <c r="M22" s="25" t="s">
        <v>169</v>
      </c>
      <c r="N22" s="25" t="s">
        <v>169</v>
      </c>
      <c r="O22" s="19">
        <v>0</v>
      </c>
      <c r="P22" s="20">
        <v>0</v>
      </c>
      <c r="Q22" s="25" t="s">
        <v>169</v>
      </c>
      <c r="R22" s="19">
        <v>0</v>
      </c>
      <c r="S22" s="25" t="s">
        <v>169</v>
      </c>
      <c r="T22" s="25" t="s">
        <v>169</v>
      </c>
      <c r="U22" s="25" t="s">
        <v>169</v>
      </c>
      <c r="V22" s="25" t="s">
        <v>169</v>
      </c>
      <c r="W22" s="25" t="s">
        <v>169</v>
      </c>
      <c r="X22" s="25" t="s">
        <v>169</v>
      </c>
      <c r="Y22" s="25" t="s">
        <v>169</v>
      </c>
      <c r="Z22" s="25" t="s">
        <v>169</v>
      </c>
      <c r="AA22" s="25" t="s">
        <v>169</v>
      </c>
      <c r="AB22" s="25" t="s">
        <v>169</v>
      </c>
      <c r="AC22" s="25" t="s">
        <v>169</v>
      </c>
      <c r="AD22" s="25" t="s">
        <v>169</v>
      </c>
      <c r="AE22" s="25" t="s">
        <v>169</v>
      </c>
    </row>
    <row r="23" spans="1:31" ht="15.75" customHeight="1" x14ac:dyDescent="0.3">
      <c r="A23" s="12" t="s">
        <v>50</v>
      </c>
      <c r="B23" s="14" t="s">
        <v>187</v>
      </c>
      <c r="C23" s="23">
        <v>0</v>
      </c>
      <c r="D23" s="23">
        <v>0</v>
      </c>
      <c r="E23" s="23">
        <v>10</v>
      </c>
      <c r="F23" s="23">
        <v>1</v>
      </c>
      <c r="G23" s="23">
        <v>2</v>
      </c>
      <c r="H23" s="22">
        <v>0</v>
      </c>
      <c r="I23" s="24">
        <v>0</v>
      </c>
      <c r="J23" s="22">
        <v>0</v>
      </c>
      <c r="K23" s="23">
        <v>4</v>
      </c>
      <c r="L23" s="23">
        <v>2</v>
      </c>
      <c r="M23" s="22">
        <v>4</v>
      </c>
      <c r="N23" s="23">
        <v>4</v>
      </c>
      <c r="O23" s="23">
        <v>8</v>
      </c>
      <c r="P23" s="22">
        <v>75.867900000000006</v>
      </c>
      <c r="Q23" s="23">
        <v>0</v>
      </c>
      <c r="R23" s="23">
        <v>0</v>
      </c>
      <c r="S23" s="23">
        <v>4</v>
      </c>
      <c r="T23" s="23">
        <v>4</v>
      </c>
      <c r="U23" s="23">
        <v>4</v>
      </c>
      <c r="V23" s="23">
        <v>26</v>
      </c>
      <c r="W23" s="26" t="s">
        <v>169</v>
      </c>
      <c r="X23" s="23">
        <v>5</v>
      </c>
      <c r="Y23" s="23">
        <v>22</v>
      </c>
      <c r="Z23" s="23">
        <v>0</v>
      </c>
      <c r="AA23" s="23">
        <v>0</v>
      </c>
      <c r="AB23" s="23">
        <v>5</v>
      </c>
      <c r="AC23" s="22">
        <v>0</v>
      </c>
      <c r="AD23" s="22">
        <v>0</v>
      </c>
      <c r="AE23" s="23">
        <v>5</v>
      </c>
    </row>
    <row r="24" spans="1:31" ht="15.75" customHeight="1" x14ac:dyDescent="0.3">
      <c r="A24" s="6" t="s">
        <v>50</v>
      </c>
      <c r="B24" s="8" t="s">
        <v>188</v>
      </c>
      <c r="C24" s="25" t="s">
        <v>169</v>
      </c>
      <c r="D24" s="19">
        <v>1</v>
      </c>
      <c r="E24" s="25" t="s">
        <v>169</v>
      </c>
      <c r="F24" s="25" t="s">
        <v>169</v>
      </c>
      <c r="G24" s="25" t="s">
        <v>169</v>
      </c>
      <c r="H24" s="25" t="s">
        <v>169</v>
      </c>
      <c r="I24" s="25" t="s">
        <v>169</v>
      </c>
      <c r="J24" s="25" t="s">
        <v>169</v>
      </c>
      <c r="K24" s="25" t="s">
        <v>169</v>
      </c>
      <c r="L24" s="25" t="s">
        <v>169</v>
      </c>
      <c r="M24" s="25" t="s">
        <v>169</v>
      </c>
      <c r="N24" s="25" t="s">
        <v>169</v>
      </c>
      <c r="O24" s="19">
        <v>10</v>
      </c>
      <c r="P24" s="25" t="s">
        <v>173</v>
      </c>
      <c r="Q24" s="25" t="s">
        <v>169</v>
      </c>
      <c r="R24" s="25" t="s">
        <v>169</v>
      </c>
      <c r="S24" s="25" t="s">
        <v>169</v>
      </c>
      <c r="T24" s="25" t="s">
        <v>169</v>
      </c>
      <c r="U24" s="25" t="s">
        <v>169</v>
      </c>
      <c r="V24" s="25" t="s">
        <v>169</v>
      </c>
      <c r="W24" s="25" t="s">
        <v>169</v>
      </c>
      <c r="X24" s="25" t="s">
        <v>169</v>
      </c>
      <c r="Y24" s="25" t="s">
        <v>169</v>
      </c>
      <c r="Z24" s="25" t="s">
        <v>169</v>
      </c>
      <c r="AA24" s="25" t="s">
        <v>169</v>
      </c>
      <c r="AB24" s="25" t="s">
        <v>169</v>
      </c>
      <c r="AC24" s="25" t="s">
        <v>169</v>
      </c>
      <c r="AD24" s="25" t="s">
        <v>169</v>
      </c>
      <c r="AE24" s="25" t="s">
        <v>169</v>
      </c>
    </row>
    <row r="25" spans="1:31" ht="15.75" customHeight="1" x14ac:dyDescent="0.3">
      <c r="A25" s="12" t="s">
        <v>50</v>
      </c>
      <c r="B25" s="14" t="s">
        <v>189</v>
      </c>
      <c r="C25" s="26" t="s">
        <v>169</v>
      </c>
      <c r="D25" s="23">
        <v>0</v>
      </c>
      <c r="E25" s="26" t="s">
        <v>169</v>
      </c>
      <c r="F25" s="26" t="s">
        <v>169</v>
      </c>
      <c r="G25" s="26" t="s">
        <v>169</v>
      </c>
      <c r="H25" s="26" t="s">
        <v>169</v>
      </c>
      <c r="I25" s="26" t="s">
        <v>169</v>
      </c>
      <c r="J25" s="26" t="s">
        <v>169</v>
      </c>
      <c r="K25" s="26" t="s">
        <v>169</v>
      </c>
      <c r="L25" s="26" t="s">
        <v>169</v>
      </c>
      <c r="M25" s="26" t="s">
        <v>169</v>
      </c>
      <c r="N25" s="26" t="s">
        <v>169</v>
      </c>
      <c r="O25" s="23">
        <v>0</v>
      </c>
      <c r="P25" s="22">
        <v>0</v>
      </c>
      <c r="Q25" s="26" t="s">
        <v>169</v>
      </c>
      <c r="R25" s="26" t="s">
        <v>169</v>
      </c>
      <c r="S25" s="26" t="s">
        <v>169</v>
      </c>
      <c r="T25" s="26" t="s">
        <v>169</v>
      </c>
      <c r="U25" s="26" t="s">
        <v>169</v>
      </c>
      <c r="V25" s="26" t="s">
        <v>169</v>
      </c>
      <c r="W25" s="26" t="s">
        <v>169</v>
      </c>
      <c r="X25" s="26" t="s">
        <v>169</v>
      </c>
      <c r="Y25" s="26" t="s">
        <v>169</v>
      </c>
      <c r="Z25" s="26" t="s">
        <v>169</v>
      </c>
      <c r="AA25" s="26" t="s">
        <v>169</v>
      </c>
      <c r="AB25" s="26" t="s">
        <v>169</v>
      </c>
      <c r="AC25" s="26" t="s">
        <v>169</v>
      </c>
      <c r="AD25" s="26" t="s">
        <v>169</v>
      </c>
      <c r="AE25" s="26" t="s">
        <v>169</v>
      </c>
    </row>
    <row r="26" spans="1:31" ht="15.75" customHeight="1" x14ac:dyDescent="0.3">
      <c r="A26" s="6" t="s">
        <v>50</v>
      </c>
      <c r="B26" s="8" t="s">
        <v>190</v>
      </c>
      <c r="C26" s="25" t="s">
        <v>169</v>
      </c>
      <c r="D26" s="19">
        <v>0</v>
      </c>
      <c r="E26" s="25" t="s">
        <v>169</v>
      </c>
      <c r="F26" s="25" t="s">
        <v>169</v>
      </c>
      <c r="G26" s="25" t="s">
        <v>169</v>
      </c>
      <c r="H26" s="25" t="s">
        <v>169</v>
      </c>
      <c r="I26" s="25" t="s">
        <v>169</v>
      </c>
      <c r="J26" s="25" t="s">
        <v>169</v>
      </c>
      <c r="K26" s="25" t="s">
        <v>169</v>
      </c>
      <c r="L26" s="25" t="s">
        <v>169</v>
      </c>
      <c r="M26" s="25" t="s">
        <v>169</v>
      </c>
      <c r="N26" s="25" t="s">
        <v>169</v>
      </c>
      <c r="O26" s="19">
        <v>0</v>
      </c>
      <c r="P26" s="20">
        <v>0</v>
      </c>
      <c r="Q26" s="25" t="s">
        <v>169</v>
      </c>
      <c r="R26" s="25" t="s">
        <v>169</v>
      </c>
      <c r="S26" s="25" t="s">
        <v>169</v>
      </c>
      <c r="T26" s="25" t="s">
        <v>169</v>
      </c>
      <c r="U26" s="25" t="s">
        <v>169</v>
      </c>
      <c r="V26" s="25" t="s">
        <v>169</v>
      </c>
      <c r="W26" s="25" t="s">
        <v>169</v>
      </c>
      <c r="X26" s="25" t="s">
        <v>169</v>
      </c>
      <c r="Y26" s="25" t="s">
        <v>169</v>
      </c>
      <c r="Z26" s="25" t="s">
        <v>169</v>
      </c>
      <c r="AA26" s="25" t="s">
        <v>169</v>
      </c>
      <c r="AB26" s="25" t="s">
        <v>169</v>
      </c>
      <c r="AC26" s="25" t="s">
        <v>169</v>
      </c>
      <c r="AD26" s="25" t="s">
        <v>169</v>
      </c>
      <c r="AE26" s="25" t="s">
        <v>169</v>
      </c>
    </row>
    <row r="27" spans="1:31" ht="15.75" customHeight="1" x14ac:dyDescent="0.3">
      <c r="A27" s="12" t="s">
        <v>50</v>
      </c>
      <c r="B27" s="14" t="s">
        <v>191</v>
      </c>
      <c r="C27" s="23">
        <v>1</v>
      </c>
      <c r="D27" s="23">
        <v>0</v>
      </c>
      <c r="E27" s="23">
        <v>1</v>
      </c>
      <c r="F27" s="23">
        <v>0</v>
      </c>
      <c r="G27" s="23">
        <v>1</v>
      </c>
      <c r="H27" s="22">
        <v>3</v>
      </c>
      <c r="I27" s="24">
        <v>81</v>
      </c>
      <c r="J27" s="22">
        <v>6.1999999999999998E-3</v>
      </c>
      <c r="K27" s="23">
        <v>9</v>
      </c>
      <c r="L27" s="23">
        <v>8</v>
      </c>
      <c r="M27" s="22">
        <v>27</v>
      </c>
      <c r="N27" s="23">
        <v>1</v>
      </c>
      <c r="O27" s="23">
        <v>10</v>
      </c>
      <c r="P27" s="22">
        <v>68.278400000000005</v>
      </c>
      <c r="Q27" s="23">
        <v>2</v>
      </c>
      <c r="R27" s="23">
        <v>2</v>
      </c>
      <c r="S27" s="23">
        <v>0</v>
      </c>
      <c r="T27" s="23">
        <v>1</v>
      </c>
      <c r="U27" s="23">
        <v>0</v>
      </c>
      <c r="V27" s="23">
        <v>14</v>
      </c>
      <c r="W27" s="23">
        <v>0</v>
      </c>
      <c r="X27" s="23">
        <v>1</v>
      </c>
      <c r="Y27" s="23">
        <v>14</v>
      </c>
      <c r="Z27" s="23">
        <v>0</v>
      </c>
      <c r="AA27" s="23">
        <v>0</v>
      </c>
      <c r="AB27" s="23">
        <v>3</v>
      </c>
      <c r="AC27" s="22">
        <v>0</v>
      </c>
      <c r="AD27" s="22">
        <v>1</v>
      </c>
      <c r="AE27" s="23">
        <v>1</v>
      </c>
    </row>
    <row r="28" spans="1:31" ht="15.75" customHeight="1" x14ac:dyDescent="0.3">
      <c r="A28" s="6" t="s">
        <v>50</v>
      </c>
      <c r="B28" s="8" t="s">
        <v>192</v>
      </c>
      <c r="C28" s="19">
        <v>5</v>
      </c>
      <c r="D28" s="19">
        <v>39</v>
      </c>
      <c r="E28" s="19">
        <v>6</v>
      </c>
      <c r="F28" s="19">
        <v>1</v>
      </c>
      <c r="G28" s="19">
        <v>1</v>
      </c>
      <c r="H28" s="20">
        <v>75.582099999999997</v>
      </c>
      <c r="I28" s="21">
        <v>214202.12700000001</v>
      </c>
      <c r="J28" s="20">
        <v>1.1933</v>
      </c>
      <c r="K28" s="19">
        <v>414</v>
      </c>
      <c r="L28" s="19">
        <v>115</v>
      </c>
      <c r="M28" s="20">
        <v>2834.0329000000002</v>
      </c>
      <c r="N28" s="19">
        <v>2</v>
      </c>
      <c r="O28" s="19">
        <v>156</v>
      </c>
      <c r="P28" s="20">
        <v>27.482800000000001</v>
      </c>
      <c r="Q28" s="19">
        <v>90</v>
      </c>
      <c r="R28" s="19">
        <v>106</v>
      </c>
      <c r="S28" s="19">
        <v>3</v>
      </c>
      <c r="T28" s="19">
        <v>4</v>
      </c>
      <c r="U28" s="19">
        <v>3</v>
      </c>
      <c r="V28" s="19">
        <v>27</v>
      </c>
      <c r="W28" s="19">
        <v>0</v>
      </c>
      <c r="X28" s="19">
        <v>6</v>
      </c>
      <c r="Y28" s="19">
        <v>25</v>
      </c>
      <c r="Z28" s="19">
        <v>1</v>
      </c>
      <c r="AA28" s="19">
        <v>0</v>
      </c>
      <c r="AB28" s="19">
        <v>34</v>
      </c>
      <c r="AC28" s="20">
        <v>0.33329999999999999</v>
      </c>
      <c r="AD28" s="20">
        <v>0.25</v>
      </c>
      <c r="AE28" s="19">
        <v>42</v>
      </c>
    </row>
    <row r="29" spans="1:31" ht="15.75" customHeight="1" x14ac:dyDescent="0.3">
      <c r="A29" s="12" t="s">
        <v>50</v>
      </c>
      <c r="B29" s="14" t="s">
        <v>194</v>
      </c>
      <c r="C29" s="23">
        <v>1</v>
      </c>
      <c r="D29" s="23">
        <v>7</v>
      </c>
      <c r="E29" s="23">
        <v>13</v>
      </c>
      <c r="F29" s="23">
        <v>0</v>
      </c>
      <c r="G29" s="23">
        <v>1</v>
      </c>
      <c r="H29" s="22">
        <v>59.52</v>
      </c>
      <c r="I29" s="24">
        <v>78114.063099999999</v>
      </c>
      <c r="J29" s="22">
        <v>0.60909999999999997</v>
      </c>
      <c r="K29" s="23">
        <v>225</v>
      </c>
      <c r="L29" s="23">
        <v>57</v>
      </c>
      <c r="M29" s="22">
        <v>1312.4003</v>
      </c>
      <c r="N29" s="23">
        <v>3</v>
      </c>
      <c r="O29" s="23">
        <v>187</v>
      </c>
      <c r="P29" s="22">
        <v>28.1721</v>
      </c>
      <c r="Q29" s="23">
        <v>12</v>
      </c>
      <c r="R29" s="23">
        <v>40</v>
      </c>
      <c r="S29" s="23">
        <v>4</v>
      </c>
      <c r="T29" s="23">
        <v>12</v>
      </c>
      <c r="U29" s="23">
        <v>4</v>
      </c>
      <c r="V29" s="23">
        <v>46</v>
      </c>
      <c r="W29" s="23">
        <v>0</v>
      </c>
      <c r="X29" s="23">
        <v>17</v>
      </c>
      <c r="Y29" s="23">
        <v>42</v>
      </c>
      <c r="Z29" s="23">
        <v>3</v>
      </c>
      <c r="AA29" s="23">
        <v>0</v>
      </c>
      <c r="AB29" s="23">
        <v>25</v>
      </c>
      <c r="AC29" s="22">
        <v>0.30299999999999999</v>
      </c>
      <c r="AD29" s="22">
        <v>0.66669999999999996</v>
      </c>
      <c r="AE29" s="23">
        <v>26</v>
      </c>
    </row>
    <row r="30" spans="1:31" ht="15.75" customHeight="1" x14ac:dyDescent="0.3">
      <c r="A30" s="6" t="s">
        <v>50</v>
      </c>
      <c r="B30" s="8" t="s">
        <v>195</v>
      </c>
      <c r="C30" s="19">
        <v>1</v>
      </c>
      <c r="D30" s="19">
        <v>25</v>
      </c>
      <c r="E30" s="19">
        <v>12</v>
      </c>
      <c r="F30" s="19">
        <v>5</v>
      </c>
      <c r="G30" s="19">
        <v>1</v>
      </c>
      <c r="H30" s="20">
        <v>92.4</v>
      </c>
      <c r="I30" s="21">
        <v>252984.20389999999</v>
      </c>
      <c r="J30" s="20">
        <v>1.3332999999999999</v>
      </c>
      <c r="K30" s="19">
        <v>413</v>
      </c>
      <c r="L30" s="19">
        <v>99</v>
      </c>
      <c r="M30" s="20">
        <v>2737.9243000000001</v>
      </c>
      <c r="N30" s="19">
        <v>5</v>
      </c>
      <c r="O30" s="19">
        <v>342</v>
      </c>
      <c r="P30" s="20">
        <v>20.1235</v>
      </c>
      <c r="Q30" s="19">
        <v>76</v>
      </c>
      <c r="R30" s="19">
        <v>109</v>
      </c>
      <c r="S30" s="19">
        <v>5</v>
      </c>
      <c r="T30" s="19">
        <v>18</v>
      </c>
      <c r="U30" s="19">
        <v>10</v>
      </c>
      <c r="V30" s="19">
        <v>60</v>
      </c>
      <c r="W30" s="19">
        <v>5</v>
      </c>
      <c r="X30" s="19">
        <v>20</v>
      </c>
      <c r="Y30" s="19">
        <v>50</v>
      </c>
      <c r="Z30" s="19">
        <v>1</v>
      </c>
      <c r="AA30" s="19">
        <v>0</v>
      </c>
      <c r="AB30" s="19">
        <v>42</v>
      </c>
      <c r="AC30" s="20">
        <v>0</v>
      </c>
      <c r="AD30" s="20">
        <v>0.72219999999999995</v>
      </c>
      <c r="AE30" s="19">
        <v>52</v>
      </c>
    </row>
    <row r="31" spans="1:31" ht="15.75" customHeight="1" x14ac:dyDescent="0.3">
      <c r="A31" s="12" t="s">
        <v>50</v>
      </c>
      <c r="B31" s="14" t="s">
        <v>196</v>
      </c>
      <c r="C31" s="23">
        <v>3</v>
      </c>
      <c r="D31" s="23">
        <v>30</v>
      </c>
      <c r="E31" s="23">
        <v>13</v>
      </c>
      <c r="F31" s="23">
        <v>2</v>
      </c>
      <c r="G31" s="23">
        <v>1</v>
      </c>
      <c r="H31" s="22">
        <v>92.633899999999997</v>
      </c>
      <c r="I31" s="24">
        <v>408019.50099999999</v>
      </c>
      <c r="J31" s="22">
        <v>1.8337000000000001</v>
      </c>
      <c r="K31" s="23">
        <v>579</v>
      </c>
      <c r="L31" s="23">
        <v>195</v>
      </c>
      <c r="M31" s="22">
        <v>4404.6442999999999</v>
      </c>
      <c r="N31" s="23">
        <v>2</v>
      </c>
      <c r="O31" s="23">
        <v>197</v>
      </c>
      <c r="P31" s="22">
        <v>23.9223</v>
      </c>
      <c r="Q31" s="23">
        <v>121</v>
      </c>
      <c r="R31" s="23">
        <v>171</v>
      </c>
      <c r="S31" s="23">
        <v>0</v>
      </c>
      <c r="T31" s="23">
        <v>7</v>
      </c>
      <c r="U31" s="23">
        <v>25</v>
      </c>
      <c r="V31" s="23">
        <v>45</v>
      </c>
      <c r="W31" s="23">
        <v>0</v>
      </c>
      <c r="X31" s="23">
        <v>7</v>
      </c>
      <c r="Y31" s="23">
        <v>20</v>
      </c>
      <c r="Z31" s="23">
        <v>0</v>
      </c>
      <c r="AA31" s="23">
        <v>0</v>
      </c>
      <c r="AB31" s="23">
        <v>60</v>
      </c>
      <c r="AC31" s="22">
        <v>0.1429</v>
      </c>
      <c r="AD31" s="22">
        <v>1</v>
      </c>
      <c r="AE31" s="23">
        <v>45</v>
      </c>
    </row>
    <row r="32" spans="1:31" ht="15.75" customHeight="1" x14ac:dyDescent="0.3">
      <c r="A32" s="6" t="s">
        <v>95</v>
      </c>
      <c r="B32" s="8" t="s">
        <v>197</v>
      </c>
      <c r="C32" s="19">
        <v>3</v>
      </c>
      <c r="D32" s="19">
        <v>30</v>
      </c>
      <c r="E32" s="19">
        <v>7</v>
      </c>
      <c r="F32" s="19">
        <v>0</v>
      </c>
      <c r="G32" s="19">
        <v>1</v>
      </c>
      <c r="H32" s="20">
        <v>85</v>
      </c>
      <c r="I32" s="21">
        <v>117300</v>
      </c>
      <c r="J32" s="20">
        <v>0.79869999999999997</v>
      </c>
      <c r="K32" s="19">
        <v>230</v>
      </c>
      <c r="L32" s="19">
        <v>64</v>
      </c>
      <c r="M32" s="20">
        <v>1380</v>
      </c>
      <c r="N32" s="19">
        <v>1</v>
      </c>
      <c r="O32" s="19">
        <v>98</v>
      </c>
      <c r="P32" s="20">
        <v>34.099800000000002</v>
      </c>
      <c r="Q32" s="19">
        <v>46</v>
      </c>
      <c r="R32" s="19">
        <v>74</v>
      </c>
      <c r="S32" s="19">
        <v>0</v>
      </c>
      <c r="T32" s="19">
        <v>3</v>
      </c>
      <c r="U32" s="19">
        <v>0</v>
      </c>
      <c r="V32" s="19">
        <v>16</v>
      </c>
      <c r="W32" s="19">
        <v>0</v>
      </c>
      <c r="X32" s="19">
        <v>3</v>
      </c>
      <c r="Y32" s="19">
        <v>16</v>
      </c>
      <c r="Z32" s="19">
        <v>0</v>
      </c>
      <c r="AA32" s="19">
        <v>0</v>
      </c>
      <c r="AB32" s="19">
        <v>27</v>
      </c>
      <c r="AC32" s="20">
        <v>0.33329999999999999</v>
      </c>
      <c r="AD32" s="20">
        <v>1</v>
      </c>
      <c r="AE32" s="19">
        <v>35</v>
      </c>
    </row>
    <row r="33" spans="1:31" ht="15.75" customHeight="1" x14ac:dyDescent="0.3">
      <c r="A33" s="12" t="s">
        <v>95</v>
      </c>
      <c r="B33" s="14" t="s">
        <v>198</v>
      </c>
      <c r="C33" s="23">
        <v>0</v>
      </c>
      <c r="D33" s="23">
        <v>0</v>
      </c>
      <c r="E33" s="23">
        <v>0</v>
      </c>
      <c r="F33" s="23">
        <v>0</v>
      </c>
      <c r="G33" s="23">
        <v>1</v>
      </c>
      <c r="H33" s="22">
        <v>2.5</v>
      </c>
      <c r="I33" s="24">
        <v>51.699300000000001</v>
      </c>
      <c r="J33" s="22">
        <v>4.5999999999999999E-3</v>
      </c>
      <c r="K33" s="23">
        <v>8</v>
      </c>
      <c r="L33" s="23">
        <v>6</v>
      </c>
      <c r="M33" s="22">
        <v>20.6797</v>
      </c>
      <c r="N33" s="23">
        <v>1</v>
      </c>
      <c r="O33" s="23">
        <v>3</v>
      </c>
      <c r="P33" s="22">
        <v>80.482299999999995</v>
      </c>
      <c r="Q33" s="23">
        <v>1</v>
      </c>
      <c r="R33" s="23">
        <v>1</v>
      </c>
      <c r="S33" s="23">
        <v>0</v>
      </c>
      <c r="T33" s="23">
        <v>1</v>
      </c>
      <c r="U33" s="23">
        <v>0</v>
      </c>
      <c r="V33" s="23">
        <v>14</v>
      </c>
      <c r="W33" s="23">
        <v>0</v>
      </c>
      <c r="X33" s="23">
        <v>1</v>
      </c>
      <c r="Y33" s="23">
        <v>14</v>
      </c>
      <c r="Z33" s="23">
        <v>0</v>
      </c>
      <c r="AA33" s="23">
        <v>0</v>
      </c>
      <c r="AB33" s="23">
        <v>2</v>
      </c>
      <c r="AC33" s="22">
        <v>0</v>
      </c>
      <c r="AD33" s="22">
        <v>1</v>
      </c>
      <c r="AE33" s="23">
        <v>1</v>
      </c>
    </row>
    <row r="34" spans="1:31" ht="15.75" customHeight="1" x14ac:dyDescent="0.3">
      <c r="A34" s="6" t="s">
        <v>95</v>
      </c>
      <c r="B34" s="8" t="s">
        <v>199</v>
      </c>
      <c r="C34" s="19">
        <v>7</v>
      </c>
      <c r="D34" s="19">
        <v>11</v>
      </c>
      <c r="E34" s="19">
        <v>10</v>
      </c>
      <c r="F34" s="19">
        <v>2</v>
      </c>
      <c r="G34" s="19">
        <v>1</v>
      </c>
      <c r="H34" s="20">
        <v>52.854500000000002</v>
      </c>
      <c r="I34" s="21">
        <v>76277.525800000003</v>
      </c>
      <c r="J34" s="20">
        <v>0.59950000000000003</v>
      </c>
      <c r="K34" s="19">
        <v>212</v>
      </c>
      <c r="L34" s="19">
        <v>112</v>
      </c>
      <c r="M34" s="20">
        <v>1443.1592000000001</v>
      </c>
      <c r="N34" s="19">
        <v>1</v>
      </c>
      <c r="O34" s="19">
        <v>88</v>
      </c>
      <c r="P34" s="20">
        <v>35.106900000000003</v>
      </c>
      <c r="Q34" s="19">
        <v>53</v>
      </c>
      <c r="R34" s="19">
        <v>51</v>
      </c>
      <c r="S34" s="19">
        <v>0</v>
      </c>
      <c r="T34" s="19">
        <v>2</v>
      </c>
      <c r="U34" s="19">
        <v>2</v>
      </c>
      <c r="V34" s="19">
        <v>18</v>
      </c>
      <c r="W34" s="19">
        <v>0</v>
      </c>
      <c r="X34" s="19">
        <v>3</v>
      </c>
      <c r="Y34" s="19">
        <v>16</v>
      </c>
      <c r="Z34" s="19">
        <v>0</v>
      </c>
      <c r="AA34" s="19">
        <v>0</v>
      </c>
      <c r="AB34" s="19">
        <v>41</v>
      </c>
      <c r="AC34" s="20">
        <v>0</v>
      </c>
      <c r="AD34" s="20">
        <v>1</v>
      </c>
      <c r="AE34" s="19">
        <v>14</v>
      </c>
    </row>
    <row r="35" spans="1:31" ht="15.75" customHeight="1" x14ac:dyDescent="0.3">
      <c r="A35" s="12" t="s">
        <v>95</v>
      </c>
      <c r="B35" s="14" t="s">
        <v>200</v>
      </c>
      <c r="C35" s="23">
        <v>0</v>
      </c>
      <c r="D35" s="23">
        <v>0</v>
      </c>
      <c r="E35" s="23">
        <v>0</v>
      </c>
      <c r="F35" s="23">
        <v>0</v>
      </c>
      <c r="G35" s="23">
        <v>1</v>
      </c>
      <c r="H35" s="22">
        <v>2.5</v>
      </c>
      <c r="I35" s="24">
        <v>343.90100000000001</v>
      </c>
      <c r="J35" s="22">
        <v>1.6400000000000001E-2</v>
      </c>
      <c r="K35" s="23">
        <v>49</v>
      </c>
      <c r="L35" s="23">
        <v>7</v>
      </c>
      <c r="M35" s="22">
        <v>137.56039999999999</v>
      </c>
      <c r="N35" s="23">
        <v>0</v>
      </c>
      <c r="O35" s="23">
        <v>0</v>
      </c>
      <c r="P35" s="22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13</v>
      </c>
      <c r="W35" s="23">
        <v>0</v>
      </c>
      <c r="X35" s="23">
        <v>0</v>
      </c>
      <c r="Y35" s="23">
        <v>13</v>
      </c>
      <c r="Z35" s="23">
        <v>0</v>
      </c>
      <c r="AA35" s="23">
        <v>0</v>
      </c>
      <c r="AB35" s="23">
        <v>0</v>
      </c>
      <c r="AC35" s="22">
        <v>0</v>
      </c>
      <c r="AD35" s="22">
        <v>0</v>
      </c>
      <c r="AE35" s="23">
        <v>0</v>
      </c>
    </row>
    <row r="36" spans="1:31" ht="15.75" customHeight="1" x14ac:dyDescent="0.3">
      <c r="A36" s="6" t="s">
        <v>95</v>
      </c>
      <c r="B36" s="8" t="s">
        <v>202</v>
      </c>
      <c r="C36" s="19">
        <v>0</v>
      </c>
      <c r="D36" s="19">
        <v>0</v>
      </c>
      <c r="E36" s="19">
        <v>1</v>
      </c>
      <c r="F36" s="19">
        <v>1</v>
      </c>
      <c r="G36" s="19">
        <v>1</v>
      </c>
      <c r="H36" s="20">
        <v>2</v>
      </c>
      <c r="I36" s="21">
        <v>41.359400000000001</v>
      </c>
      <c r="J36" s="20">
        <v>4.0000000000000001E-3</v>
      </c>
      <c r="K36" s="19">
        <v>8</v>
      </c>
      <c r="L36" s="19">
        <v>6</v>
      </c>
      <c r="M36" s="20">
        <v>20.6797</v>
      </c>
      <c r="N36" s="19">
        <v>0</v>
      </c>
      <c r="O36" s="19">
        <v>1</v>
      </c>
      <c r="P36" s="20">
        <v>90.890199999999993</v>
      </c>
      <c r="Q36" s="19">
        <v>0</v>
      </c>
      <c r="R36" s="19">
        <v>1</v>
      </c>
      <c r="S36" s="19">
        <v>0</v>
      </c>
      <c r="T36" s="19">
        <v>0</v>
      </c>
      <c r="U36" s="19">
        <v>1</v>
      </c>
      <c r="V36" s="19">
        <v>15</v>
      </c>
      <c r="W36" s="19">
        <v>0</v>
      </c>
      <c r="X36" s="19">
        <v>1</v>
      </c>
      <c r="Y36" s="19">
        <v>14</v>
      </c>
      <c r="Z36" s="19">
        <v>0</v>
      </c>
      <c r="AA36" s="19">
        <v>1</v>
      </c>
      <c r="AB36" s="19">
        <v>1</v>
      </c>
      <c r="AC36" s="20">
        <v>0</v>
      </c>
      <c r="AD36" s="20">
        <v>0</v>
      </c>
      <c r="AE36" s="19">
        <v>1</v>
      </c>
    </row>
    <row r="37" spans="1:31" ht="15.75" customHeight="1" x14ac:dyDescent="0.3">
      <c r="A37" s="12" t="s">
        <v>95</v>
      </c>
      <c r="B37" s="14" t="s">
        <v>203</v>
      </c>
      <c r="C37" s="23">
        <v>0</v>
      </c>
      <c r="D37" s="23">
        <v>0</v>
      </c>
      <c r="E37" s="23">
        <v>1</v>
      </c>
      <c r="F37" s="23">
        <v>1</v>
      </c>
      <c r="G37" s="23">
        <v>1</v>
      </c>
      <c r="H37" s="22">
        <v>0</v>
      </c>
      <c r="I37" s="24">
        <v>0</v>
      </c>
      <c r="J37" s="22">
        <v>0</v>
      </c>
      <c r="K37" s="23">
        <v>5</v>
      </c>
      <c r="L37" s="23">
        <v>3</v>
      </c>
      <c r="M37" s="22">
        <v>7.9248000000000003</v>
      </c>
      <c r="N37" s="23">
        <v>0</v>
      </c>
      <c r="O37" s="23">
        <v>0</v>
      </c>
      <c r="P37" s="22">
        <v>0</v>
      </c>
      <c r="Q37" s="23">
        <v>0</v>
      </c>
      <c r="R37" s="23">
        <v>0</v>
      </c>
      <c r="S37" s="23">
        <v>0</v>
      </c>
      <c r="T37" s="23">
        <v>0</v>
      </c>
      <c r="U37" s="23">
        <v>2</v>
      </c>
      <c r="V37" s="23">
        <v>15</v>
      </c>
      <c r="W37" s="23">
        <v>0</v>
      </c>
      <c r="X37" s="23">
        <v>0</v>
      </c>
      <c r="Y37" s="23">
        <v>13</v>
      </c>
      <c r="Z37" s="23">
        <v>0</v>
      </c>
      <c r="AA37" s="23">
        <v>2</v>
      </c>
      <c r="AB37" s="23">
        <v>0</v>
      </c>
      <c r="AC37" s="22">
        <v>0</v>
      </c>
      <c r="AD37" s="22">
        <v>0</v>
      </c>
      <c r="AE37" s="23">
        <v>0</v>
      </c>
    </row>
    <row r="38" spans="1:31" ht="15.75" customHeight="1" x14ac:dyDescent="0.3">
      <c r="A38" s="6" t="s">
        <v>95</v>
      </c>
      <c r="B38" s="8" t="s">
        <v>204</v>
      </c>
      <c r="C38" s="19">
        <v>0</v>
      </c>
      <c r="D38" s="19">
        <v>0</v>
      </c>
      <c r="E38" s="19">
        <v>1</v>
      </c>
      <c r="F38" s="19">
        <v>1</v>
      </c>
      <c r="G38" s="19">
        <v>1</v>
      </c>
      <c r="H38" s="20">
        <v>0</v>
      </c>
      <c r="I38" s="21">
        <v>0</v>
      </c>
      <c r="J38" s="20">
        <v>0</v>
      </c>
      <c r="K38" s="19">
        <v>8</v>
      </c>
      <c r="L38" s="19">
        <v>4</v>
      </c>
      <c r="M38" s="20">
        <v>16</v>
      </c>
      <c r="N38" s="19">
        <v>0</v>
      </c>
      <c r="O38" s="19">
        <v>0</v>
      </c>
      <c r="P38" s="20">
        <v>0</v>
      </c>
      <c r="Q38" s="19">
        <v>0</v>
      </c>
      <c r="R38" s="19">
        <v>0</v>
      </c>
      <c r="S38" s="19">
        <v>0</v>
      </c>
      <c r="T38" s="19">
        <v>0</v>
      </c>
      <c r="U38" s="19">
        <v>4</v>
      </c>
      <c r="V38" s="19">
        <v>17</v>
      </c>
      <c r="W38" s="19">
        <v>0</v>
      </c>
      <c r="X38" s="19">
        <v>0</v>
      </c>
      <c r="Y38" s="19">
        <v>13</v>
      </c>
      <c r="Z38" s="19">
        <v>0</v>
      </c>
      <c r="AA38" s="19">
        <v>4</v>
      </c>
      <c r="AB38" s="19">
        <v>0</v>
      </c>
      <c r="AC38" s="20">
        <v>0</v>
      </c>
      <c r="AD38" s="20">
        <v>0</v>
      </c>
      <c r="AE38" s="19">
        <v>0</v>
      </c>
    </row>
    <row r="39" spans="1:31" ht="15.75" customHeight="1" x14ac:dyDescent="0.3">
      <c r="A39" s="12" t="s">
        <v>95</v>
      </c>
      <c r="B39" s="14" t="s">
        <v>205</v>
      </c>
      <c r="C39" s="23">
        <v>0</v>
      </c>
      <c r="D39" s="23">
        <v>0</v>
      </c>
      <c r="E39" s="23">
        <v>3</v>
      </c>
      <c r="F39" s="23">
        <v>1</v>
      </c>
      <c r="G39" s="23">
        <v>1</v>
      </c>
      <c r="H39" s="22">
        <v>0</v>
      </c>
      <c r="I39" s="24">
        <v>0</v>
      </c>
      <c r="J39" s="22">
        <v>0</v>
      </c>
      <c r="K39" s="23">
        <v>6</v>
      </c>
      <c r="L39" s="23">
        <v>4</v>
      </c>
      <c r="M39" s="22">
        <v>12</v>
      </c>
      <c r="N39" s="23">
        <v>0</v>
      </c>
      <c r="O39" s="23">
        <v>0</v>
      </c>
      <c r="P39" s="22">
        <v>0</v>
      </c>
      <c r="Q39" s="23">
        <v>0</v>
      </c>
      <c r="R39" s="23">
        <v>0</v>
      </c>
      <c r="S39" s="23">
        <v>0</v>
      </c>
      <c r="T39" s="23">
        <v>0</v>
      </c>
      <c r="U39" s="23">
        <v>2</v>
      </c>
      <c r="V39" s="23">
        <v>15</v>
      </c>
      <c r="W39" s="23">
        <v>0</v>
      </c>
      <c r="X39" s="23">
        <v>0</v>
      </c>
      <c r="Y39" s="23">
        <v>13</v>
      </c>
      <c r="Z39" s="23">
        <v>0</v>
      </c>
      <c r="AA39" s="23">
        <v>2</v>
      </c>
      <c r="AB39" s="23">
        <v>0</v>
      </c>
      <c r="AC39" s="22">
        <v>0</v>
      </c>
      <c r="AD39" s="22">
        <v>0</v>
      </c>
      <c r="AE39" s="23">
        <v>0</v>
      </c>
    </row>
    <row r="40" spans="1:31" ht="15.75" customHeight="1" x14ac:dyDescent="0.3">
      <c r="A40" s="6" t="s">
        <v>95</v>
      </c>
      <c r="B40" s="8" t="s">
        <v>206</v>
      </c>
      <c r="C40" s="19">
        <v>0</v>
      </c>
      <c r="D40" s="19">
        <v>0</v>
      </c>
      <c r="E40" s="19">
        <v>3</v>
      </c>
      <c r="F40" s="19">
        <v>1</v>
      </c>
      <c r="G40" s="19">
        <v>1</v>
      </c>
      <c r="H40" s="20">
        <v>0</v>
      </c>
      <c r="I40" s="21">
        <v>0</v>
      </c>
      <c r="J40" s="20">
        <v>0</v>
      </c>
      <c r="K40" s="19">
        <v>4</v>
      </c>
      <c r="L40" s="19">
        <v>3</v>
      </c>
      <c r="M40" s="20">
        <v>6.3399000000000001</v>
      </c>
      <c r="N40" s="19">
        <v>0</v>
      </c>
      <c r="O40" s="19">
        <v>0</v>
      </c>
      <c r="P40" s="20">
        <v>0</v>
      </c>
      <c r="Q40" s="19">
        <v>0</v>
      </c>
      <c r="R40" s="19">
        <v>0</v>
      </c>
      <c r="S40" s="19">
        <v>0</v>
      </c>
      <c r="T40" s="19">
        <v>0</v>
      </c>
      <c r="U40" s="19">
        <v>1</v>
      </c>
      <c r="V40" s="19">
        <v>14</v>
      </c>
      <c r="W40" s="19">
        <v>0</v>
      </c>
      <c r="X40" s="19">
        <v>0</v>
      </c>
      <c r="Y40" s="19">
        <v>13</v>
      </c>
      <c r="Z40" s="19">
        <v>0</v>
      </c>
      <c r="AA40" s="19">
        <v>1</v>
      </c>
      <c r="AB40" s="19">
        <v>0</v>
      </c>
      <c r="AC40" s="20">
        <v>0</v>
      </c>
      <c r="AD40" s="20">
        <v>0</v>
      </c>
      <c r="AE40" s="19">
        <v>0</v>
      </c>
    </row>
    <row r="41" spans="1:31" ht="15.75" customHeight="1" x14ac:dyDescent="0.3">
      <c r="A41" s="12" t="s">
        <v>95</v>
      </c>
      <c r="B41" s="14" t="s">
        <v>208</v>
      </c>
      <c r="C41" s="23">
        <v>0</v>
      </c>
      <c r="D41" s="23">
        <v>0</v>
      </c>
      <c r="E41" s="23">
        <v>3</v>
      </c>
      <c r="F41" s="23">
        <v>2</v>
      </c>
      <c r="G41" s="23">
        <v>1</v>
      </c>
      <c r="H41" s="22">
        <v>0</v>
      </c>
      <c r="I41" s="24">
        <v>0</v>
      </c>
      <c r="J41" s="22">
        <v>0</v>
      </c>
      <c r="K41" s="23">
        <v>8</v>
      </c>
      <c r="L41" s="23">
        <v>4</v>
      </c>
      <c r="M41" s="22">
        <v>16</v>
      </c>
      <c r="N41" s="23">
        <v>0</v>
      </c>
      <c r="O41" s="23">
        <v>0</v>
      </c>
      <c r="P41" s="22">
        <v>0</v>
      </c>
      <c r="Q41" s="23">
        <v>0</v>
      </c>
      <c r="R41" s="23">
        <v>0</v>
      </c>
      <c r="S41" s="23">
        <v>0</v>
      </c>
      <c r="T41" s="23">
        <v>0</v>
      </c>
      <c r="U41" s="23">
        <v>4</v>
      </c>
      <c r="V41" s="23">
        <v>17</v>
      </c>
      <c r="W41" s="23">
        <v>0</v>
      </c>
      <c r="X41" s="23">
        <v>0</v>
      </c>
      <c r="Y41" s="23">
        <v>13</v>
      </c>
      <c r="Z41" s="23">
        <v>0</v>
      </c>
      <c r="AA41" s="23">
        <v>4</v>
      </c>
      <c r="AB41" s="23">
        <v>0</v>
      </c>
      <c r="AC41" s="22">
        <v>0</v>
      </c>
      <c r="AD41" s="22">
        <v>0</v>
      </c>
      <c r="AE41" s="23">
        <v>0</v>
      </c>
    </row>
    <row r="42" spans="1:31" ht="15.75" customHeight="1" x14ac:dyDescent="0.3">
      <c r="A42" s="6" t="s">
        <v>95</v>
      </c>
      <c r="B42" s="8" t="s">
        <v>209</v>
      </c>
      <c r="C42" s="19">
        <v>0</v>
      </c>
      <c r="D42" s="19">
        <v>0</v>
      </c>
      <c r="E42" s="19">
        <v>3</v>
      </c>
      <c r="F42" s="19">
        <v>1</v>
      </c>
      <c r="G42" s="19">
        <v>1</v>
      </c>
      <c r="H42" s="20">
        <v>0</v>
      </c>
      <c r="I42" s="21">
        <v>0</v>
      </c>
      <c r="J42" s="20">
        <v>0</v>
      </c>
      <c r="K42" s="19">
        <v>8</v>
      </c>
      <c r="L42" s="19">
        <v>4</v>
      </c>
      <c r="M42" s="20">
        <v>16</v>
      </c>
      <c r="N42" s="19">
        <v>0</v>
      </c>
      <c r="O42" s="19">
        <v>0</v>
      </c>
      <c r="P42" s="20">
        <v>0</v>
      </c>
      <c r="Q42" s="19">
        <v>0</v>
      </c>
      <c r="R42" s="19">
        <v>0</v>
      </c>
      <c r="S42" s="19">
        <v>0</v>
      </c>
      <c r="T42" s="19">
        <v>0</v>
      </c>
      <c r="U42" s="19">
        <v>4</v>
      </c>
      <c r="V42" s="19">
        <v>17</v>
      </c>
      <c r="W42" s="19">
        <v>0</v>
      </c>
      <c r="X42" s="19">
        <v>0</v>
      </c>
      <c r="Y42" s="19">
        <v>13</v>
      </c>
      <c r="Z42" s="19">
        <v>0</v>
      </c>
      <c r="AA42" s="19">
        <v>4</v>
      </c>
      <c r="AB42" s="19">
        <v>0</v>
      </c>
      <c r="AC42" s="20">
        <v>0</v>
      </c>
      <c r="AD42" s="20">
        <v>0</v>
      </c>
      <c r="AE42" s="19">
        <v>0</v>
      </c>
    </row>
    <row r="43" spans="1:31" ht="15.75" customHeight="1" x14ac:dyDescent="0.3">
      <c r="A43" s="12" t="s">
        <v>95</v>
      </c>
      <c r="B43" s="14" t="s">
        <v>210</v>
      </c>
      <c r="C43" s="23">
        <v>11</v>
      </c>
      <c r="D43" s="23">
        <v>19</v>
      </c>
      <c r="E43" s="23">
        <v>17</v>
      </c>
      <c r="F43" s="23">
        <v>3</v>
      </c>
      <c r="G43" s="23">
        <v>1</v>
      </c>
      <c r="H43" s="22">
        <v>63.734200000000001</v>
      </c>
      <c r="I43" s="24">
        <v>141874.09760000001</v>
      </c>
      <c r="J43" s="22">
        <v>0.90669999999999995</v>
      </c>
      <c r="K43" s="23">
        <v>316</v>
      </c>
      <c r="L43" s="23">
        <v>132</v>
      </c>
      <c r="M43" s="22">
        <v>2226.0284999999999</v>
      </c>
      <c r="N43" s="23">
        <v>1</v>
      </c>
      <c r="O43" s="23">
        <v>141</v>
      </c>
      <c r="P43" s="22">
        <v>29.244599999999998</v>
      </c>
      <c r="Q43" s="23">
        <v>54</v>
      </c>
      <c r="R43" s="23">
        <v>86</v>
      </c>
      <c r="S43" s="23">
        <v>0</v>
      </c>
      <c r="T43" s="23">
        <v>4</v>
      </c>
      <c r="U43" s="23">
        <v>3</v>
      </c>
      <c r="V43" s="23">
        <v>21</v>
      </c>
      <c r="W43" s="23">
        <v>0</v>
      </c>
      <c r="X43" s="23">
        <v>5</v>
      </c>
      <c r="Y43" s="23">
        <v>18</v>
      </c>
      <c r="Z43" s="23">
        <v>0</v>
      </c>
      <c r="AA43" s="23">
        <v>0</v>
      </c>
      <c r="AB43" s="23">
        <v>41</v>
      </c>
      <c r="AC43" s="22">
        <v>0.33329999999999999</v>
      </c>
      <c r="AD43" s="22">
        <v>1</v>
      </c>
      <c r="AE43" s="23">
        <v>25</v>
      </c>
    </row>
    <row r="44" spans="1:31" ht="15.75" customHeight="1" x14ac:dyDescent="0.3">
      <c r="A44" s="6" t="s">
        <v>95</v>
      </c>
      <c r="B44" s="8" t="s">
        <v>211</v>
      </c>
      <c r="C44" s="19">
        <v>0</v>
      </c>
      <c r="D44" s="19">
        <v>0</v>
      </c>
      <c r="E44" s="19">
        <v>2</v>
      </c>
      <c r="F44" s="19">
        <v>1</v>
      </c>
      <c r="G44" s="19">
        <v>1</v>
      </c>
      <c r="H44" s="20">
        <v>13.2</v>
      </c>
      <c r="I44" s="21">
        <v>1510.7263</v>
      </c>
      <c r="J44" s="20">
        <v>4.3900000000000002E-2</v>
      </c>
      <c r="K44" s="19">
        <v>28</v>
      </c>
      <c r="L44" s="19">
        <v>17</v>
      </c>
      <c r="M44" s="20">
        <v>114.449</v>
      </c>
      <c r="N44" s="19">
        <v>1</v>
      </c>
      <c r="O44" s="19">
        <v>15</v>
      </c>
      <c r="P44" s="20">
        <v>59.794499999999999</v>
      </c>
      <c r="Q44" s="19">
        <v>5</v>
      </c>
      <c r="R44" s="19">
        <v>6</v>
      </c>
      <c r="S44" s="19">
        <v>0</v>
      </c>
      <c r="T44" s="19">
        <v>3</v>
      </c>
      <c r="U44" s="19">
        <v>1</v>
      </c>
      <c r="V44" s="19">
        <v>17</v>
      </c>
      <c r="W44" s="19">
        <v>0</v>
      </c>
      <c r="X44" s="19">
        <v>3</v>
      </c>
      <c r="Y44" s="19">
        <v>16</v>
      </c>
      <c r="Z44" s="19">
        <v>0</v>
      </c>
      <c r="AA44" s="19">
        <v>0</v>
      </c>
      <c r="AB44" s="19">
        <v>10</v>
      </c>
      <c r="AC44" s="20">
        <v>1</v>
      </c>
      <c r="AD44" s="20">
        <v>1</v>
      </c>
      <c r="AE44" s="19">
        <v>3</v>
      </c>
    </row>
    <row r="45" spans="1:31" ht="15.75" customHeight="1" x14ac:dyDescent="0.3">
      <c r="A45" s="12" t="s">
        <v>95</v>
      </c>
      <c r="B45" s="14" t="s">
        <v>212</v>
      </c>
      <c r="C45" s="23">
        <v>1</v>
      </c>
      <c r="D45" s="23">
        <v>0</v>
      </c>
      <c r="E45" s="23">
        <v>6</v>
      </c>
      <c r="F45" s="23">
        <v>2</v>
      </c>
      <c r="G45" s="23">
        <v>1</v>
      </c>
      <c r="H45" s="22">
        <v>7.7</v>
      </c>
      <c r="I45" s="24">
        <v>2975.4902999999999</v>
      </c>
      <c r="J45" s="22">
        <v>6.9000000000000006E-2</v>
      </c>
      <c r="K45" s="23">
        <v>78</v>
      </c>
      <c r="L45" s="23">
        <v>31</v>
      </c>
      <c r="M45" s="22">
        <v>386.4273</v>
      </c>
      <c r="N45" s="23">
        <v>6</v>
      </c>
      <c r="O45" s="23">
        <v>24</v>
      </c>
      <c r="P45" s="22">
        <v>51.4711</v>
      </c>
      <c r="Q45" s="23">
        <v>1</v>
      </c>
      <c r="R45" s="23">
        <v>18</v>
      </c>
      <c r="S45" s="23">
        <v>7</v>
      </c>
      <c r="T45" s="23">
        <v>9</v>
      </c>
      <c r="U45" s="23">
        <v>7</v>
      </c>
      <c r="V45" s="23">
        <v>30</v>
      </c>
      <c r="W45" s="23">
        <v>0</v>
      </c>
      <c r="X45" s="23">
        <v>10</v>
      </c>
      <c r="Y45" s="23">
        <v>23</v>
      </c>
      <c r="Z45" s="23">
        <v>0</v>
      </c>
      <c r="AA45" s="23">
        <v>0</v>
      </c>
      <c r="AB45" s="23">
        <v>12</v>
      </c>
      <c r="AC45" s="22">
        <v>0.1389</v>
      </c>
      <c r="AD45" s="22">
        <v>0.22220000000000001</v>
      </c>
      <c r="AE45" s="23">
        <v>10</v>
      </c>
    </row>
    <row r="46" spans="1:31" ht="15.75" customHeight="1" x14ac:dyDescent="0.3"/>
    <row r="47" spans="1:31" ht="15.75" customHeight="1" x14ac:dyDescent="0.3"/>
    <row r="48" spans="1:3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5:AE45" xr:uid="{00000000-0009-0000-0000-000003000000}"/>
  <conditionalFormatting sqref="C6:C45">
    <cfRule type="expression" dxfId="65" priority="1">
      <formula>AND(ISNUMBER(C6),C6&gt;10)</formula>
    </cfRule>
    <cfRule type="expression" dxfId="64" priority="2">
      <formula>AND(ISNUMBER(C6),C6&gt;8)</formula>
    </cfRule>
    <cfRule type="expression" dxfId="63" priority="3">
      <formula>AND(ISNUMBER(C6),C6&gt;6)</formula>
    </cfRule>
  </conditionalFormatting>
  <conditionalFormatting sqref="D6:D45">
    <cfRule type="expression" dxfId="62" priority="4">
      <formula>AND(ISNUMBER(D6),D6&gt;96)</formula>
    </cfRule>
    <cfRule type="expression" dxfId="61" priority="5">
      <formula>AND(ISNUMBER(D6),D6&gt;64)</formula>
    </cfRule>
    <cfRule type="expression" dxfId="60" priority="6">
      <formula>AND(ISNUMBER(D6),D6&gt;32)</formula>
    </cfRule>
  </conditionalFormatting>
  <conditionalFormatting sqref="E6:E45">
    <cfRule type="expression" dxfId="59" priority="7">
      <formula>AND(ISNUMBER(E6),E6&gt;23)</formula>
    </cfRule>
    <cfRule type="expression" dxfId="58" priority="8">
      <formula>AND(ISNUMBER(E6),E6&gt;17)</formula>
    </cfRule>
    <cfRule type="expression" dxfId="57" priority="9">
      <formula>AND(ISNUMBER(E6),E6&gt;14)</formula>
    </cfRule>
  </conditionalFormatting>
  <conditionalFormatting sqref="G6:G45">
    <cfRule type="expression" dxfId="56" priority="10">
      <formula>AND(ISNUMBER(G6),G6&gt;7)</formula>
    </cfRule>
    <cfRule type="expression" dxfId="55" priority="11">
      <formula>AND(ISNUMBER(G6),G6&gt;5)</formula>
    </cfRule>
    <cfRule type="expression" dxfId="54" priority="12">
      <formula>AND(ISNUMBER(G6),G6&gt;3)</formula>
    </cfRule>
  </conditionalFormatting>
  <conditionalFormatting sqref="R6:R45">
    <cfRule type="expression" dxfId="53" priority="13">
      <formula>AND(ISNUMBER(R6),R6&gt;2000)</formula>
    </cfRule>
    <cfRule type="expression" dxfId="52" priority="14">
      <formula>AND(ISNUMBER(R6),R6&gt;1500)</formula>
    </cfRule>
    <cfRule type="expression" dxfId="51" priority="15">
      <formula>AND(ISNUMBER(R6),R6&gt;1000)</formula>
    </cfRule>
  </conditionalFormatting>
  <conditionalFormatting sqref="S6:S45">
    <cfRule type="expression" dxfId="50" priority="16">
      <formula>AND(ISNUMBER(S6),S6&gt;13)</formula>
    </cfRule>
    <cfRule type="expression" dxfId="49" priority="17">
      <formula>AND(ISNUMBER(S6),S6&gt;7)</formula>
    </cfRule>
    <cfRule type="expression" dxfId="48" priority="18">
      <formula>AND(ISNUMBER(S6),S6&gt;4)</formula>
    </cfRule>
  </conditionalFormatting>
  <conditionalFormatting sqref="U6:U45">
    <cfRule type="expression" dxfId="47" priority="19">
      <formula>AND(ISNUMBER(U6),U6&gt;14)</formula>
    </cfRule>
    <cfRule type="expression" dxfId="46" priority="20">
      <formula>AND(ISNUMBER(U6),U6&gt;9)</formula>
    </cfRule>
    <cfRule type="expression" dxfId="45" priority="21">
      <formula>AND(ISNUMBER(U6),U6&gt;4)</formula>
    </cfRule>
  </conditionalFormatting>
  <conditionalFormatting sqref="W6:W45">
    <cfRule type="expression" dxfId="44" priority="22">
      <formula>AND(ISNUMBER(W6),W6&gt;7)</formula>
    </cfRule>
    <cfRule type="expression" dxfId="43" priority="23">
      <formula>AND(ISNUMBER(W6),W6&gt;4)</formula>
    </cfRule>
    <cfRule type="expression" dxfId="42" priority="24">
      <formula>AND(ISNUMBER(W6),W6&gt;2)</formula>
    </cfRule>
  </conditionalFormatting>
  <conditionalFormatting sqref="X6:X45">
    <cfRule type="expression" dxfId="41" priority="25">
      <formula>AND(ISNUMBER(X6),X6&gt;25)</formula>
    </cfRule>
    <cfRule type="expression" dxfId="40" priority="26">
      <formula>AND(ISNUMBER(X6),X6&gt;15)</formula>
    </cfRule>
    <cfRule type="expression" dxfId="39" priority="27">
      <formula>AND(ISNUMBER(X6),X6&gt;7)</formula>
    </cfRule>
  </conditionalFormatting>
  <conditionalFormatting sqref="Z6:Z45">
    <cfRule type="expression" dxfId="38" priority="28">
      <formula>AND(ISNUMBER(Z6),Z6&gt;8)</formula>
    </cfRule>
    <cfRule type="expression" dxfId="37" priority="29">
      <formula>AND(ISNUMBER(Z6),Z6&gt;5)</formula>
    </cfRule>
    <cfRule type="expression" dxfId="36" priority="30">
      <formula>AND(ISNUMBER(Z6),Z6&gt;3)</formula>
    </cfRule>
  </conditionalFormatting>
  <conditionalFormatting sqref="AA6:AA45">
    <cfRule type="expression" dxfId="35" priority="31">
      <formula>AND(ISNUMBER(AA6),AA6&gt;12)</formula>
    </cfRule>
    <cfRule type="expression" dxfId="34" priority="32">
      <formula>AND(ISNUMBER(AA6),AA6&gt;5)</formula>
    </cfRule>
    <cfRule type="expression" dxfId="33" priority="33">
      <formula>AND(ISNUMBER(AA6),AA6&gt;3)</formula>
    </cfRule>
  </conditionalFormatting>
  <conditionalFormatting sqref="AB6:AB45">
    <cfRule type="expression" dxfId="32" priority="34">
      <formula>AND(ISNUMBER(AB6),AB6&gt;80)</formula>
    </cfRule>
    <cfRule type="expression" dxfId="31" priority="35">
      <formula>AND(ISNUMBER(AB6),AB6&gt;65)</formula>
    </cfRule>
    <cfRule type="expression" dxfId="30" priority="36">
      <formula>AND(ISNUMBER(AB6),AB6&gt;45)</formula>
    </cfRule>
  </conditionalFormatting>
  <conditionalFormatting sqref="AE6:AE45">
    <cfRule type="expression" dxfId="29" priority="37">
      <formula>AND(ISNUMBER(AE6),AE6&gt;45)</formula>
    </cfRule>
    <cfRule type="expression" dxfId="28" priority="38">
      <formula>AND(ISNUMBER(AE6),AE6&gt;35)</formula>
    </cfRule>
    <cfRule type="expression" dxfId="27" priority="39">
      <formula>AND(ISNUMBER(AE6),AE6&gt;12)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showGridLines="0" workbookViewId="0">
      <pane xSplit="4" ySplit="5" topLeftCell="E30" activePane="bottomRight" state="frozen"/>
      <selection pane="topRight" activeCell="E1" sqref="E1"/>
      <selection pane="bottomLeft" activeCell="A6" sqref="A6"/>
      <selection pane="bottomRight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34" customWidth="1"/>
    <col min="4" max="4" width="30" customWidth="1"/>
    <col min="5" max="13" width="11" customWidth="1"/>
    <col min="14" max="14" width="13" customWidth="1"/>
    <col min="15" max="24" width="11" customWidth="1"/>
    <col min="25" max="25" width="3" customWidth="1"/>
    <col min="26" max="26" width="30" customWidth="1"/>
    <col min="27" max="27" width="7" customWidth="1"/>
    <col min="28" max="28" width="8" customWidth="1"/>
    <col min="29" max="29" width="7" customWidth="1"/>
    <col min="30" max="30" width="10" customWidth="1"/>
    <col min="31" max="31" width="11" customWidth="1"/>
    <col min="32" max="32" width="10" customWidth="1"/>
    <col min="33" max="33" width="9" customWidth="1"/>
    <col min="34" max="55" width="8.6640625" customWidth="1"/>
  </cols>
  <sheetData>
    <row r="1" spans="1:33" ht="21.75" customHeight="1" x14ac:dyDescent="0.3">
      <c r="A1" s="1" t="s">
        <v>607</v>
      </c>
    </row>
    <row r="2" spans="1:33" ht="14.4" x14ac:dyDescent="0.3">
      <c r="A2" s="2" t="s">
        <v>228</v>
      </c>
      <c r="F2" s="3" t="s">
        <v>5</v>
      </c>
      <c r="G2" s="5" t="s">
        <v>7</v>
      </c>
      <c r="I2" s="7" t="s">
        <v>12</v>
      </c>
      <c r="K2" s="9" t="s">
        <v>14</v>
      </c>
    </row>
    <row r="4" spans="1:33" ht="36" customHeight="1" x14ac:dyDescent="0.3">
      <c r="A4" s="11"/>
      <c r="B4" s="11"/>
      <c r="C4" s="11"/>
      <c r="D4" s="11"/>
      <c r="E4" s="13" t="s">
        <v>158</v>
      </c>
      <c r="F4" s="13" t="s">
        <v>29</v>
      </c>
      <c r="G4" s="13" t="s">
        <v>165</v>
      </c>
      <c r="H4" s="13" t="s">
        <v>72</v>
      </c>
      <c r="I4" s="13" t="s">
        <v>83</v>
      </c>
      <c r="J4" s="13" t="s">
        <v>88</v>
      </c>
      <c r="K4" s="13" t="s">
        <v>96</v>
      </c>
      <c r="L4" s="13" t="s">
        <v>100</v>
      </c>
      <c r="M4" s="13" t="s">
        <v>22</v>
      </c>
      <c r="N4" s="13" t="s">
        <v>23</v>
      </c>
      <c r="O4" s="13" t="s">
        <v>24</v>
      </c>
      <c r="P4" s="13" t="s">
        <v>25</v>
      </c>
      <c r="Q4" s="13" t="s">
        <v>26</v>
      </c>
      <c r="R4" s="13" t="s">
        <v>27</v>
      </c>
      <c r="S4" s="13" t="s">
        <v>135</v>
      </c>
      <c r="T4" s="13" t="s">
        <v>138</v>
      </c>
      <c r="U4" s="13" t="s">
        <v>30</v>
      </c>
      <c r="V4" s="13" t="s">
        <v>156</v>
      </c>
      <c r="W4" s="13" t="s">
        <v>160</v>
      </c>
      <c r="X4" s="13" t="s">
        <v>162</v>
      </c>
      <c r="Z4" s="36" t="s">
        <v>230</v>
      </c>
      <c r="AA4" s="37"/>
      <c r="AB4" s="37"/>
      <c r="AC4" s="37"/>
      <c r="AD4" s="37"/>
      <c r="AE4" s="37"/>
      <c r="AF4" s="37"/>
      <c r="AG4" s="38"/>
    </row>
    <row r="5" spans="1:33" ht="26.4" x14ac:dyDescent="0.3">
      <c r="A5" s="4" t="s">
        <v>36</v>
      </c>
      <c r="B5" s="4" t="s">
        <v>42</v>
      </c>
      <c r="C5" s="4" t="s">
        <v>45</v>
      </c>
      <c r="D5" s="4" t="s">
        <v>231</v>
      </c>
      <c r="E5" s="4" t="s">
        <v>159</v>
      </c>
      <c r="F5" s="4" t="s">
        <v>125</v>
      </c>
      <c r="G5" s="4" t="s">
        <v>166</v>
      </c>
      <c r="H5" s="4" t="s">
        <v>75</v>
      </c>
      <c r="I5" s="4" t="s">
        <v>84</v>
      </c>
      <c r="J5" s="4" t="s">
        <v>90</v>
      </c>
      <c r="K5" s="4" t="s">
        <v>97</v>
      </c>
      <c r="L5" s="4" t="s">
        <v>101</v>
      </c>
      <c r="M5" s="4" t="s">
        <v>104</v>
      </c>
      <c r="N5" s="4" t="s">
        <v>107</v>
      </c>
      <c r="O5" s="4" t="s">
        <v>109</v>
      </c>
      <c r="P5" s="4" t="s">
        <v>111</v>
      </c>
      <c r="Q5" s="4" t="s">
        <v>113</v>
      </c>
      <c r="R5" s="4" t="s">
        <v>117</v>
      </c>
      <c r="S5" s="4" t="s">
        <v>136</v>
      </c>
      <c r="T5" s="4" t="s">
        <v>139</v>
      </c>
      <c r="U5" s="4" t="s">
        <v>148</v>
      </c>
      <c r="V5" s="4" t="s">
        <v>157</v>
      </c>
      <c r="W5" s="4" t="s">
        <v>161</v>
      </c>
      <c r="X5" s="4" t="s">
        <v>163</v>
      </c>
      <c r="Z5" s="4" t="s">
        <v>231</v>
      </c>
      <c r="AA5" s="4" t="s">
        <v>159</v>
      </c>
      <c r="AB5" s="4" t="s">
        <v>166</v>
      </c>
      <c r="AC5" s="4" t="s">
        <v>125</v>
      </c>
      <c r="AD5" s="4" t="s">
        <v>232</v>
      </c>
      <c r="AE5" s="4" t="s">
        <v>233</v>
      </c>
      <c r="AF5" s="4" t="s">
        <v>234</v>
      </c>
      <c r="AG5" s="4" t="s">
        <v>235</v>
      </c>
    </row>
    <row r="6" spans="1:33" ht="14.4" x14ac:dyDescent="0.3">
      <c r="A6" s="6" t="s">
        <v>50</v>
      </c>
      <c r="B6" s="6" t="s">
        <v>192</v>
      </c>
      <c r="C6" s="6" t="s">
        <v>236</v>
      </c>
      <c r="D6" s="8" t="s">
        <v>237</v>
      </c>
      <c r="E6" s="19">
        <v>37</v>
      </c>
      <c r="F6" s="19">
        <v>130</v>
      </c>
      <c r="G6" s="19">
        <v>1</v>
      </c>
      <c r="H6" s="19">
        <v>39</v>
      </c>
      <c r="I6" s="19">
        <v>4</v>
      </c>
      <c r="J6" s="20">
        <v>0.45450000000000002</v>
      </c>
      <c r="K6" s="19">
        <v>22</v>
      </c>
      <c r="L6" s="19">
        <v>5</v>
      </c>
      <c r="M6" s="20">
        <v>75.836399999999998</v>
      </c>
      <c r="N6" s="21">
        <v>184601.87909999999</v>
      </c>
      <c r="O6" s="20">
        <v>1.0807</v>
      </c>
      <c r="P6" s="19">
        <v>368</v>
      </c>
      <c r="Q6" s="19">
        <v>98</v>
      </c>
      <c r="R6" s="20">
        <v>2434.2132000000001</v>
      </c>
      <c r="S6" s="20">
        <v>0.2</v>
      </c>
      <c r="T6" s="19">
        <v>1</v>
      </c>
      <c r="U6" s="20">
        <v>29.689800000000002</v>
      </c>
      <c r="V6" s="19">
        <v>5</v>
      </c>
      <c r="W6" s="19">
        <v>31</v>
      </c>
      <c r="X6" s="19">
        <v>5</v>
      </c>
      <c r="Z6" s="6" t="str">
        <f t="shared" ref="Z6:AA6" si="0">D6</f>
        <v>Move.processEnemyFire</v>
      </c>
      <c r="AA6" s="27">
        <f t="shared" si="0"/>
        <v>37</v>
      </c>
      <c r="AB6" s="27">
        <f t="shared" ref="AB6:AB7" si="1">G6</f>
        <v>1</v>
      </c>
      <c r="AC6" s="27">
        <f t="shared" ref="AC6:AC7" si="2">F6</f>
        <v>130</v>
      </c>
      <c r="AD6" s="28">
        <f t="shared" ref="AD6:AF6" si="3">(AA6-MIN(AA$6:AA$236))/(MAX(AA$6:AA$236)-MIN(AA$6:AA$236))</f>
        <v>1</v>
      </c>
      <c r="AE6" s="28">
        <f t="shared" si="3"/>
        <v>0.2</v>
      </c>
      <c r="AF6" s="28">
        <f t="shared" si="3"/>
        <v>1</v>
      </c>
      <c r="AG6" s="29">
        <f t="shared" ref="AG6:AG236" si="4">SUM(AD6:AF6)</f>
        <v>2.2000000000000002</v>
      </c>
    </row>
    <row r="7" spans="1:33" ht="14.4" x14ac:dyDescent="0.3">
      <c r="A7" s="12" t="s">
        <v>50</v>
      </c>
      <c r="B7" s="12" t="s">
        <v>196</v>
      </c>
      <c r="C7" s="12" t="s">
        <v>238</v>
      </c>
      <c r="D7" s="14" t="s">
        <v>239</v>
      </c>
      <c r="E7" s="23">
        <v>29</v>
      </c>
      <c r="F7" s="23">
        <v>117</v>
      </c>
      <c r="G7" s="23">
        <v>0</v>
      </c>
      <c r="H7" s="23">
        <v>18</v>
      </c>
      <c r="I7" s="23">
        <v>2</v>
      </c>
      <c r="J7" s="22">
        <v>0.43330000000000002</v>
      </c>
      <c r="K7" s="23">
        <v>27</v>
      </c>
      <c r="L7" s="23">
        <v>2</v>
      </c>
      <c r="M7" s="22">
        <v>59.5</v>
      </c>
      <c r="N7" s="24">
        <v>96719.513099999996</v>
      </c>
      <c r="O7" s="22">
        <v>0.70240000000000002</v>
      </c>
      <c r="P7" s="23">
        <v>248</v>
      </c>
      <c r="Q7" s="23">
        <v>94</v>
      </c>
      <c r="R7" s="22">
        <v>1625.538</v>
      </c>
      <c r="S7" s="22">
        <v>0.85709999999999997</v>
      </c>
      <c r="T7" s="23">
        <v>2</v>
      </c>
      <c r="U7" s="22">
        <v>31.949300000000001</v>
      </c>
      <c r="V7" s="23">
        <v>5</v>
      </c>
      <c r="W7" s="23">
        <v>34</v>
      </c>
      <c r="X7" s="23">
        <v>2</v>
      </c>
      <c r="Z7" s="12" t="str">
        <f t="shared" ref="Z7:AA7" si="5">D7</f>
        <v>Tasks.menu</v>
      </c>
      <c r="AA7" s="30">
        <f t="shared" si="5"/>
        <v>29</v>
      </c>
      <c r="AB7" s="30">
        <f t="shared" si="1"/>
        <v>0</v>
      </c>
      <c r="AC7" s="30">
        <f t="shared" si="2"/>
        <v>117</v>
      </c>
      <c r="AD7" s="31">
        <f t="shared" ref="AD7:AF7" si="6">(AA7-MIN(AA$6:AA$236))/(MAX(AA$6:AA$236)-MIN(AA$6:AA$236))</f>
        <v>0.77777777777777779</v>
      </c>
      <c r="AE7" s="31">
        <f t="shared" si="6"/>
        <v>0</v>
      </c>
      <c r="AF7" s="31">
        <f t="shared" si="6"/>
        <v>0.9</v>
      </c>
      <c r="AG7" s="32">
        <f t="shared" si="4"/>
        <v>1.6777777777777778</v>
      </c>
    </row>
    <row r="8" spans="1:33" ht="14.4" x14ac:dyDescent="0.3">
      <c r="A8" s="6" t="s">
        <v>95</v>
      </c>
      <c r="B8" s="6" t="s">
        <v>197</v>
      </c>
      <c r="C8" s="6" t="s">
        <v>242</v>
      </c>
      <c r="D8" s="8" t="s">
        <v>243</v>
      </c>
      <c r="E8" s="19">
        <v>19</v>
      </c>
      <c r="F8" s="19">
        <v>55</v>
      </c>
      <c r="G8" s="19">
        <v>1</v>
      </c>
      <c r="H8" s="19">
        <v>18</v>
      </c>
      <c r="I8" s="19">
        <v>2</v>
      </c>
      <c r="J8" s="20">
        <v>0.5625</v>
      </c>
      <c r="K8" s="19">
        <v>14</v>
      </c>
      <c r="L8" s="19">
        <v>2</v>
      </c>
      <c r="M8" s="20">
        <v>49.470599999999997</v>
      </c>
      <c r="N8" s="21">
        <v>35796.255499999999</v>
      </c>
      <c r="O8" s="20">
        <v>0.36209999999999998</v>
      </c>
      <c r="P8" s="19">
        <v>131</v>
      </c>
      <c r="Q8" s="19">
        <v>46</v>
      </c>
      <c r="R8" s="20">
        <v>723.58659999999998</v>
      </c>
      <c r="S8" s="20">
        <v>0</v>
      </c>
      <c r="T8" s="19">
        <v>2</v>
      </c>
      <c r="U8" s="20">
        <v>41.62</v>
      </c>
      <c r="V8" s="19">
        <v>4</v>
      </c>
      <c r="W8" s="19">
        <v>16</v>
      </c>
      <c r="X8" s="19">
        <v>6</v>
      </c>
      <c r="Z8" s="6" t="str">
        <f t="shared" ref="Z8:AA8" si="7">D78</f>
        <v>BoardPanel.drawCell</v>
      </c>
      <c r="AA8" s="27">
        <f t="shared" si="7"/>
        <v>1</v>
      </c>
      <c r="AB8" s="27">
        <f>G78</f>
        <v>5</v>
      </c>
      <c r="AC8" s="27">
        <f>F78</f>
        <v>46</v>
      </c>
      <c r="AD8" s="28">
        <f t="shared" ref="AD8:AF8" si="8">(AA8-MIN(AA$6:AA$236))/(MAX(AA$6:AA$236)-MIN(AA$6:AA$236))</f>
        <v>0</v>
      </c>
      <c r="AE8" s="28">
        <f t="shared" si="8"/>
        <v>1</v>
      </c>
      <c r="AF8" s="28">
        <f t="shared" si="8"/>
        <v>0.35384615384615387</v>
      </c>
      <c r="AG8" s="29">
        <f t="shared" si="4"/>
        <v>1.3538461538461539</v>
      </c>
    </row>
    <row r="9" spans="1:33" ht="14.4" x14ac:dyDescent="0.3">
      <c r="A9" s="12" t="s">
        <v>95</v>
      </c>
      <c r="B9" s="12" t="s">
        <v>210</v>
      </c>
      <c r="C9" s="12" t="s">
        <v>244</v>
      </c>
      <c r="D9" s="14" t="s">
        <v>245</v>
      </c>
      <c r="E9" s="23">
        <v>12</v>
      </c>
      <c r="F9" s="23">
        <v>60</v>
      </c>
      <c r="G9" s="23">
        <v>2</v>
      </c>
      <c r="H9" s="23">
        <v>9</v>
      </c>
      <c r="I9" s="23">
        <v>1</v>
      </c>
      <c r="J9" s="22">
        <v>0.47370000000000001</v>
      </c>
      <c r="K9" s="23">
        <v>17</v>
      </c>
      <c r="L9" s="23">
        <v>7</v>
      </c>
      <c r="M9" s="22">
        <v>32.410299999999999</v>
      </c>
      <c r="N9" s="24">
        <v>25910.934499999999</v>
      </c>
      <c r="O9" s="22">
        <v>0.29189999999999999</v>
      </c>
      <c r="P9" s="23">
        <v>130</v>
      </c>
      <c r="Q9" s="23">
        <v>71</v>
      </c>
      <c r="R9" s="22">
        <v>799.46709999999996</v>
      </c>
      <c r="S9" s="22">
        <v>0.15790000000000001</v>
      </c>
      <c r="T9" s="23">
        <v>1</v>
      </c>
      <c r="U9" s="22">
        <v>40.553600000000003</v>
      </c>
      <c r="V9" s="23">
        <v>2</v>
      </c>
      <c r="W9" s="23">
        <v>23</v>
      </c>
      <c r="X9" s="23">
        <v>1</v>
      </c>
      <c r="Z9" s="12" t="str">
        <f t="shared" ref="Z9:AA9" si="9">D9</f>
        <v>GameController.receiveShots</v>
      </c>
      <c r="AA9" s="30">
        <f t="shared" si="9"/>
        <v>12</v>
      </c>
      <c r="AB9" s="30">
        <f>G9</f>
        <v>2</v>
      </c>
      <c r="AC9" s="30">
        <f>F9</f>
        <v>60</v>
      </c>
      <c r="AD9" s="31">
        <f t="shared" ref="AD9:AF9" si="10">(AA9-MIN(AA$6:AA$236))/(MAX(AA$6:AA$236)-MIN(AA$6:AA$236))</f>
        <v>0.30555555555555558</v>
      </c>
      <c r="AE9" s="31">
        <f t="shared" si="10"/>
        <v>0.4</v>
      </c>
      <c r="AF9" s="31">
        <f t="shared" si="10"/>
        <v>0.46153846153846156</v>
      </c>
      <c r="AG9" s="32">
        <f t="shared" si="4"/>
        <v>1.1670940170940172</v>
      </c>
    </row>
    <row r="10" spans="1:33" ht="14.4" x14ac:dyDescent="0.3">
      <c r="A10" s="6" t="s">
        <v>50</v>
      </c>
      <c r="B10" s="6" t="s">
        <v>168</v>
      </c>
      <c r="C10" s="6" t="s">
        <v>214</v>
      </c>
      <c r="D10" s="8" t="s">
        <v>247</v>
      </c>
      <c r="E10" s="19">
        <v>11</v>
      </c>
      <c r="F10" s="19">
        <v>29</v>
      </c>
      <c r="G10" s="19">
        <v>1</v>
      </c>
      <c r="H10" s="19">
        <v>10</v>
      </c>
      <c r="I10" s="19">
        <v>1</v>
      </c>
      <c r="J10" s="20">
        <v>0.35709999999999997</v>
      </c>
      <c r="K10" s="19">
        <v>12</v>
      </c>
      <c r="L10" s="19">
        <v>2</v>
      </c>
      <c r="M10" s="20">
        <v>37.285699999999999</v>
      </c>
      <c r="N10" s="21">
        <v>15983.4504</v>
      </c>
      <c r="O10" s="20">
        <v>0.21149999999999999</v>
      </c>
      <c r="P10" s="19">
        <v>79</v>
      </c>
      <c r="Q10" s="19">
        <v>43</v>
      </c>
      <c r="R10" s="20">
        <v>428.67489999999998</v>
      </c>
      <c r="S10" s="20">
        <v>0</v>
      </c>
      <c r="T10" s="19">
        <v>3</v>
      </c>
      <c r="U10" s="20">
        <v>49.351399999999998</v>
      </c>
      <c r="V10" s="19">
        <v>2</v>
      </c>
      <c r="W10" s="19">
        <v>12</v>
      </c>
      <c r="X10" s="19">
        <v>3</v>
      </c>
      <c r="Z10" s="6" t="str">
        <f t="shared" ref="Z10:AA10" si="11">D27</f>
        <v>Game.printBoard</v>
      </c>
      <c r="AA10" s="27">
        <f t="shared" si="11"/>
        <v>5</v>
      </c>
      <c r="AB10" s="27">
        <f>G27</f>
        <v>4</v>
      </c>
      <c r="AC10" s="27">
        <f>F27</f>
        <v>32</v>
      </c>
      <c r="AD10" s="28">
        <f t="shared" ref="AD10:AF10" si="12">(AA10-MIN(AA$6:AA$236))/(MAX(AA$6:AA$236)-MIN(AA$6:AA$236))</f>
        <v>0.1111111111111111</v>
      </c>
      <c r="AE10" s="28">
        <f t="shared" si="12"/>
        <v>0.8</v>
      </c>
      <c r="AF10" s="28">
        <f t="shared" si="12"/>
        <v>0.24615384615384617</v>
      </c>
      <c r="AG10" s="29">
        <f t="shared" si="4"/>
        <v>1.1572649572649574</v>
      </c>
    </row>
    <row r="11" spans="1:33" ht="14.4" x14ac:dyDescent="0.3">
      <c r="A11" s="12" t="s">
        <v>50</v>
      </c>
      <c r="B11" s="12" t="s">
        <v>178</v>
      </c>
      <c r="C11" s="12" t="s">
        <v>249</v>
      </c>
      <c r="D11" s="14" t="s">
        <v>250</v>
      </c>
      <c r="E11" s="23">
        <v>10</v>
      </c>
      <c r="F11" s="23">
        <v>46</v>
      </c>
      <c r="G11" s="23">
        <v>0</v>
      </c>
      <c r="H11" s="23">
        <v>10</v>
      </c>
      <c r="I11" s="23">
        <v>2</v>
      </c>
      <c r="J11" s="22">
        <v>0.5625</v>
      </c>
      <c r="K11" s="23">
        <v>14</v>
      </c>
      <c r="L11" s="23">
        <v>1</v>
      </c>
      <c r="M11" s="22">
        <v>43.421100000000003</v>
      </c>
      <c r="N11" s="24">
        <v>29011.7968</v>
      </c>
      <c r="O11" s="22">
        <v>0.31469999999999998</v>
      </c>
      <c r="P11" s="23">
        <v>119</v>
      </c>
      <c r="Q11" s="23">
        <v>49</v>
      </c>
      <c r="R11" s="22">
        <v>668.15049999999997</v>
      </c>
      <c r="S11" s="22">
        <v>0.8</v>
      </c>
      <c r="T11" s="23">
        <v>2</v>
      </c>
      <c r="U11" s="22">
        <v>43.639800000000001</v>
      </c>
      <c r="V11" s="23">
        <v>2</v>
      </c>
      <c r="W11" s="23">
        <v>15</v>
      </c>
      <c r="X11" s="23">
        <v>6</v>
      </c>
      <c r="Z11" s="12" t="str">
        <f t="shared" ref="Z11:AA11" si="13">D8</f>
        <v>AiShotStrategy.computeShots</v>
      </c>
      <c r="AA11" s="30">
        <f t="shared" si="13"/>
        <v>19</v>
      </c>
      <c r="AB11" s="30">
        <f>G8</f>
        <v>1</v>
      </c>
      <c r="AC11" s="30">
        <f>F8</f>
        <v>55</v>
      </c>
      <c r="AD11" s="31">
        <f t="shared" ref="AD11:AF11" si="14">(AA11-MIN(AA$6:AA$236))/(MAX(AA$6:AA$236)-MIN(AA$6:AA$236))</f>
        <v>0.5</v>
      </c>
      <c r="AE11" s="31">
        <f t="shared" si="14"/>
        <v>0.2</v>
      </c>
      <c r="AF11" s="31">
        <f t="shared" si="14"/>
        <v>0.42307692307692307</v>
      </c>
      <c r="AG11" s="32">
        <f t="shared" si="4"/>
        <v>1.1230769230769231</v>
      </c>
    </row>
    <row r="12" spans="1:33" ht="14.4" x14ac:dyDescent="0.3">
      <c r="A12" s="6" t="s">
        <v>50</v>
      </c>
      <c r="B12" s="6" t="s">
        <v>168</v>
      </c>
      <c r="C12" s="6" t="s">
        <v>215</v>
      </c>
      <c r="D12" s="8" t="s">
        <v>252</v>
      </c>
      <c r="E12" s="19">
        <v>10</v>
      </c>
      <c r="F12" s="19">
        <v>29</v>
      </c>
      <c r="G12" s="19">
        <v>2</v>
      </c>
      <c r="H12" s="19">
        <v>9</v>
      </c>
      <c r="I12" s="19">
        <v>1</v>
      </c>
      <c r="J12" s="20">
        <v>0.44440000000000002</v>
      </c>
      <c r="K12" s="19">
        <v>7</v>
      </c>
      <c r="L12" s="19">
        <v>1</v>
      </c>
      <c r="M12" s="20">
        <v>22.142900000000001</v>
      </c>
      <c r="N12" s="21">
        <v>7322.3126000000002</v>
      </c>
      <c r="O12" s="20">
        <v>0.12570000000000001</v>
      </c>
      <c r="P12" s="19">
        <v>65</v>
      </c>
      <c r="Q12" s="19">
        <v>34</v>
      </c>
      <c r="R12" s="20">
        <v>330.68509999999998</v>
      </c>
      <c r="S12" s="20">
        <v>0</v>
      </c>
      <c r="T12" s="19">
        <v>2</v>
      </c>
      <c r="U12" s="20">
        <v>50.154899999999998</v>
      </c>
      <c r="V12" s="19">
        <v>1</v>
      </c>
      <c r="W12" s="19">
        <v>15</v>
      </c>
      <c r="X12" s="19">
        <v>6</v>
      </c>
      <c r="Z12" s="6" t="str">
        <f t="shared" ref="Z12:AA12" si="15">D14</f>
        <v>CallbackClient.sendShots</v>
      </c>
      <c r="AA12" s="27">
        <f t="shared" si="15"/>
        <v>9</v>
      </c>
      <c r="AB12" s="27">
        <f>G14</f>
        <v>2</v>
      </c>
      <c r="AC12" s="27">
        <f>F14</f>
        <v>62</v>
      </c>
      <c r="AD12" s="28">
        <f t="shared" ref="AD12:AF12" si="16">(AA12-MIN(AA$6:AA$236))/(MAX(AA$6:AA$236)-MIN(AA$6:AA$236))</f>
        <v>0.22222222222222221</v>
      </c>
      <c r="AE12" s="28">
        <f t="shared" si="16"/>
        <v>0.4</v>
      </c>
      <c r="AF12" s="28">
        <f t="shared" si="16"/>
        <v>0.47692307692307695</v>
      </c>
      <c r="AG12" s="29">
        <f t="shared" si="4"/>
        <v>1.0991452991452992</v>
      </c>
    </row>
    <row r="13" spans="1:33" ht="14.4" x14ac:dyDescent="0.3">
      <c r="A13" s="12" t="s">
        <v>95</v>
      </c>
      <c r="B13" s="12" t="s">
        <v>197</v>
      </c>
      <c r="C13" s="12" t="s">
        <v>254</v>
      </c>
      <c r="D13" s="14" t="s">
        <v>255</v>
      </c>
      <c r="E13" s="23">
        <v>10</v>
      </c>
      <c r="F13" s="23">
        <v>24</v>
      </c>
      <c r="G13" s="23">
        <v>2</v>
      </c>
      <c r="H13" s="23">
        <v>7</v>
      </c>
      <c r="I13" s="23">
        <v>1</v>
      </c>
      <c r="J13" s="22">
        <v>0.36359999999999998</v>
      </c>
      <c r="K13" s="23">
        <v>11</v>
      </c>
      <c r="L13" s="23">
        <v>1</v>
      </c>
      <c r="M13" s="22">
        <v>34.5</v>
      </c>
      <c r="N13" s="24">
        <v>8790.2484999999997</v>
      </c>
      <c r="O13" s="22">
        <v>0.14199999999999999</v>
      </c>
      <c r="P13" s="23">
        <v>53</v>
      </c>
      <c r="Q13" s="23">
        <v>28</v>
      </c>
      <c r="R13" s="22">
        <v>254.78980000000001</v>
      </c>
      <c r="S13" s="22">
        <v>0</v>
      </c>
      <c r="T13" s="23">
        <v>2</v>
      </c>
      <c r="U13" s="22">
        <v>52.743699999999997</v>
      </c>
      <c r="V13" s="23">
        <v>3</v>
      </c>
      <c r="W13" s="23">
        <v>5</v>
      </c>
      <c r="X13" s="23">
        <v>2</v>
      </c>
      <c r="Z13" s="12" t="str">
        <f t="shared" ref="Z13:AA13" si="17">D22</f>
        <v>GameController.evaluateShots</v>
      </c>
      <c r="AA13" s="30">
        <f t="shared" si="17"/>
        <v>6</v>
      </c>
      <c r="AB13" s="30">
        <f>G22</f>
        <v>3</v>
      </c>
      <c r="AC13" s="30">
        <f>F22</f>
        <v>41</v>
      </c>
      <c r="AD13" s="31">
        <f t="shared" ref="AD13:AF13" si="18">(AA13-MIN(AA$6:AA$236))/(MAX(AA$6:AA$236)-MIN(AA$6:AA$236))</f>
        <v>0.1388888888888889</v>
      </c>
      <c r="AE13" s="31">
        <f t="shared" si="18"/>
        <v>0.6</v>
      </c>
      <c r="AF13" s="31">
        <f t="shared" si="18"/>
        <v>0.31538461538461537</v>
      </c>
      <c r="AG13" s="32">
        <f t="shared" si="4"/>
        <v>1.0542735042735043</v>
      </c>
    </row>
    <row r="14" spans="1:33" ht="14.4" x14ac:dyDescent="0.3">
      <c r="A14" s="6" t="s">
        <v>95</v>
      </c>
      <c r="B14" s="6" t="s">
        <v>199</v>
      </c>
      <c r="C14" s="6" t="s">
        <v>257</v>
      </c>
      <c r="D14" s="8" t="s">
        <v>258</v>
      </c>
      <c r="E14" s="19">
        <v>9</v>
      </c>
      <c r="F14" s="19">
        <v>62</v>
      </c>
      <c r="G14" s="19">
        <v>2</v>
      </c>
      <c r="H14" s="19">
        <v>8</v>
      </c>
      <c r="I14" s="19">
        <v>1</v>
      </c>
      <c r="J14" s="20">
        <v>0.51719999999999999</v>
      </c>
      <c r="K14" s="19">
        <v>28</v>
      </c>
      <c r="L14" s="19">
        <v>6</v>
      </c>
      <c r="M14" s="20">
        <v>39.416699999999999</v>
      </c>
      <c r="N14" s="21">
        <v>32798.571199999998</v>
      </c>
      <c r="O14" s="20">
        <v>0.34150000000000003</v>
      </c>
      <c r="P14" s="19">
        <v>132</v>
      </c>
      <c r="Q14" s="19">
        <v>79</v>
      </c>
      <c r="R14" s="20">
        <v>832.09910000000002</v>
      </c>
      <c r="S14" s="20">
        <v>0.1429</v>
      </c>
      <c r="T14" s="19">
        <v>1</v>
      </c>
      <c r="U14" s="20">
        <v>40.1586</v>
      </c>
      <c r="V14" s="19">
        <v>1</v>
      </c>
      <c r="W14" s="19">
        <v>22</v>
      </c>
      <c r="X14" s="19">
        <v>1</v>
      </c>
      <c r="Z14" s="6" t="str">
        <f t="shared" ref="Z14:AA14" si="19">D19</f>
        <v>Ship.buildShip</v>
      </c>
      <c r="AA14" s="27">
        <f t="shared" si="19"/>
        <v>7</v>
      </c>
      <c r="AB14" s="27">
        <f>G19</f>
        <v>3</v>
      </c>
      <c r="AC14" s="27">
        <f>F19</f>
        <v>36</v>
      </c>
      <c r="AD14" s="28">
        <f t="shared" ref="AD14:AF14" si="20">(AA14-MIN(AA$6:AA$236))/(MAX(AA$6:AA$236)-MIN(AA$6:AA$236))</f>
        <v>0.16666666666666666</v>
      </c>
      <c r="AE14" s="28">
        <f t="shared" si="20"/>
        <v>0.6</v>
      </c>
      <c r="AF14" s="28">
        <f t="shared" si="20"/>
        <v>0.27692307692307694</v>
      </c>
      <c r="AG14" s="29">
        <f t="shared" si="4"/>
        <v>1.0435897435897434</v>
      </c>
    </row>
    <row r="15" spans="1:33" ht="14.4" x14ac:dyDescent="0.3">
      <c r="A15" s="12" t="s">
        <v>50</v>
      </c>
      <c r="B15" s="12" t="s">
        <v>170</v>
      </c>
      <c r="C15" s="12" t="s">
        <v>217</v>
      </c>
      <c r="D15" s="14" t="s">
        <v>259</v>
      </c>
      <c r="E15" s="23">
        <v>9</v>
      </c>
      <c r="F15" s="23">
        <v>27</v>
      </c>
      <c r="G15" s="23">
        <v>2</v>
      </c>
      <c r="H15" s="23">
        <v>5</v>
      </c>
      <c r="I15" s="23">
        <v>0</v>
      </c>
      <c r="J15" s="22">
        <v>0.5</v>
      </c>
      <c r="K15" s="23">
        <v>6</v>
      </c>
      <c r="L15" s="23">
        <v>1</v>
      </c>
      <c r="M15" s="22">
        <v>27</v>
      </c>
      <c r="N15" s="24">
        <v>12198.390299999999</v>
      </c>
      <c r="O15" s="22">
        <v>0.17660000000000001</v>
      </c>
      <c r="P15" s="23">
        <v>93</v>
      </c>
      <c r="Q15" s="23">
        <v>29</v>
      </c>
      <c r="R15" s="22">
        <v>451.79219999999998</v>
      </c>
      <c r="S15" s="22">
        <v>0</v>
      </c>
      <c r="T15" s="23">
        <v>1</v>
      </c>
      <c r="U15" s="22">
        <v>49.8962</v>
      </c>
      <c r="V15" s="23">
        <v>1</v>
      </c>
      <c r="W15" s="23">
        <v>10</v>
      </c>
      <c r="X15" s="23">
        <v>4</v>
      </c>
      <c r="Z15" s="12" t="str">
        <f t="shared" ref="Z15:AA15" si="21">D80</f>
        <v>Ship.Ship</v>
      </c>
      <c r="AA15" s="30">
        <f t="shared" si="21"/>
        <v>1</v>
      </c>
      <c r="AB15" s="30">
        <f>G80</f>
        <v>4</v>
      </c>
      <c r="AC15" s="30">
        <f>F80</f>
        <v>19</v>
      </c>
      <c r="AD15" s="31">
        <f t="shared" ref="AD15:AF15" si="22">(AA15-MIN(AA$6:AA$236))/(MAX(AA$6:AA$236)-MIN(AA$6:AA$236))</f>
        <v>0</v>
      </c>
      <c r="AE15" s="31">
        <f t="shared" si="22"/>
        <v>0.8</v>
      </c>
      <c r="AF15" s="31">
        <f t="shared" si="22"/>
        <v>0.14615384615384616</v>
      </c>
      <c r="AG15" s="32">
        <f t="shared" si="4"/>
        <v>0.94615384615384623</v>
      </c>
    </row>
    <row r="16" spans="1:33" ht="14.4" x14ac:dyDescent="0.3">
      <c r="A16" s="6" t="s">
        <v>50</v>
      </c>
      <c r="B16" s="6" t="s">
        <v>171</v>
      </c>
      <c r="C16" s="6" t="s">
        <v>218</v>
      </c>
      <c r="D16" s="8" t="s">
        <v>261</v>
      </c>
      <c r="E16" s="19">
        <v>9</v>
      </c>
      <c r="F16" s="19">
        <v>27</v>
      </c>
      <c r="G16" s="19">
        <v>2</v>
      </c>
      <c r="H16" s="19">
        <v>5</v>
      </c>
      <c r="I16" s="19">
        <v>0</v>
      </c>
      <c r="J16" s="20">
        <v>0.5</v>
      </c>
      <c r="K16" s="19">
        <v>6</v>
      </c>
      <c r="L16" s="19">
        <v>1</v>
      </c>
      <c r="M16" s="20">
        <v>27</v>
      </c>
      <c r="N16" s="21">
        <v>12198.390299999999</v>
      </c>
      <c r="O16" s="20">
        <v>0.17660000000000001</v>
      </c>
      <c r="P16" s="19">
        <v>93</v>
      </c>
      <c r="Q16" s="19">
        <v>29</v>
      </c>
      <c r="R16" s="20">
        <v>451.79219999999998</v>
      </c>
      <c r="S16" s="20">
        <v>0</v>
      </c>
      <c r="T16" s="19">
        <v>1</v>
      </c>
      <c r="U16" s="20">
        <v>49.8962</v>
      </c>
      <c r="V16" s="19">
        <v>1</v>
      </c>
      <c r="W16" s="19">
        <v>10</v>
      </c>
      <c r="X16" s="19">
        <v>4</v>
      </c>
      <c r="Z16" s="6" t="str">
        <f t="shared" ref="Z16:AA16" si="23">D44</f>
        <v>GamePDFExporter.generatePDF</v>
      </c>
      <c r="AA16" s="27">
        <f t="shared" si="23"/>
        <v>3</v>
      </c>
      <c r="AB16" s="27">
        <f>G44</f>
        <v>3</v>
      </c>
      <c r="AC16" s="27">
        <f>F44</f>
        <v>32</v>
      </c>
      <c r="AD16" s="28">
        <f t="shared" ref="AD16:AF16" si="24">(AA16-MIN(AA$6:AA$236))/(MAX(AA$6:AA$236)-MIN(AA$6:AA$236))</f>
        <v>5.5555555555555552E-2</v>
      </c>
      <c r="AE16" s="28">
        <f t="shared" si="24"/>
        <v>0.6</v>
      </c>
      <c r="AF16" s="28">
        <f t="shared" si="24"/>
        <v>0.24615384615384617</v>
      </c>
      <c r="AG16" s="29">
        <f t="shared" si="4"/>
        <v>0.90170940170940173</v>
      </c>
    </row>
    <row r="17" spans="1:33" ht="14.4" x14ac:dyDescent="0.3">
      <c r="A17" s="12" t="s">
        <v>50</v>
      </c>
      <c r="B17" s="12" t="s">
        <v>176</v>
      </c>
      <c r="C17" s="12" t="s">
        <v>263</v>
      </c>
      <c r="D17" s="14" t="s">
        <v>264</v>
      </c>
      <c r="E17" s="23">
        <v>9</v>
      </c>
      <c r="F17" s="23">
        <v>27</v>
      </c>
      <c r="G17" s="23">
        <v>2</v>
      </c>
      <c r="H17" s="23">
        <v>5</v>
      </c>
      <c r="I17" s="23">
        <v>0</v>
      </c>
      <c r="J17" s="22">
        <v>0.5</v>
      </c>
      <c r="K17" s="23">
        <v>6</v>
      </c>
      <c r="L17" s="23">
        <v>1</v>
      </c>
      <c r="M17" s="22">
        <v>27</v>
      </c>
      <c r="N17" s="24">
        <v>12198.390299999999</v>
      </c>
      <c r="O17" s="22">
        <v>0.17660000000000001</v>
      </c>
      <c r="P17" s="23">
        <v>93</v>
      </c>
      <c r="Q17" s="23">
        <v>29</v>
      </c>
      <c r="R17" s="22">
        <v>451.79219999999998</v>
      </c>
      <c r="S17" s="22">
        <v>0</v>
      </c>
      <c r="T17" s="23">
        <v>1</v>
      </c>
      <c r="U17" s="22">
        <v>49.8962</v>
      </c>
      <c r="V17" s="23">
        <v>1</v>
      </c>
      <c r="W17" s="23">
        <v>10</v>
      </c>
      <c r="X17" s="23">
        <v>4</v>
      </c>
      <c r="Z17" s="12" t="str">
        <f t="shared" ref="Z17:AA17" si="25">D12</f>
        <v>BoardState.ownBoard</v>
      </c>
      <c r="AA17" s="30">
        <f t="shared" si="25"/>
        <v>10</v>
      </c>
      <c r="AB17" s="30">
        <f>G12</f>
        <v>2</v>
      </c>
      <c r="AC17" s="30">
        <f>F12</f>
        <v>29</v>
      </c>
      <c r="AD17" s="31">
        <f t="shared" ref="AD17:AF17" si="26">(AA17-MIN(AA$6:AA$236))/(MAX(AA$6:AA$236)-MIN(AA$6:AA$236))</f>
        <v>0.25</v>
      </c>
      <c r="AE17" s="31">
        <f t="shared" si="26"/>
        <v>0.4</v>
      </c>
      <c r="AF17" s="31">
        <f t="shared" si="26"/>
        <v>0.22307692307692309</v>
      </c>
      <c r="AG17" s="32">
        <f t="shared" si="4"/>
        <v>0.87307692307692308</v>
      </c>
    </row>
    <row r="18" spans="1:33" ht="14.4" x14ac:dyDescent="0.3">
      <c r="A18" s="6" t="s">
        <v>50</v>
      </c>
      <c r="B18" s="6" t="s">
        <v>196</v>
      </c>
      <c r="C18" s="6" t="s">
        <v>266</v>
      </c>
      <c r="D18" s="8" t="s">
        <v>267</v>
      </c>
      <c r="E18" s="19">
        <v>8</v>
      </c>
      <c r="F18" s="19">
        <v>23</v>
      </c>
      <c r="G18" s="19">
        <v>1</v>
      </c>
      <c r="H18" s="19">
        <v>7</v>
      </c>
      <c r="I18" s="19">
        <v>1</v>
      </c>
      <c r="J18" s="20">
        <v>0.375</v>
      </c>
      <c r="K18" s="19">
        <v>8</v>
      </c>
      <c r="L18" s="19">
        <v>0</v>
      </c>
      <c r="M18" s="20">
        <v>24.285699999999999</v>
      </c>
      <c r="N18" s="21">
        <v>8772.2394999999997</v>
      </c>
      <c r="O18" s="20">
        <v>0.14180000000000001</v>
      </c>
      <c r="P18" s="19">
        <v>71</v>
      </c>
      <c r="Q18" s="19">
        <v>34</v>
      </c>
      <c r="R18" s="20">
        <v>361.2099</v>
      </c>
      <c r="S18" s="20">
        <v>0</v>
      </c>
      <c r="T18" s="19">
        <v>0</v>
      </c>
      <c r="U18" s="20">
        <v>52.107900000000001</v>
      </c>
      <c r="V18" s="19">
        <v>1</v>
      </c>
      <c r="W18" s="19">
        <v>8</v>
      </c>
      <c r="X18" s="19">
        <v>0</v>
      </c>
      <c r="Z18" s="6" t="str">
        <f t="shared" ref="Z18:AA18" si="27">D31</f>
        <v>GamePDFExporter.appendMoves</v>
      </c>
      <c r="AA18" s="27">
        <f t="shared" si="27"/>
        <v>5</v>
      </c>
      <c r="AB18" s="27">
        <f>G31</f>
        <v>3</v>
      </c>
      <c r="AC18" s="27">
        <f>F31</f>
        <v>19</v>
      </c>
      <c r="AD18" s="28">
        <f t="shared" ref="AD18:AF18" si="28">(AA18-MIN(AA$6:AA$236))/(MAX(AA$6:AA$236)-MIN(AA$6:AA$236))</f>
        <v>0.1111111111111111</v>
      </c>
      <c r="AE18" s="28">
        <f t="shared" si="28"/>
        <v>0.6</v>
      </c>
      <c r="AF18" s="28">
        <f t="shared" si="28"/>
        <v>0.14615384615384616</v>
      </c>
      <c r="AG18" s="29">
        <f t="shared" si="4"/>
        <v>0.85726495726495722</v>
      </c>
    </row>
    <row r="19" spans="1:33" ht="14.4" x14ac:dyDescent="0.3">
      <c r="A19" s="12" t="s">
        <v>50</v>
      </c>
      <c r="B19" s="12" t="s">
        <v>195</v>
      </c>
      <c r="C19" s="12" t="s">
        <v>268</v>
      </c>
      <c r="D19" s="14" t="s">
        <v>269</v>
      </c>
      <c r="E19" s="23">
        <v>7</v>
      </c>
      <c r="F19" s="23">
        <v>36</v>
      </c>
      <c r="G19" s="23">
        <v>3</v>
      </c>
      <c r="H19" s="23">
        <v>1</v>
      </c>
      <c r="I19" s="23">
        <v>0</v>
      </c>
      <c r="J19" s="22">
        <v>0</v>
      </c>
      <c r="K19" s="23">
        <v>0</v>
      </c>
      <c r="L19" s="23">
        <v>0</v>
      </c>
      <c r="M19" s="22">
        <v>13.5</v>
      </c>
      <c r="N19" s="24">
        <v>3154.0862000000002</v>
      </c>
      <c r="O19" s="22">
        <v>7.17E-2</v>
      </c>
      <c r="P19" s="23">
        <v>55</v>
      </c>
      <c r="Q19" s="23">
        <v>19</v>
      </c>
      <c r="R19" s="22">
        <v>233.636</v>
      </c>
      <c r="S19" s="22">
        <v>1</v>
      </c>
      <c r="T19" s="23">
        <v>0</v>
      </c>
      <c r="U19" s="22">
        <v>49.212899999999998</v>
      </c>
      <c r="V19" s="23">
        <v>1</v>
      </c>
      <c r="W19" s="23">
        <v>9</v>
      </c>
      <c r="X19" s="23">
        <v>0</v>
      </c>
      <c r="Z19" s="12" t="str">
        <f t="shared" ref="Z19:AA19" si="29">D125</f>
        <v>CellIcon.paintIcon</v>
      </c>
      <c r="AA19" s="30">
        <f t="shared" si="29"/>
        <v>1</v>
      </c>
      <c r="AB19" s="30">
        <f>G125</f>
        <v>4</v>
      </c>
      <c r="AC19" s="30">
        <f>F125</f>
        <v>6</v>
      </c>
      <c r="AD19" s="31">
        <f t="shared" ref="AD19:AF19" si="30">(AA19-MIN(AA$6:AA$236))/(MAX(AA$6:AA$236)-MIN(AA$6:AA$236))</f>
        <v>0</v>
      </c>
      <c r="AE19" s="31">
        <f t="shared" si="30"/>
        <v>0.8</v>
      </c>
      <c r="AF19" s="31">
        <f t="shared" si="30"/>
        <v>4.6153846153846156E-2</v>
      </c>
      <c r="AG19" s="32">
        <f t="shared" si="4"/>
        <v>0.84615384615384626</v>
      </c>
    </row>
    <row r="20" spans="1:33" ht="14.4" x14ac:dyDescent="0.3">
      <c r="A20" s="6" t="s">
        <v>50</v>
      </c>
      <c r="B20" s="6" t="s">
        <v>178</v>
      </c>
      <c r="C20" s="6" t="s">
        <v>271</v>
      </c>
      <c r="D20" s="8" t="s">
        <v>272</v>
      </c>
      <c r="E20" s="19">
        <v>7</v>
      </c>
      <c r="F20" s="19">
        <v>13</v>
      </c>
      <c r="G20" s="19">
        <v>2</v>
      </c>
      <c r="H20" s="19">
        <v>6</v>
      </c>
      <c r="I20" s="19">
        <v>2</v>
      </c>
      <c r="J20" s="20">
        <v>0.5</v>
      </c>
      <c r="K20" s="19">
        <v>4</v>
      </c>
      <c r="L20" s="19">
        <v>0</v>
      </c>
      <c r="M20" s="20">
        <v>14.7727</v>
      </c>
      <c r="N20" s="21">
        <v>2980.2256000000002</v>
      </c>
      <c r="O20" s="20">
        <v>6.9000000000000006E-2</v>
      </c>
      <c r="P20" s="19">
        <v>44</v>
      </c>
      <c r="Q20" s="19">
        <v>24</v>
      </c>
      <c r="R20" s="20">
        <v>201.73840000000001</v>
      </c>
      <c r="S20" s="20">
        <v>1</v>
      </c>
      <c r="T20" s="19">
        <v>2</v>
      </c>
      <c r="U20" s="20">
        <v>59.311700000000002</v>
      </c>
      <c r="V20" s="19">
        <v>2</v>
      </c>
      <c r="W20" s="19">
        <v>11</v>
      </c>
      <c r="X20" s="19">
        <v>2</v>
      </c>
      <c r="Z20" s="6" t="str">
        <f t="shared" ref="Z20:AA20" si="31">D37</f>
        <v>CallbackClient.recordAiMove</v>
      </c>
      <c r="AA20" s="27">
        <f t="shared" si="31"/>
        <v>4</v>
      </c>
      <c r="AB20" s="27">
        <f>G37</f>
        <v>3</v>
      </c>
      <c r="AC20" s="27">
        <f>F37</f>
        <v>20</v>
      </c>
      <c r="AD20" s="28">
        <f t="shared" ref="AD20:AF20" si="32">(AA20-MIN(AA$6:AA$236))/(MAX(AA$6:AA$236)-MIN(AA$6:AA$236))</f>
        <v>8.3333333333333329E-2</v>
      </c>
      <c r="AE20" s="28">
        <f t="shared" si="32"/>
        <v>0.6</v>
      </c>
      <c r="AF20" s="28">
        <f t="shared" si="32"/>
        <v>0.15384615384615385</v>
      </c>
      <c r="AG20" s="29">
        <f t="shared" si="4"/>
        <v>0.8371794871794872</v>
      </c>
    </row>
    <row r="21" spans="1:33" ht="15.75" customHeight="1" x14ac:dyDescent="0.3">
      <c r="A21" s="12" t="s">
        <v>50</v>
      </c>
      <c r="B21" s="12" t="s">
        <v>178</v>
      </c>
      <c r="C21" s="12" t="s">
        <v>274</v>
      </c>
      <c r="D21" s="14" t="s">
        <v>275</v>
      </c>
      <c r="E21" s="23">
        <v>6</v>
      </c>
      <c r="F21" s="23">
        <v>42</v>
      </c>
      <c r="G21" s="23">
        <v>1</v>
      </c>
      <c r="H21" s="23">
        <v>7</v>
      </c>
      <c r="I21" s="23">
        <v>2</v>
      </c>
      <c r="J21" s="22">
        <v>0.28570000000000001</v>
      </c>
      <c r="K21" s="23">
        <v>12</v>
      </c>
      <c r="L21" s="23">
        <v>0</v>
      </c>
      <c r="M21" s="22">
        <v>26.1</v>
      </c>
      <c r="N21" s="24">
        <v>9570.2849999999999</v>
      </c>
      <c r="O21" s="22">
        <v>0.15029999999999999</v>
      </c>
      <c r="P21" s="23">
        <v>68</v>
      </c>
      <c r="Q21" s="23">
        <v>42</v>
      </c>
      <c r="R21" s="22">
        <v>366.67759999999998</v>
      </c>
      <c r="S21" s="22">
        <v>1</v>
      </c>
      <c r="T21" s="23">
        <v>1</v>
      </c>
      <c r="U21" s="22">
        <v>46.4</v>
      </c>
      <c r="V21" s="23">
        <v>3</v>
      </c>
      <c r="W21" s="23">
        <v>8</v>
      </c>
      <c r="X21" s="23">
        <v>1</v>
      </c>
      <c r="Z21" s="12" t="str">
        <f t="shared" ref="Z21:AA21" si="33">D13</f>
        <v>AiShotStrategy.getHitButNotSunkPositions</v>
      </c>
      <c r="AA21" s="30">
        <f t="shared" si="33"/>
        <v>10</v>
      </c>
      <c r="AB21" s="30">
        <f>G13</f>
        <v>2</v>
      </c>
      <c r="AC21" s="30">
        <f>F13</f>
        <v>24</v>
      </c>
      <c r="AD21" s="31">
        <f t="shared" ref="AD21:AF21" si="34">(AA21-MIN(AA$6:AA$236))/(MAX(AA$6:AA$236)-MIN(AA$6:AA$236))</f>
        <v>0.25</v>
      </c>
      <c r="AE21" s="31">
        <f t="shared" si="34"/>
        <v>0.4</v>
      </c>
      <c r="AF21" s="31">
        <f t="shared" si="34"/>
        <v>0.18461538461538463</v>
      </c>
      <c r="AG21" s="32">
        <f t="shared" si="4"/>
        <v>0.83461538461538465</v>
      </c>
    </row>
    <row r="22" spans="1:33" ht="15.75" customHeight="1" x14ac:dyDescent="0.3">
      <c r="A22" s="6" t="s">
        <v>95</v>
      </c>
      <c r="B22" s="6" t="s">
        <v>210</v>
      </c>
      <c r="C22" s="6" t="s">
        <v>277</v>
      </c>
      <c r="D22" s="8" t="s">
        <v>278</v>
      </c>
      <c r="E22" s="19">
        <v>6</v>
      </c>
      <c r="F22" s="19">
        <v>41</v>
      </c>
      <c r="G22" s="19">
        <v>3</v>
      </c>
      <c r="H22" s="19">
        <v>6</v>
      </c>
      <c r="I22" s="19">
        <v>1</v>
      </c>
      <c r="J22" s="20">
        <v>0.46150000000000002</v>
      </c>
      <c r="K22" s="19">
        <v>13</v>
      </c>
      <c r="L22" s="19">
        <v>3</v>
      </c>
      <c r="M22" s="20">
        <v>26.4</v>
      </c>
      <c r="N22" s="21">
        <v>14224.1911</v>
      </c>
      <c r="O22" s="20">
        <v>0.19570000000000001</v>
      </c>
      <c r="P22" s="19">
        <v>97</v>
      </c>
      <c r="Q22" s="19">
        <v>47</v>
      </c>
      <c r="R22" s="20">
        <v>538.79510000000005</v>
      </c>
      <c r="S22" s="20">
        <v>0</v>
      </c>
      <c r="T22" s="19">
        <v>1</v>
      </c>
      <c r="U22" s="20">
        <v>45.456800000000001</v>
      </c>
      <c r="V22" s="19">
        <v>2</v>
      </c>
      <c r="W22" s="19">
        <v>18</v>
      </c>
      <c r="X22" s="19">
        <v>1</v>
      </c>
      <c r="Z22" s="6" t="str">
        <f t="shared" ref="Z22:AA22" si="35">D146</f>
        <v>ShotResult.ShotResult</v>
      </c>
      <c r="AA22" s="27">
        <f t="shared" si="35"/>
        <v>1</v>
      </c>
      <c r="AB22" s="27">
        <f>G146</f>
        <v>4</v>
      </c>
      <c r="AC22" s="27">
        <f>F146</f>
        <v>4</v>
      </c>
      <c r="AD22" s="28">
        <f t="shared" ref="AD22:AF22" si="36">(AA22-MIN(AA$6:AA$236))/(MAX(AA$6:AA$236)-MIN(AA$6:AA$236))</f>
        <v>0</v>
      </c>
      <c r="AE22" s="28">
        <f t="shared" si="36"/>
        <v>0.8</v>
      </c>
      <c r="AF22" s="28">
        <f t="shared" si="36"/>
        <v>3.0769230769230771E-2</v>
      </c>
      <c r="AG22" s="29">
        <f t="shared" si="4"/>
        <v>0.83076923076923082</v>
      </c>
    </row>
    <row r="23" spans="1:33" ht="15.75" customHeight="1" x14ac:dyDescent="0.3">
      <c r="A23" s="12" t="s">
        <v>50</v>
      </c>
      <c r="B23" s="12" t="s">
        <v>178</v>
      </c>
      <c r="C23" s="12" t="s">
        <v>279</v>
      </c>
      <c r="D23" s="14" t="s">
        <v>280</v>
      </c>
      <c r="E23" s="23">
        <v>6</v>
      </c>
      <c r="F23" s="23">
        <v>33</v>
      </c>
      <c r="G23" s="23">
        <v>2</v>
      </c>
      <c r="H23" s="23">
        <v>6</v>
      </c>
      <c r="I23" s="23">
        <v>2</v>
      </c>
      <c r="J23" s="22">
        <v>0.6</v>
      </c>
      <c r="K23" s="23">
        <v>4</v>
      </c>
      <c r="L23" s="23">
        <v>0</v>
      </c>
      <c r="M23" s="22">
        <v>24.7273</v>
      </c>
      <c r="N23" s="24">
        <v>7607.8576999999996</v>
      </c>
      <c r="O23" s="22">
        <v>0.12889999999999999</v>
      </c>
      <c r="P23" s="23">
        <v>64</v>
      </c>
      <c r="Q23" s="23">
        <v>28</v>
      </c>
      <c r="R23" s="22">
        <v>307.67070000000001</v>
      </c>
      <c r="S23" s="22">
        <v>1</v>
      </c>
      <c r="T23" s="23">
        <v>0</v>
      </c>
      <c r="U23" s="22">
        <v>49.219200000000001</v>
      </c>
      <c r="V23" s="23">
        <v>2</v>
      </c>
      <c r="W23" s="23">
        <v>8</v>
      </c>
      <c r="X23" s="23">
        <v>0</v>
      </c>
      <c r="Z23" s="12" t="str">
        <f t="shared" ref="Z23:AA23" si="37">D15</f>
        <v>Caravel.Caravel</v>
      </c>
      <c r="AA23" s="30">
        <f t="shared" si="37"/>
        <v>9</v>
      </c>
      <c r="AB23" s="30">
        <f t="shared" ref="AB23:AB25" si="38">G15</f>
        <v>2</v>
      </c>
      <c r="AC23" s="30">
        <f t="shared" ref="AC23:AC25" si="39">F15</f>
        <v>27</v>
      </c>
      <c r="AD23" s="31">
        <f t="shared" ref="AD23:AF23" si="40">(AA23-MIN(AA$6:AA$236))/(MAX(AA$6:AA$236)-MIN(AA$6:AA$236))</f>
        <v>0.22222222222222221</v>
      </c>
      <c r="AE23" s="31">
        <f t="shared" si="40"/>
        <v>0.4</v>
      </c>
      <c r="AF23" s="31">
        <f t="shared" si="40"/>
        <v>0.2076923076923077</v>
      </c>
      <c r="AG23" s="32">
        <f t="shared" si="4"/>
        <v>0.82991452991452996</v>
      </c>
    </row>
    <row r="24" spans="1:33" ht="15.75" customHeight="1" x14ac:dyDescent="0.3">
      <c r="A24" s="6" t="s">
        <v>50</v>
      </c>
      <c r="B24" s="6" t="s">
        <v>174</v>
      </c>
      <c r="C24" s="6" t="s">
        <v>225</v>
      </c>
      <c r="D24" s="8" t="s">
        <v>282</v>
      </c>
      <c r="E24" s="19">
        <v>6</v>
      </c>
      <c r="F24" s="19">
        <v>28</v>
      </c>
      <c r="G24" s="19">
        <v>1</v>
      </c>
      <c r="H24" s="19">
        <v>1</v>
      </c>
      <c r="I24" s="19">
        <v>0</v>
      </c>
      <c r="J24" s="20">
        <v>0</v>
      </c>
      <c r="K24" s="19">
        <v>0</v>
      </c>
      <c r="L24" s="19">
        <v>0</v>
      </c>
      <c r="M24" s="20">
        <v>5.0909000000000004</v>
      </c>
      <c r="N24" s="21">
        <v>615.63260000000002</v>
      </c>
      <c r="O24" s="20">
        <v>2.41E-2</v>
      </c>
      <c r="P24" s="19">
        <v>29</v>
      </c>
      <c r="Q24" s="19">
        <v>18</v>
      </c>
      <c r="R24" s="20">
        <v>120.9278</v>
      </c>
      <c r="S24" s="20">
        <v>1</v>
      </c>
      <c r="T24" s="19">
        <v>0</v>
      </c>
      <c r="U24" s="20">
        <v>53.632300000000001</v>
      </c>
      <c r="V24" s="19">
        <v>1</v>
      </c>
      <c r="W24" s="19">
        <v>6</v>
      </c>
      <c r="X24" s="19">
        <v>0</v>
      </c>
      <c r="Z24" s="6" t="str">
        <f t="shared" ref="Z24:AA24" si="41">D16</f>
        <v>Carrack.Carrack</v>
      </c>
      <c r="AA24" s="27">
        <f t="shared" si="41"/>
        <v>9</v>
      </c>
      <c r="AB24" s="27">
        <f t="shared" si="38"/>
        <v>2</v>
      </c>
      <c r="AC24" s="27">
        <f t="shared" si="39"/>
        <v>27</v>
      </c>
      <c r="AD24" s="28">
        <f t="shared" ref="AD24:AF24" si="42">(AA24-MIN(AA$6:AA$236))/(MAX(AA$6:AA$236)-MIN(AA$6:AA$236))</f>
        <v>0.22222222222222221</v>
      </c>
      <c r="AE24" s="28">
        <f t="shared" si="42"/>
        <v>0.4</v>
      </c>
      <c r="AF24" s="28">
        <f t="shared" si="42"/>
        <v>0.2076923076923077</v>
      </c>
      <c r="AG24" s="29">
        <f t="shared" si="4"/>
        <v>0.82991452991452996</v>
      </c>
    </row>
    <row r="25" spans="1:33" ht="15.75" customHeight="1" x14ac:dyDescent="0.3">
      <c r="A25" s="12" t="s">
        <v>50</v>
      </c>
      <c r="B25" s="12" t="s">
        <v>178</v>
      </c>
      <c r="C25" s="12" t="s">
        <v>283</v>
      </c>
      <c r="D25" s="14" t="s">
        <v>284</v>
      </c>
      <c r="E25" s="23">
        <v>6</v>
      </c>
      <c r="F25" s="23">
        <v>25</v>
      </c>
      <c r="G25" s="23">
        <v>1</v>
      </c>
      <c r="H25" s="23">
        <v>5</v>
      </c>
      <c r="I25" s="23">
        <v>0</v>
      </c>
      <c r="J25" s="22">
        <v>0.5</v>
      </c>
      <c r="K25" s="23">
        <v>4</v>
      </c>
      <c r="L25" s="23">
        <v>1</v>
      </c>
      <c r="M25" s="22">
        <v>22.235299999999999</v>
      </c>
      <c r="N25" s="24">
        <v>10685.3272</v>
      </c>
      <c r="O25" s="22">
        <v>0.16170000000000001</v>
      </c>
      <c r="P25" s="23">
        <v>97</v>
      </c>
      <c r="Q25" s="23">
        <v>31</v>
      </c>
      <c r="R25" s="22">
        <v>480.55700000000002</v>
      </c>
      <c r="S25" s="22">
        <v>0.5</v>
      </c>
      <c r="T25" s="23">
        <v>2</v>
      </c>
      <c r="U25" s="22">
        <v>50.490299999999998</v>
      </c>
      <c r="V25" s="23">
        <v>1</v>
      </c>
      <c r="W25" s="23">
        <v>10</v>
      </c>
      <c r="X25" s="23">
        <v>5</v>
      </c>
      <c r="Z25" s="12" t="str">
        <f t="shared" ref="Z25:AA25" si="43">D17</f>
        <v>Frigate.Frigate</v>
      </c>
      <c r="AA25" s="30">
        <f t="shared" si="43"/>
        <v>9</v>
      </c>
      <c r="AB25" s="30">
        <f t="shared" si="38"/>
        <v>2</v>
      </c>
      <c r="AC25" s="30">
        <f t="shared" si="39"/>
        <v>27</v>
      </c>
      <c r="AD25" s="31">
        <f t="shared" ref="AD25:AF25" si="44">(AA25-MIN(AA$6:AA$236))/(MAX(AA$6:AA$236)-MIN(AA$6:AA$236))</f>
        <v>0.22222222222222221</v>
      </c>
      <c r="AE25" s="31">
        <f t="shared" si="44"/>
        <v>0.4</v>
      </c>
      <c r="AF25" s="31">
        <f t="shared" si="44"/>
        <v>0.2076923076923077</v>
      </c>
      <c r="AG25" s="32">
        <f t="shared" si="4"/>
        <v>0.82991452991452996</v>
      </c>
    </row>
    <row r="26" spans="1:33" ht="15.75" customHeight="1" x14ac:dyDescent="0.3">
      <c r="A26" s="6" t="s">
        <v>95</v>
      </c>
      <c r="B26" s="6" t="s">
        <v>197</v>
      </c>
      <c r="C26" s="6" t="s">
        <v>285</v>
      </c>
      <c r="D26" s="8" t="s">
        <v>286</v>
      </c>
      <c r="E26" s="19">
        <v>6</v>
      </c>
      <c r="F26" s="19">
        <v>19</v>
      </c>
      <c r="G26" s="19">
        <v>2</v>
      </c>
      <c r="H26" s="19">
        <v>5</v>
      </c>
      <c r="I26" s="19">
        <v>2</v>
      </c>
      <c r="J26" s="20">
        <v>0.66669999999999996</v>
      </c>
      <c r="K26" s="19">
        <v>3</v>
      </c>
      <c r="L26" s="19">
        <v>1</v>
      </c>
      <c r="M26" s="20">
        <v>18.666699999999999</v>
      </c>
      <c r="N26" s="21">
        <v>3814.1538999999998</v>
      </c>
      <c r="O26" s="20">
        <v>8.14E-2</v>
      </c>
      <c r="P26" s="19">
        <v>44</v>
      </c>
      <c r="Q26" s="19">
        <v>25</v>
      </c>
      <c r="R26" s="20">
        <v>204.3297</v>
      </c>
      <c r="S26" s="20">
        <v>0</v>
      </c>
      <c r="T26" s="19">
        <v>2</v>
      </c>
      <c r="U26" s="20">
        <v>55.692300000000003</v>
      </c>
      <c r="V26" s="19">
        <v>4</v>
      </c>
      <c r="W26" s="19">
        <v>7</v>
      </c>
      <c r="X26" s="19">
        <v>2</v>
      </c>
      <c r="Z26" s="6" t="str">
        <f t="shared" ref="Z26:AA26" si="45">D23</f>
        <v>Game.fireSingleShot</v>
      </c>
      <c r="AA26" s="27">
        <f t="shared" si="45"/>
        <v>6</v>
      </c>
      <c r="AB26" s="27">
        <f>G23</f>
        <v>2</v>
      </c>
      <c r="AC26" s="27">
        <f>F23</f>
        <v>33</v>
      </c>
      <c r="AD26" s="28">
        <f t="shared" ref="AD26:AF26" si="46">(AA26-MIN(AA$6:AA$236))/(MAX(AA$6:AA$236)-MIN(AA$6:AA$236))</f>
        <v>0.1388888888888889</v>
      </c>
      <c r="AE26" s="28">
        <f t="shared" si="46"/>
        <v>0.4</v>
      </c>
      <c r="AF26" s="28">
        <f t="shared" si="46"/>
        <v>0.25384615384615383</v>
      </c>
      <c r="AG26" s="29">
        <f t="shared" si="4"/>
        <v>0.79273504273504281</v>
      </c>
    </row>
    <row r="27" spans="1:33" ht="15.75" customHeight="1" x14ac:dyDescent="0.3">
      <c r="A27" s="12" t="s">
        <v>50</v>
      </c>
      <c r="B27" s="12" t="s">
        <v>178</v>
      </c>
      <c r="C27" s="12" t="s">
        <v>287</v>
      </c>
      <c r="D27" s="14" t="s">
        <v>289</v>
      </c>
      <c r="E27" s="23">
        <v>5</v>
      </c>
      <c r="F27" s="23">
        <v>32</v>
      </c>
      <c r="G27" s="23">
        <v>4</v>
      </c>
      <c r="H27" s="23">
        <v>4</v>
      </c>
      <c r="I27" s="23">
        <v>1</v>
      </c>
      <c r="J27" s="22">
        <v>0.2</v>
      </c>
      <c r="K27" s="23">
        <v>2</v>
      </c>
      <c r="L27" s="23">
        <v>1</v>
      </c>
      <c r="M27" s="22">
        <v>16.434799999999999</v>
      </c>
      <c r="N27" s="24">
        <v>6251.5644000000002</v>
      </c>
      <c r="O27" s="22">
        <v>0.11310000000000001</v>
      </c>
      <c r="P27" s="23">
        <v>71</v>
      </c>
      <c r="Q27" s="23">
        <v>41</v>
      </c>
      <c r="R27" s="22">
        <v>380.38619999999997</v>
      </c>
      <c r="S27" s="22">
        <v>0.85709999999999997</v>
      </c>
      <c r="T27" s="23">
        <v>2</v>
      </c>
      <c r="U27" s="22">
        <v>48.886600000000001</v>
      </c>
      <c r="V27" s="23">
        <v>1</v>
      </c>
      <c r="W27" s="23">
        <v>14</v>
      </c>
      <c r="X27" s="23">
        <v>2</v>
      </c>
      <c r="Z27" s="12" t="str">
        <f t="shared" ref="Z27:AA27" si="47">D10</f>
        <v>BoardState.opponentBoard</v>
      </c>
      <c r="AA27" s="30">
        <f t="shared" si="47"/>
        <v>11</v>
      </c>
      <c r="AB27" s="30">
        <f>G10</f>
        <v>1</v>
      </c>
      <c r="AC27" s="30">
        <f>F10</f>
        <v>29</v>
      </c>
      <c r="AD27" s="31">
        <f t="shared" ref="AD27:AF27" si="48">(AA27-MIN(AA$6:AA$236))/(MAX(AA$6:AA$236)-MIN(AA$6:AA$236))</f>
        <v>0.27777777777777779</v>
      </c>
      <c r="AE27" s="31">
        <f t="shared" si="48"/>
        <v>0.2</v>
      </c>
      <c r="AF27" s="31">
        <f t="shared" si="48"/>
        <v>0.22307692307692309</v>
      </c>
      <c r="AG27" s="32">
        <f t="shared" si="4"/>
        <v>0.70085470085470092</v>
      </c>
    </row>
    <row r="28" spans="1:33" ht="15.75" customHeight="1" x14ac:dyDescent="0.3">
      <c r="A28" s="6" t="s">
        <v>95</v>
      </c>
      <c r="B28" s="6" t="s">
        <v>210</v>
      </c>
      <c r="C28" s="6" t="s">
        <v>290</v>
      </c>
      <c r="D28" s="8" t="s">
        <v>291</v>
      </c>
      <c r="E28" s="19">
        <v>5</v>
      </c>
      <c r="F28" s="19">
        <v>29</v>
      </c>
      <c r="G28" s="19">
        <v>1</v>
      </c>
      <c r="H28" s="19">
        <v>4</v>
      </c>
      <c r="I28" s="19">
        <v>1</v>
      </c>
      <c r="J28" s="20">
        <v>0.71430000000000005</v>
      </c>
      <c r="K28" s="19">
        <v>6</v>
      </c>
      <c r="L28" s="19">
        <v>5</v>
      </c>
      <c r="M28" s="20">
        <v>13.975</v>
      </c>
      <c r="N28" s="21">
        <v>4511.7061000000003</v>
      </c>
      <c r="O28" s="20">
        <v>9.0999999999999998E-2</v>
      </c>
      <c r="P28" s="19">
        <v>64</v>
      </c>
      <c r="Q28" s="19">
        <v>33</v>
      </c>
      <c r="R28" s="20">
        <v>322.84120000000001</v>
      </c>
      <c r="S28" s="20">
        <v>9.0899999999999995E-2</v>
      </c>
      <c r="T28" s="19">
        <v>0</v>
      </c>
      <c r="U28" s="20">
        <v>50.322800000000001</v>
      </c>
      <c r="V28" s="19">
        <v>1</v>
      </c>
      <c r="W28" s="19">
        <v>12</v>
      </c>
      <c r="X28" s="19">
        <v>0</v>
      </c>
      <c r="Z28" s="6" t="str">
        <f t="shared" ref="Z28:AA28" si="49">D29</f>
        <v>Galleon.Galleon</v>
      </c>
      <c r="AA28" s="27">
        <f t="shared" si="49"/>
        <v>5</v>
      </c>
      <c r="AB28" s="27">
        <f>G29</f>
        <v>2</v>
      </c>
      <c r="AC28" s="27">
        <f>F29</f>
        <v>23</v>
      </c>
      <c r="AD28" s="28">
        <f t="shared" ref="AD28:AF28" si="50">(AA28-MIN(AA$6:AA$236))/(MAX(AA$6:AA$236)-MIN(AA$6:AA$236))</f>
        <v>0.1111111111111111</v>
      </c>
      <c r="AE28" s="28">
        <f t="shared" si="50"/>
        <v>0.4</v>
      </c>
      <c r="AF28" s="28">
        <f t="shared" si="50"/>
        <v>0.17692307692307693</v>
      </c>
      <c r="AG28" s="29">
        <f t="shared" si="4"/>
        <v>0.68803418803418803</v>
      </c>
    </row>
    <row r="29" spans="1:33" ht="15.75" customHeight="1" x14ac:dyDescent="0.3">
      <c r="A29" s="12" t="s">
        <v>50</v>
      </c>
      <c r="B29" s="12" t="s">
        <v>177</v>
      </c>
      <c r="C29" s="12" t="s">
        <v>288</v>
      </c>
      <c r="D29" s="14" t="s">
        <v>293</v>
      </c>
      <c r="E29" s="23">
        <v>5</v>
      </c>
      <c r="F29" s="23">
        <v>23</v>
      </c>
      <c r="G29" s="23">
        <v>2</v>
      </c>
      <c r="H29" s="23">
        <v>1</v>
      </c>
      <c r="I29" s="23">
        <v>0</v>
      </c>
      <c r="J29" s="22">
        <v>0.2</v>
      </c>
      <c r="K29" s="23">
        <v>1</v>
      </c>
      <c r="L29" s="23">
        <v>1</v>
      </c>
      <c r="M29" s="22">
        <v>8.125</v>
      </c>
      <c r="N29" s="24">
        <v>982.53859999999997</v>
      </c>
      <c r="O29" s="22">
        <v>3.2899999999999999E-2</v>
      </c>
      <c r="P29" s="23">
        <v>29</v>
      </c>
      <c r="Q29" s="23">
        <v>18</v>
      </c>
      <c r="R29" s="22">
        <v>120.9278</v>
      </c>
      <c r="S29" s="22">
        <v>0</v>
      </c>
      <c r="T29" s="23">
        <v>0</v>
      </c>
      <c r="U29" s="22">
        <v>55.520400000000002</v>
      </c>
      <c r="V29" s="23">
        <v>1</v>
      </c>
      <c r="W29" s="23">
        <v>6</v>
      </c>
      <c r="X29" s="23">
        <v>0</v>
      </c>
      <c r="Z29" s="12" t="str">
        <f t="shared" ref="Z29:AA29" si="51">D26</f>
        <v>AiShotStrategy.buildHuntPool</v>
      </c>
      <c r="AA29" s="30">
        <f t="shared" si="51"/>
        <v>6</v>
      </c>
      <c r="AB29" s="30">
        <f>G26</f>
        <v>2</v>
      </c>
      <c r="AC29" s="30">
        <f>F26</f>
        <v>19</v>
      </c>
      <c r="AD29" s="31">
        <f t="shared" ref="AD29:AF29" si="52">(AA29-MIN(AA$6:AA$236))/(MAX(AA$6:AA$236)-MIN(AA$6:AA$236))</f>
        <v>0.1388888888888889</v>
      </c>
      <c r="AE29" s="31">
        <f t="shared" si="52"/>
        <v>0.4</v>
      </c>
      <c r="AF29" s="31">
        <f t="shared" si="52"/>
        <v>0.14615384615384616</v>
      </c>
      <c r="AG29" s="32">
        <f t="shared" si="4"/>
        <v>0.68504273504273516</v>
      </c>
    </row>
    <row r="30" spans="1:33" ht="15.75" customHeight="1" x14ac:dyDescent="0.3">
      <c r="A30" s="6" t="s">
        <v>50</v>
      </c>
      <c r="B30" s="6" t="s">
        <v>181</v>
      </c>
      <c r="C30" s="6" t="s">
        <v>295</v>
      </c>
      <c r="D30" s="8" t="s">
        <v>296</v>
      </c>
      <c r="E30" s="19">
        <v>5</v>
      </c>
      <c r="F30" s="19">
        <v>21</v>
      </c>
      <c r="G30" s="19">
        <v>1</v>
      </c>
      <c r="H30" s="19">
        <v>4</v>
      </c>
      <c r="I30" s="19">
        <v>1</v>
      </c>
      <c r="J30" s="20">
        <v>0.63639999999999997</v>
      </c>
      <c r="K30" s="19">
        <v>10</v>
      </c>
      <c r="L30" s="19">
        <v>0</v>
      </c>
      <c r="M30" s="20">
        <v>22.222200000000001</v>
      </c>
      <c r="N30" s="21">
        <v>4750.0258999999996</v>
      </c>
      <c r="O30" s="20">
        <v>9.4200000000000006E-2</v>
      </c>
      <c r="P30" s="19">
        <v>44</v>
      </c>
      <c r="Q30" s="19">
        <v>29</v>
      </c>
      <c r="R30" s="20">
        <v>213.75120000000001</v>
      </c>
      <c r="S30" s="20">
        <v>1</v>
      </c>
      <c r="T30" s="19">
        <v>0</v>
      </c>
      <c r="U30" s="20">
        <v>54.637300000000003</v>
      </c>
      <c r="V30" s="19">
        <v>1</v>
      </c>
      <c r="W30" s="19">
        <v>7</v>
      </c>
      <c r="X30" s="19">
        <v>0</v>
      </c>
      <c r="Z30" s="6" t="str">
        <f t="shared" ref="Z30:AA30" si="53">D108</f>
        <v>GameSession.GameSession</v>
      </c>
      <c r="AA30" s="27">
        <f t="shared" si="53"/>
        <v>1</v>
      </c>
      <c r="AB30" s="27">
        <f>G108</f>
        <v>3</v>
      </c>
      <c r="AC30" s="27">
        <f>F108</f>
        <v>9</v>
      </c>
      <c r="AD30" s="28">
        <f t="shared" ref="AD30:AF30" si="54">(AA30-MIN(AA$6:AA$236))/(MAX(AA$6:AA$236)-MIN(AA$6:AA$236))</f>
        <v>0</v>
      </c>
      <c r="AE30" s="28">
        <f t="shared" si="54"/>
        <v>0.6</v>
      </c>
      <c r="AF30" s="28">
        <f t="shared" si="54"/>
        <v>6.9230769230769235E-2</v>
      </c>
      <c r="AG30" s="29">
        <f t="shared" si="4"/>
        <v>0.66923076923076918</v>
      </c>
    </row>
    <row r="31" spans="1:33" ht="15.75" customHeight="1" x14ac:dyDescent="0.3">
      <c r="A31" s="12" t="s">
        <v>50</v>
      </c>
      <c r="B31" s="12" t="s">
        <v>180</v>
      </c>
      <c r="C31" s="12" t="s">
        <v>297</v>
      </c>
      <c r="D31" s="14" t="s">
        <v>298</v>
      </c>
      <c r="E31" s="23">
        <v>5</v>
      </c>
      <c r="F31" s="23">
        <v>19</v>
      </c>
      <c r="G31" s="23">
        <v>3</v>
      </c>
      <c r="H31" s="23">
        <v>4</v>
      </c>
      <c r="I31" s="23">
        <v>1</v>
      </c>
      <c r="J31" s="22">
        <v>0.36359999999999998</v>
      </c>
      <c r="K31" s="23">
        <v>10</v>
      </c>
      <c r="L31" s="23">
        <v>0</v>
      </c>
      <c r="M31" s="22">
        <v>18.529399999999999</v>
      </c>
      <c r="N31" s="24">
        <v>5639.9786000000004</v>
      </c>
      <c r="O31" s="22">
        <v>0.1056</v>
      </c>
      <c r="P31" s="23">
        <v>58</v>
      </c>
      <c r="Q31" s="23">
        <v>38</v>
      </c>
      <c r="R31" s="22">
        <v>304.37979999999999</v>
      </c>
      <c r="S31" s="22">
        <v>0</v>
      </c>
      <c r="T31" s="23">
        <v>2</v>
      </c>
      <c r="U31" s="22">
        <v>54.503700000000002</v>
      </c>
      <c r="V31" s="23">
        <v>2</v>
      </c>
      <c r="W31" s="23">
        <v>10</v>
      </c>
      <c r="X31" s="23">
        <v>2</v>
      </c>
      <c r="Z31" s="12" t="str">
        <f t="shared" ref="Z31:AA31" si="55">D20</f>
        <v>Game.printBoardShots</v>
      </c>
      <c r="AA31" s="30">
        <f t="shared" si="55"/>
        <v>7</v>
      </c>
      <c r="AB31" s="30">
        <f t="shared" ref="AB31:AB32" si="56">G20</f>
        <v>2</v>
      </c>
      <c r="AC31" s="30">
        <f t="shared" ref="AC31:AC32" si="57">F20</f>
        <v>13</v>
      </c>
      <c r="AD31" s="31">
        <f t="shared" ref="AD31:AF31" si="58">(AA31-MIN(AA$6:AA$236))/(MAX(AA$6:AA$236)-MIN(AA$6:AA$236))</f>
        <v>0.16666666666666666</v>
      </c>
      <c r="AE31" s="31">
        <f t="shared" si="58"/>
        <v>0.4</v>
      </c>
      <c r="AF31" s="31">
        <f t="shared" si="58"/>
        <v>0.1</v>
      </c>
      <c r="AG31" s="32">
        <f t="shared" si="4"/>
        <v>0.66666666666666663</v>
      </c>
    </row>
    <row r="32" spans="1:33" ht="15.75" customHeight="1" x14ac:dyDescent="0.3">
      <c r="A32" s="6" t="s">
        <v>50</v>
      </c>
      <c r="B32" s="6" t="s">
        <v>195</v>
      </c>
      <c r="C32" s="6" t="s">
        <v>300</v>
      </c>
      <c r="D32" s="8" t="s">
        <v>301</v>
      </c>
      <c r="E32" s="19">
        <v>5</v>
      </c>
      <c r="F32" s="19">
        <v>19</v>
      </c>
      <c r="G32" s="19">
        <v>0</v>
      </c>
      <c r="H32" s="19">
        <v>4</v>
      </c>
      <c r="I32" s="19">
        <v>1</v>
      </c>
      <c r="J32" s="20">
        <v>0.5</v>
      </c>
      <c r="K32" s="19">
        <v>3</v>
      </c>
      <c r="L32" s="19">
        <v>0</v>
      </c>
      <c r="M32" s="20">
        <v>11</v>
      </c>
      <c r="N32" s="21">
        <v>988.44330000000002</v>
      </c>
      <c r="O32" s="20">
        <v>3.3099999999999997E-2</v>
      </c>
      <c r="P32" s="19">
        <v>23</v>
      </c>
      <c r="Q32" s="19">
        <v>15</v>
      </c>
      <c r="R32" s="20">
        <v>89.858500000000006</v>
      </c>
      <c r="S32" s="20">
        <v>1</v>
      </c>
      <c r="T32" s="19">
        <v>2</v>
      </c>
      <c r="U32" s="20">
        <v>58.239199999999997</v>
      </c>
      <c r="V32" s="19">
        <v>1</v>
      </c>
      <c r="W32" s="19">
        <v>4</v>
      </c>
      <c r="X32" s="19">
        <v>2</v>
      </c>
      <c r="Z32" s="6" t="str">
        <f t="shared" ref="Z32:AA32" si="59">D21</f>
        <v>Game.readEnemyFire</v>
      </c>
      <c r="AA32" s="27">
        <f t="shared" si="59"/>
        <v>6</v>
      </c>
      <c r="AB32" s="27">
        <f t="shared" si="56"/>
        <v>1</v>
      </c>
      <c r="AC32" s="27">
        <f t="shared" si="57"/>
        <v>42</v>
      </c>
      <c r="AD32" s="28">
        <f t="shared" ref="AD32:AF32" si="60">(AA32-MIN(AA$6:AA$236))/(MAX(AA$6:AA$236)-MIN(AA$6:AA$236))</f>
        <v>0.1388888888888889</v>
      </c>
      <c r="AE32" s="28">
        <f t="shared" si="60"/>
        <v>0.2</v>
      </c>
      <c r="AF32" s="28">
        <f t="shared" si="60"/>
        <v>0.32307692307692309</v>
      </c>
      <c r="AG32" s="29">
        <f t="shared" si="4"/>
        <v>0.66196581196581206</v>
      </c>
    </row>
    <row r="33" spans="1:33" ht="15.75" customHeight="1" x14ac:dyDescent="0.3">
      <c r="A33" s="12" t="s">
        <v>50</v>
      </c>
      <c r="B33" s="12" t="s">
        <v>180</v>
      </c>
      <c r="C33" s="12" t="s">
        <v>302</v>
      </c>
      <c r="D33" s="14" t="s">
        <v>303</v>
      </c>
      <c r="E33" s="23">
        <v>5</v>
      </c>
      <c r="F33" s="23">
        <v>14</v>
      </c>
      <c r="G33" s="23">
        <v>1</v>
      </c>
      <c r="H33" s="23">
        <v>4</v>
      </c>
      <c r="I33" s="23">
        <v>1</v>
      </c>
      <c r="J33" s="22">
        <v>0.4</v>
      </c>
      <c r="K33" s="23">
        <v>5</v>
      </c>
      <c r="L33" s="23">
        <v>1</v>
      </c>
      <c r="M33" s="22">
        <v>9</v>
      </c>
      <c r="N33" s="24">
        <v>1364.5861</v>
      </c>
      <c r="O33" s="22">
        <v>4.1000000000000002E-2</v>
      </c>
      <c r="P33" s="23">
        <v>34</v>
      </c>
      <c r="Q33" s="23">
        <v>22</v>
      </c>
      <c r="R33" s="22">
        <v>151.6207</v>
      </c>
      <c r="S33" s="22">
        <v>0</v>
      </c>
      <c r="T33" s="23">
        <v>0</v>
      </c>
      <c r="U33" s="22">
        <v>59.524700000000003</v>
      </c>
      <c r="V33" s="23">
        <v>1</v>
      </c>
      <c r="W33" s="23">
        <v>2</v>
      </c>
      <c r="X33" s="23">
        <v>0</v>
      </c>
      <c r="Z33" s="12" t="str">
        <f t="shared" ref="Z33:AA33" si="61">D77</f>
        <v>BoardState.set</v>
      </c>
      <c r="AA33" s="30">
        <f t="shared" si="61"/>
        <v>2</v>
      </c>
      <c r="AB33" s="30">
        <f>G77</f>
        <v>3</v>
      </c>
      <c r="AC33" s="30">
        <f>F77</f>
        <v>4</v>
      </c>
      <c r="AD33" s="31">
        <f t="shared" ref="AD33:AF33" si="62">(AA33-MIN(AA$6:AA$236))/(MAX(AA$6:AA$236)-MIN(AA$6:AA$236))</f>
        <v>2.7777777777777776E-2</v>
      </c>
      <c r="AE33" s="31">
        <f t="shared" si="62"/>
        <v>0.6</v>
      </c>
      <c r="AF33" s="31">
        <f t="shared" si="62"/>
        <v>3.0769230769230771E-2</v>
      </c>
      <c r="AG33" s="32">
        <f t="shared" si="4"/>
        <v>0.65854700854700854</v>
      </c>
    </row>
    <row r="34" spans="1:33" ht="15.75" customHeight="1" x14ac:dyDescent="0.3">
      <c r="A34" s="6" t="s">
        <v>50</v>
      </c>
      <c r="B34" s="6" t="s">
        <v>178</v>
      </c>
      <c r="C34" s="6" t="s">
        <v>305</v>
      </c>
      <c r="D34" s="8" t="s">
        <v>306</v>
      </c>
      <c r="E34" s="19">
        <v>5</v>
      </c>
      <c r="F34" s="19">
        <v>9</v>
      </c>
      <c r="G34" s="19">
        <v>2</v>
      </c>
      <c r="H34" s="19">
        <v>4</v>
      </c>
      <c r="I34" s="19">
        <v>1</v>
      </c>
      <c r="J34" s="20">
        <v>0.5</v>
      </c>
      <c r="K34" s="19">
        <v>6</v>
      </c>
      <c r="L34" s="19">
        <v>0</v>
      </c>
      <c r="M34" s="20">
        <v>11.142899999999999</v>
      </c>
      <c r="N34" s="21">
        <v>1396.6002000000001</v>
      </c>
      <c r="O34" s="20">
        <v>4.1599999999999998E-2</v>
      </c>
      <c r="P34" s="19">
        <v>29</v>
      </c>
      <c r="Q34" s="19">
        <v>20</v>
      </c>
      <c r="R34" s="20">
        <v>125.3359</v>
      </c>
      <c r="S34" s="20">
        <v>1</v>
      </c>
      <c r="T34" s="19">
        <v>2</v>
      </c>
      <c r="U34" s="20">
        <v>64.2851</v>
      </c>
      <c r="V34" s="19">
        <v>1</v>
      </c>
      <c r="W34" s="19">
        <v>7</v>
      </c>
      <c r="X34" s="19">
        <v>3</v>
      </c>
      <c r="Z34" s="6" t="str">
        <f t="shared" ref="Z34:AA34" si="63">D119</f>
        <v>GameController.GameController</v>
      </c>
      <c r="AA34" s="27">
        <f t="shared" si="63"/>
        <v>1</v>
      </c>
      <c r="AB34" s="27">
        <f>G119</f>
        <v>3</v>
      </c>
      <c r="AC34" s="27">
        <f>F119</f>
        <v>7</v>
      </c>
      <c r="AD34" s="28">
        <f t="shared" ref="AD34:AF34" si="64">(AA34-MIN(AA$6:AA$236))/(MAX(AA$6:AA$236)-MIN(AA$6:AA$236))</f>
        <v>0</v>
      </c>
      <c r="AE34" s="28">
        <f t="shared" si="64"/>
        <v>0.6</v>
      </c>
      <c r="AF34" s="28">
        <f t="shared" si="64"/>
        <v>5.3846153846153849E-2</v>
      </c>
      <c r="AG34" s="29">
        <f t="shared" si="4"/>
        <v>0.65384615384615385</v>
      </c>
    </row>
    <row r="35" spans="1:33" ht="15.75" customHeight="1" x14ac:dyDescent="0.3">
      <c r="A35" s="12" t="s">
        <v>50</v>
      </c>
      <c r="B35" s="12" t="s">
        <v>175</v>
      </c>
      <c r="C35" s="12" t="s">
        <v>248</v>
      </c>
      <c r="D35" s="14" t="s">
        <v>308</v>
      </c>
      <c r="E35" s="23">
        <v>4</v>
      </c>
      <c r="F35" s="23">
        <v>27</v>
      </c>
      <c r="G35" s="23">
        <v>0</v>
      </c>
      <c r="H35" s="23">
        <v>3</v>
      </c>
      <c r="I35" s="23">
        <v>1</v>
      </c>
      <c r="J35" s="22">
        <v>1</v>
      </c>
      <c r="K35" s="23">
        <v>4</v>
      </c>
      <c r="L35" s="23">
        <v>1</v>
      </c>
      <c r="M35" s="22">
        <v>14.375</v>
      </c>
      <c r="N35" s="24">
        <v>2597.3573000000001</v>
      </c>
      <c r="O35" s="22">
        <v>6.3E-2</v>
      </c>
      <c r="P35" s="23">
        <v>38</v>
      </c>
      <c r="Q35" s="23">
        <v>27</v>
      </c>
      <c r="R35" s="22">
        <v>180.6857</v>
      </c>
      <c r="S35" s="22">
        <v>0</v>
      </c>
      <c r="T35" s="23">
        <v>1</v>
      </c>
      <c r="U35" s="22">
        <v>52.798400000000001</v>
      </c>
      <c r="V35" s="23">
        <v>2</v>
      </c>
      <c r="W35" s="23">
        <v>5</v>
      </c>
      <c r="X35" s="23">
        <v>1</v>
      </c>
      <c r="Z35" s="12" t="str">
        <f t="shared" ref="Z35:AA35" si="65">D127</f>
        <v>Move.Move</v>
      </c>
      <c r="AA35" s="30">
        <f t="shared" si="65"/>
        <v>1</v>
      </c>
      <c r="AB35" s="30">
        <f>G127</f>
        <v>3</v>
      </c>
      <c r="AC35" s="30">
        <f>F127</f>
        <v>6</v>
      </c>
      <c r="AD35" s="31">
        <f t="shared" ref="AD35:AF35" si="66">(AA35-MIN(AA$6:AA$236))/(MAX(AA$6:AA$236)-MIN(AA$6:AA$236))</f>
        <v>0</v>
      </c>
      <c r="AE35" s="31">
        <f t="shared" si="66"/>
        <v>0.6</v>
      </c>
      <c r="AF35" s="31">
        <f t="shared" si="66"/>
        <v>4.6153846153846156E-2</v>
      </c>
      <c r="AG35" s="32">
        <f t="shared" si="4"/>
        <v>0.64615384615384608</v>
      </c>
    </row>
    <row r="36" spans="1:33" ht="15.75" customHeight="1" x14ac:dyDescent="0.3">
      <c r="A36" s="6" t="s">
        <v>50</v>
      </c>
      <c r="B36" s="6" t="s">
        <v>175</v>
      </c>
      <c r="C36" s="6" t="s">
        <v>241</v>
      </c>
      <c r="D36" s="8" t="s">
        <v>309</v>
      </c>
      <c r="E36" s="19">
        <v>4</v>
      </c>
      <c r="F36" s="19">
        <v>23</v>
      </c>
      <c r="G36" s="19">
        <v>1</v>
      </c>
      <c r="H36" s="19">
        <v>3</v>
      </c>
      <c r="I36" s="19">
        <v>1</v>
      </c>
      <c r="J36" s="20">
        <v>0.5</v>
      </c>
      <c r="K36" s="19">
        <v>3</v>
      </c>
      <c r="L36" s="19">
        <v>0</v>
      </c>
      <c r="M36" s="20">
        <v>10.2857</v>
      </c>
      <c r="N36" s="21">
        <v>1092.3242</v>
      </c>
      <c r="O36" s="20">
        <v>3.5400000000000001E-2</v>
      </c>
      <c r="P36" s="19">
        <v>25</v>
      </c>
      <c r="Q36" s="19">
        <v>19</v>
      </c>
      <c r="R36" s="20">
        <v>106.1982</v>
      </c>
      <c r="S36" s="20">
        <v>0.5</v>
      </c>
      <c r="T36" s="19">
        <v>0</v>
      </c>
      <c r="U36" s="20">
        <v>55.927599999999998</v>
      </c>
      <c r="V36" s="19">
        <v>1</v>
      </c>
      <c r="W36" s="19">
        <v>4</v>
      </c>
      <c r="X36" s="19">
        <v>0</v>
      </c>
      <c r="Z36" s="6" t="str">
        <f t="shared" ref="Z36:AA36" si="67">D11</f>
        <v>Game.randomEnemyFire</v>
      </c>
      <c r="AA36" s="27">
        <f t="shared" si="67"/>
        <v>10</v>
      </c>
      <c r="AB36" s="27">
        <f>G11</f>
        <v>0</v>
      </c>
      <c r="AC36" s="27">
        <f>F11</f>
        <v>46</v>
      </c>
      <c r="AD36" s="28">
        <f t="shared" ref="AD36:AF36" si="68">(AA36-MIN(AA$6:AA$236))/(MAX(AA$6:AA$236)-MIN(AA$6:AA$236))</f>
        <v>0.25</v>
      </c>
      <c r="AE36" s="28">
        <f t="shared" si="68"/>
        <v>0</v>
      </c>
      <c r="AF36" s="28">
        <f t="shared" si="68"/>
        <v>0.35384615384615387</v>
      </c>
      <c r="AG36" s="29">
        <f t="shared" si="4"/>
        <v>0.60384615384615392</v>
      </c>
    </row>
    <row r="37" spans="1:33" ht="15.75" customHeight="1" x14ac:dyDescent="0.3">
      <c r="A37" s="12" t="s">
        <v>95</v>
      </c>
      <c r="B37" s="12" t="s">
        <v>199</v>
      </c>
      <c r="C37" s="12" t="s">
        <v>311</v>
      </c>
      <c r="D37" s="14" t="s">
        <v>312</v>
      </c>
      <c r="E37" s="23">
        <v>4</v>
      </c>
      <c r="F37" s="23">
        <v>20</v>
      </c>
      <c r="G37" s="23">
        <v>3</v>
      </c>
      <c r="H37" s="23">
        <v>3</v>
      </c>
      <c r="I37" s="23">
        <v>1</v>
      </c>
      <c r="J37" s="22">
        <v>0.6</v>
      </c>
      <c r="K37" s="23">
        <v>5</v>
      </c>
      <c r="L37" s="23">
        <v>2</v>
      </c>
      <c r="M37" s="22">
        <v>17.416699999999999</v>
      </c>
      <c r="N37" s="24">
        <v>5716.0726999999997</v>
      </c>
      <c r="O37" s="22">
        <v>0.1066</v>
      </c>
      <c r="P37" s="23">
        <v>63</v>
      </c>
      <c r="Q37" s="23">
        <v>37</v>
      </c>
      <c r="R37" s="22">
        <v>328.19560000000001</v>
      </c>
      <c r="S37" s="22">
        <v>0</v>
      </c>
      <c r="T37" s="23">
        <v>1</v>
      </c>
      <c r="U37" s="22">
        <v>53.816699999999997</v>
      </c>
      <c r="V37" s="23">
        <v>1</v>
      </c>
      <c r="W37" s="23">
        <v>12</v>
      </c>
      <c r="X37" s="23">
        <v>1</v>
      </c>
      <c r="Z37" s="12" t="str">
        <f t="shared" ref="Z37:AA37" si="69">D34</f>
        <v>Game.printShips</v>
      </c>
      <c r="AA37" s="30">
        <f t="shared" si="69"/>
        <v>5</v>
      </c>
      <c r="AB37" s="30">
        <f>G34</f>
        <v>2</v>
      </c>
      <c r="AC37" s="30">
        <f>F34</f>
        <v>9</v>
      </c>
      <c r="AD37" s="31">
        <f t="shared" ref="AD37:AF37" si="70">(AA37-MIN(AA$6:AA$236))/(MAX(AA$6:AA$236)-MIN(AA$6:AA$236))</f>
        <v>0.1111111111111111</v>
      </c>
      <c r="AE37" s="31">
        <f t="shared" si="70"/>
        <v>0.4</v>
      </c>
      <c r="AF37" s="31">
        <f t="shared" si="70"/>
        <v>6.9230769230769235E-2</v>
      </c>
      <c r="AG37" s="32">
        <f t="shared" si="4"/>
        <v>0.58034188034188028</v>
      </c>
    </row>
    <row r="38" spans="1:33" ht="15.75" customHeight="1" x14ac:dyDescent="0.3">
      <c r="A38" s="6" t="s">
        <v>50</v>
      </c>
      <c r="B38" s="6" t="s">
        <v>196</v>
      </c>
      <c r="C38" s="6" t="s">
        <v>313</v>
      </c>
      <c r="D38" s="8" t="s">
        <v>314</v>
      </c>
      <c r="E38" s="19">
        <v>4</v>
      </c>
      <c r="F38" s="19">
        <v>19</v>
      </c>
      <c r="G38" s="19">
        <v>1</v>
      </c>
      <c r="H38" s="19">
        <v>5</v>
      </c>
      <c r="I38" s="19">
        <v>2</v>
      </c>
      <c r="J38" s="20">
        <v>0.375</v>
      </c>
      <c r="K38" s="19">
        <v>7</v>
      </c>
      <c r="L38" s="19">
        <v>1</v>
      </c>
      <c r="M38" s="20">
        <v>20.125</v>
      </c>
      <c r="N38" s="21">
        <v>4771.3662999999997</v>
      </c>
      <c r="O38" s="20">
        <v>9.4500000000000001E-2</v>
      </c>
      <c r="P38" s="19">
        <v>47</v>
      </c>
      <c r="Q38" s="19">
        <v>33</v>
      </c>
      <c r="R38" s="20">
        <v>237.0865</v>
      </c>
      <c r="S38" s="20">
        <v>0.5</v>
      </c>
      <c r="T38" s="19">
        <v>1</v>
      </c>
      <c r="U38" s="20">
        <v>55.290799999999997</v>
      </c>
      <c r="V38" s="19">
        <v>2</v>
      </c>
      <c r="W38" s="19">
        <v>7</v>
      </c>
      <c r="X38" s="19">
        <v>1</v>
      </c>
      <c r="Z38" s="6" t="str">
        <f t="shared" ref="Z38:AA38" si="71">D18</f>
        <v>Tasks.readClassicPosition</v>
      </c>
      <c r="AA38" s="27">
        <f t="shared" si="71"/>
        <v>8</v>
      </c>
      <c r="AB38" s="27">
        <f>G18</f>
        <v>1</v>
      </c>
      <c r="AC38" s="27">
        <f>F18</f>
        <v>23</v>
      </c>
      <c r="AD38" s="28">
        <f t="shared" ref="AD38:AF38" si="72">(AA38-MIN(AA$6:AA$236))/(MAX(AA$6:AA$236)-MIN(AA$6:AA$236))</f>
        <v>0.19444444444444445</v>
      </c>
      <c r="AE38" s="28">
        <f t="shared" si="72"/>
        <v>0.2</v>
      </c>
      <c r="AF38" s="28">
        <f t="shared" si="72"/>
        <v>0.17692307692307693</v>
      </c>
      <c r="AG38" s="29">
        <f t="shared" si="4"/>
        <v>0.57136752136752145</v>
      </c>
    </row>
    <row r="39" spans="1:33" ht="15.75" customHeight="1" x14ac:dyDescent="0.3">
      <c r="A39" s="12" t="s">
        <v>50</v>
      </c>
      <c r="B39" s="12" t="s">
        <v>194</v>
      </c>
      <c r="C39" s="12" t="s">
        <v>316</v>
      </c>
      <c r="D39" s="14" t="s">
        <v>317</v>
      </c>
      <c r="E39" s="23">
        <v>4</v>
      </c>
      <c r="F39" s="23">
        <v>18</v>
      </c>
      <c r="G39" s="23">
        <v>1</v>
      </c>
      <c r="H39" s="23">
        <v>3</v>
      </c>
      <c r="I39" s="23">
        <v>1</v>
      </c>
      <c r="J39" s="22">
        <v>0.5</v>
      </c>
      <c r="K39" s="23">
        <v>2</v>
      </c>
      <c r="L39" s="23">
        <v>0</v>
      </c>
      <c r="M39" s="22">
        <v>7.5</v>
      </c>
      <c r="N39" s="24">
        <v>780</v>
      </c>
      <c r="O39" s="22">
        <v>2.8199999999999999E-2</v>
      </c>
      <c r="P39" s="23">
        <v>26</v>
      </c>
      <c r="Q39" s="23">
        <v>16</v>
      </c>
      <c r="R39" s="22">
        <v>104</v>
      </c>
      <c r="S39" s="22">
        <v>1</v>
      </c>
      <c r="T39" s="23">
        <v>0</v>
      </c>
      <c r="U39" s="22">
        <v>58.3078</v>
      </c>
      <c r="V39" s="23">
        <v>1</v>
      </c>
      <c r="W39" s="23">
        <v>4</v>
      </c>
      <c r="X39" s="23">
        <v>0</v>
      </c>
      <c r="Z39" s="12" t="str">
        <f t="shared" ref="Z39:AA39" si="73">D24</f>
        <v>Compass.charToCompass</v>
      </c>
      <c r="AA39" s="30">
        <f t="shared" si="73"/>
        <v>6</v>
      </c>
      <c r="AB39" s="30">
        <f>G24</f>
        <v>1</v>
      </c>
      <c r="AC39" s="30">
        <f>F24</f>
        <v>28</v>
      </c>
      <c r="AD39" s="31">
        <f t="shared" ref="AD39:AF39" si="74">(AA39-MIN(AA$6:AA$236))/(MAX(AA$6:AA$236)-MIN(AA$6:AA$236))</f>
        <v>0.1388888888888889</v>
      </c>
      <c r="AE39" s="31">
        <f t="shared" si="74"/>
        <v>0.2</v>
      </c>
      <c r="AF39" s="31">
        <f t="shared" si="74"/>
        <v>0.2153846153846154</v>
      </c>
      <c r="AG39" s="32">
        <f t="shared" si="4"/>
        <v>0.5542735042735043</v>
      </c>
    </row>
    <row r="40" spans="1:33" ht="15.75" customHeight="1" x14ac:dyDescent="0.3">
      <c r="A40" s="6" t="s">
        <v>50</v>
      </c>
      <c r="B40" s="6" t="s">
        <v>164</v>
      </c>
      <c r="C40" s="6" t="s">
        <v>193</v>
      </c>
      <c r="D40" s="8" t="s">
        <v>318</v>
      </c>
      <c r="E40" s="19">
        <v>4</v>
      </c>
      <c r="F40" s="19">
        <v>17</v>
      </c>
      <c r="G40" s="19">
        <v>1</v>
      </c>
      <c r="H40" s="19">
        <v>3</v>
      </c>
      <c r="I40" s="19">
        <v>0</v>
      </c>
      <c r="J40" s="20">
        <v>0.375</v>
      </c>
      <c r="K40" s="19">
        <v>6</v>
      </c>
      <c r="L40" s="19">
        <v>2</v>
      </c>
      <c r="M40" s="20">
        <v>28.2</v>
      </c>
      <c r="N40" s="21">
        <v>11380.1531</v>
      </c>
      <c r="O40" s="20">
        <v>0.1686</v>
      </c>
      <c r="P40" s="19">
        <v>80</v>
      </c>
      <c r="Q40" s="19">
        <v>33</v>
      </c>
      <c r="R40" s="20">
        <v>403.55149999999998</v>
      </c>
      <c r="S40" s="20">
        <v>0.57140000000000002</v>
      </c>
      <c r="T40" s="19">
        <v>2</v>
      </c>
      <c r="U40" s="20">
        <v>54.730200000000004</v>
      </c>
      <c r="V40" s="19">
        <v>1</v>
      </c>
      <c r="W40" s="19">
        <v>13</v>
      </c>
      <c r="X40" s="19">
        <v>3</v>
      </c>
      <c r="Z40" s="6" t="str">
        <f t="shared" ref="Z40:AA40" si="75">D63</f>
        <v>I18n.get</v>
      </c>
      <c r="AA40" s="27">
        <f t="shared" si="75"/>
        <v>2</v>
      </c>
      <c r="AB40" s="27">
        <f>G63</f>
        <v>2</v>
      </c>
      <c r="AC40" s="27">
        <f>F63</f>
        <v>16</v>
      </c>
      <c r="AD40" s="28">
        <f t="shared" ref="AD40:AF40" si="76">(AA40-MIN(AA$6:AA$236))/(MAX(AA$6:AA$236)-MIN(AA$6:AA$236))</f>
        <v>2.7777777777777776E-2</v>
      </c>
      <c r="AE40" s="28">
        <f t="shared" si="76"/>
        <v>0.4</v>
      </c>
      <c r="AF40" s="28">
        <f t="shared" si="76"/>
        <v>0.12307692307692308</v>
      </c>
      <c r="AG40" s="29">
        <f t="shared" si="4"/>
        <v>0.5508547008547009</v>
      </c>
    </row>
    <row r="41" spans="1:33" ht="15.75" customHeight="1" x14ac:dyDescent="0.3">
      <c r="A41" s="12" t="s">
        <v>50</v>
      </c>
      <c r="B41" s="12" t="s">
        <v>194</v>
      </c>
      <c r="C41" s="12" t="s">
        <v>320</v>
      </c>
      <c r="D41" s="14" t="s">
        <v>321</v>
      </c>
      <c r="E41" s="23">
        <v>4</v>
      </c>
      <c r="F41" s="23">
        <v>10</v>
      </c>
      <c r="G41" s="23">
        <v>0</v>
      </c>
      <c r="H41" s="23">
        <v>1</v>
      </c>
      <c r="I41" s="23">
        <v>0</v>
      </c>
      <c r="J41" s="22">
        <v>0</v>
      </c>
      <c r="K41" s="23">
        <v>0</v>
      </c>
      <c r="L41" s="23">
        <v>1</v>
      </c>
      <c r="M41" s="22">
        <v>5</v>
      </c>
      <c r="N41" s="24">
        <v>237.74440000000001</v>
      </c>
      <c r="O41" s="22">
        <v>1.2800000000000001E-2</v>
      </c>
      <c r="P41" s="23">
        <v>15</v>
      </c>
      <c r="Q41" s="23">
        <v>9</v>
      </c>
      <c r="R41" s="22">
        <v>47.548900000000003</v>
      </c>
      <c r="S41" s="22">
        <v>0.66669999999999996</v>
      </c>
      <c r="T41" s="23">
        <v>0</v>
      </c>
      <c r="U41" s="22">
        <v>66.291499999999999</v>
      </c>
      <c r="V41" s="23">
        <v>0</v>
      </c>
      <c r="W41" s="23">
        <v>3</v>
      </c>
      <c r="X41" s="23">
        <v>0</v>
      </c>
      <c r="Z41" s="12" t="str">
        <f t="shared" ref="Z41:AA41" si="77">D43</f>
        <v>Game.jsonShots</v>
      </c>
      <c r="AA41" s="30">
        <f t="shared" si="77"/>
        <v>3</v>
      </c>
      <c r="AB41" s="30">
        <f>G43</f>
        <v>1</v>
      </c>
      <c r="AC41" s="30">
        <f>F43</f>
        <v>38</v>
      </c>
      <c r="AD41" s="31">
        <f t="shared" ref="AD41:AF41" si="78">(AA41-MIN(AA$6:AA$236))/(MAX(AA$6:AA$236)-MIN(AA$6:AA$236))</f>
        <v>5.5555555555555552E-2</v>
      </c>
      <c r="AE41" s="31">
        <f t="shared" si="78"/>
        <v>0.2</v>
      </c>
      <c r="AF41" s="31">
        <f t="shared" si="78"/>
        <v>0.29230769230769232</v>
      </c>
      <c r="AG41" s="32">
        <f t="shared" si="4"/>
        <v>0.54786324786324792</v>
      </c>
    </row>
    <row r="42" spans="1:33" ht="15.75" customHeight="1" x14ac:dyDescent="0.3">
      <c r="A42" s="6" t="s">
        <v>50</v>
      </c>
      <c r="B42" s="6" t="s">
        <v>195</v>
      </c>
      <c r="C42" s="6" t="s">
        <v>323</v>
      </c>
      <c r="D42" s="8" t="s">
        <v>324</v>
      </c>
      <c r="E42" s="19">
        <v>4</v>
      </c>
      <c r="F42" s="19">
        <v>6</v>
      </c>
      <c r="G42" s="19">
        <v>0</v>
      </c>
      <c r="H42" s="19">
        <v>0</v>
      </c>
      <c r="I42" s="19">
        <v>0</v>
      </c>
      <c r="J42" s="20">
        <v>0</v>
      </c>
      <c r="K42" s="19">
        <v>0</v>
      </c>
      <c r="L42" s="19">
        <v>1</v>
      </c>
      <c r="M42" s="20">
        <v>11.375</v>
      </c>
      <c r="N42" s="21">
        <v>1069.3824999999999</v>
      </c>
      <c r="O42" s="20">
        <v>3.49E-2</v>
      </c>
      <c r="P42" s="19">
        <v>23</v>
      </c>
      <c r="Q42" s="19">
        <v>17</v>
      </c>
      <c r="R42" s="20">
        <v>94.011600000000001</v>
      </c>
      <c r="S42" s="20">
        <v>0</v>
      </c>
      <c r="T42" s="19">
        <v>0</v>
      </c>
      <c r="U42" s="20">
        <v>69.023099999999999</v>
      </c>
      <c r="V42" s="19">
        <v>0</v>
      </c>
      <c r="W42" s="19">
        <v>1</v>
      </c>
      <c r="X42" s="19">
        <v>0</v>
      </c>
      <c r="Z42" s="6" t="str">
        <f t="shared" ref="Z42:AA42" si="79">D28</f>
        <v>GameController.register</v>
      </c>
      <c r="AA42" s="27">
        <f t="shared" si="79"/>
        <v>5</v>
      </c>
      <c r="AB42" s="27">
        <f>G28</f>
        <v>1</v>
      </c>
      <c r="AC42" s="27">
        <f>F28</f>
        <v>29</v>
      </c>
      <c r="AD42" s="28">
        <f t="shared" ref="AD42:AF42" si="80">(AA42-MIN(AA$6:AA$236))/(MAX(AA$6:AA$236)-MIN(AA$6:AA$236))</f>
        <v>0.1111111111111111</v>
      </c>
      <c r="AE42" s="28">
        <f t="shared" si="80"/>
        <v>0.2</v>
      </c>
      <c r="AF42" s="28">
        <f t="shared" si="80"/>
        <v>0.22307692307692309</v>
      </c>
      <c r="AG42" s="29">
        <f t="shared" si="4"/>
        <v>0.53418803418803418</v>
      </c>
    </row>
    <row r="43" spans="1:33" ht="15.75" customHeight="1" x14ac:dyDescent="0.3">
      <c r="A43" s="12" t="s">
        <v>50</v>
      </c>
      <c r="B43" s="12" t="s">
        <v>178</v>
      </c>
      <c r="C43" s="12" t="s">
        <v>325</v>
      </c>
      <c r="D43" s="14" t="s">
        <v>326</v>
      </c>
      <c r="E43" s="23">
        <v>3</v>
      </c>
      <c r="F43" s="23">
        <v>38</v>
      </c>
      <c r="G43" s="23">
        <v>1</v>
      </c>
      <c r="H43" s="23">
        <v>2</v>
      </c>
      <c r="I43" s="23">
        <v>0</v>
      </c>
      <c r="J43" s="22">
        <v>0.66669999999999996</v>
      </c>
      <c r="K43" s="23">
        <v>9</v>
      </c>
      <c r="L43" s="23">
        <v>2</v>
      </c>
      <c r="M43" s="22">
        <v>16.807700000000001</v>
      </c>
      <c r="N43" s="24">
        <v>3865.7692000000002</v>
      </c>
      <c r="O43" s="22">
        <v>8.2100000000000006E-2</v>
      </c>
      <c r="P43" s="23">
        <v>46</v>
      </c>
      <c r="Q43" s="23">
        <v>32</v>
      </c>
      <c r="R43" s="22">
        <v>230</v>
      </c>
      <c r="S43" s="22">
        <v>0</v>
      </c>
      <c r="T43" s="23">
        <v>1</v>
      </c>
      <c r="U43" s="22">
        <v>48.853999999999999</v>
      </c>
      <c r="V43" s="23">
        <v>1</v>
      </c>
      <c r="W43" s="23">
        <v>9</v>
      </c>
      <c r="X43" s="23">
        <v>1</v>
      </c>
      <c r="Z43" s="12" t="str">
        <f t="shared" ref="Z43:AA43" si="81">D25</f>
        <v>Game.printBoardFrame</v>
      </c>
      <c r="AA43" s="30">
        <f t="shared" si="81"/>
        <v>6</v>
      </c>
      <c r="AB43" s="30">
        <f>G25</f>
        <v>1</v>
      </c>
      <c r="AC43" s="30">
        <f>F25</f>
        <v>25</v>
      </c>
      <c r="AD43" s="31">
        <f t="shared" ref="AD43:AF43" si="82">(AA43-MIN(AA$6:AA$236))/(MAX(AA$6:AA$236)-MIN(AA$6:AA$236))</f>
        <v>0.1388888888888889</v>
      </c>
      <c r="AE43" s="31">
        <f t="shared" si="82"/>
        <v>0.2</v>
      </c>
      <c r="AF43" s="31">
        <f t="shared" si="82"/>
        <v>0.19230769230769232</v>
      </c>
      <c r="AG43" s="32">
        <f t="shared" si="4"/>
        <v>0.5311965811965812</v>
      </c>
    </row>
    <row r="44" spans="1:33" ht="15.75" customHeight="1" x14ac:dyDescent="0.3">
      <c r="A44" s="6" t="s">
        <v>50</v>
      </c>
      <c r="B44" s="6" t="s">
        <v>180</v>
      </c>
      <c r="C44" s="6" t="s">
        <v>328</v>
      </c>
      <c r="D44" s="8" t="s">
        <v>329</v>
      </c>
      <c r="E44" s="19">
        <v>3</v>
      </c>
      <c r="F44" s="19">
        <v>32</v>
      </c>
      <c r="G44" s="19">
        <v>3</v>
      </c>
      <c r="H44" s="19">
        <v>2</v>
      </c>
      <c r="I44" s="19">
        <v>0</v>
      </c>
      <c r="J44" s="20">
        <v>0.47060000000000002</v>
      </c>
      <c r="K44" s="19">
        <v>15</v>
      </c>
      <c r="L44" s="19">
        <v>2</v>
      </c>
      <c r="M44" s="20">
        <v>33.296300000000002</v>
      </c>
      <c r="N44" s="21">
        <v>21455.397799999999</v>
      </c>
      <c r="O44" s="20">
        <v>0.25740000000000002</v>
      </c>
      <c r="P44" s="19">
        <v>110</v>
      </c>
      <c r="Q44" s="19">
        <v>58</v>
      </c>
      <c r="R44" s="20">
        <v>644.37789999999995</v>
      </c>
      <c r="S44" s="20">
        <v>0.5</v>
      </c>
      <c r="T44" s="19">
        <v>2</v>
      </c>
      <c r="U44" s="20">
        <v>47.351100000000002</v>
      </c>
      <c r="V44" s="19">
        <v>4</v>
      </c>
      <c r="W44" s="19">
        <v>16</v>
      </c>
      <c r="X44" s="19">
        <v>2</v>
      </c>
      <c r="Z44" s="6" t="str">
        <f t="shared" ref="Z44:AA44" si="83">D73</f>
        <v>Game.recordMyMove</v>
      </c>
      <c r="AA44" s="27">
        <f t="shared" si="83"/>
        <v>2</v>
      </c>
      <c r="AB44" s="27">
        <f t="shared" ref="AB44:AB45" si="84">G73</f>
        <v>2</v>
      </c>
      <c r="AC44" s="27">
        <f t="shared" ref="AC44:AC45" si="85">F73</f>
        <v>10</v>
      </c>
      <c r="AD44" s="28">
        <f t="shared" ref="AD44:AF44" si="86">(AA44-MIN(AA$6:AA$236))/(MAX(AA$6:AA$236)-MIN(AA$6:AA$236))</f>
        <v>2.7777777777777776E-2</v>
      </c>
      <c r="AE44" s="28">
        <f t="shared" si="86"/>
        <v>0.4</v>
      </c>
      <c r="AF44" s="28">
        <f t="shared" si="86"/>
        <v>7.6923076923076927E-2</v>
      </c>
      <c r="AG44" s="29">
        <f t="shared" si="4"/>
        <v>0.50470085470085468</v>
      </c>
    </row>
    <row r="45" spans="1:33" ht="15.75" customHeight="1" x14ac:dyDescent="0.3">
      <c r="A45" s="12" t="s">
        <v>50</v>
      </c>
      <c r="B45" s="12" t="s">
        <v>178</v>
      </c>
      <c r="C45" s="12" t="s">
        <v>310</v>
      </c>
      <c r="D45" s="14" t="s">
        <v>331</v>
      </c>
      <c r="E45" s="23">
        <v>3</v>
      </c>
      <c r="F45" s="23">
        <v>30</v>
      </c>
      <c r="G45" s="23">
        <v>1</v>
      </c>
      <c r="H45" s="23">
        <v>2</v>
      </c>
      <c r="I45" s="23">
        <v>1</v>
      </c>
      <c r="J45" s="22">
        <v>0.4</v>
      </c>
      <c r="K45" s="23">
        <v>4</v>
      </c>
      <c r="L45" s="23">
        <v>0</v>
      </c>
      <c r="M45" s="22">
        <v>12.833299999999999</v>
      </c>
      <c r="N45" s="24">
        <v>2533.5369999999998</v>
      </c>
      <c r="O45" s="22">
        <v>6.1899999999999997E-2</v>
      </c>
      <c r="P45" s="23">
        <v>42</v>
      </c>
      <c r="Q45" s="23">
        <v>26</v>
      </c>
      <c r="R45" s="22">
        <v>197.41849999999999</v>
      </c>
      <c r="S45" s="22">
        <v>1</v>
      </c>
      <c r="T45" s="23">
        <v>1</v>
      </c>
      <c r="U45" s="22">
        <v>51.564500000000002</v>
      </c>
      <c r="V45" s="23">
        <v>1</v>
      </c>
      <c r="W45" s="23">
        <v>8</v>
      </c>
      <c r="X45" s="23">
        <v>1</v>
      </c>
      <c r="Z45" s="12" t="str">
        <f t="shared" ref="Z45:AA45" si="87">D74</f>
        <v>IMove.readMove</v>
      </c>
      <c r="AA45" s="30">
        <f t="shared" si="87"/>
        <v>2</v>
      </c>
      <c r="AB45" s="30">
        <f t="shared" si="84"/>
        <v>2</v>
      </c>
      <c r="AC45" s="30">
        <f t="shared" si="85"/>
        <v>10</v>
      </c>
      <c r="AD45" s="31">
        <f t="shared" ref="AD45:AF45" si="88">(AA45-MIN(AA$6:AA$236))/(MAX(AA$6:AA$236)-MIN(AA$6:AA$236))</f>
        <v>2.7777777777777776E-2</v>
      </c>
      <c r="AE45" s="31">
        <f t="shared" si="88"/>
        <v>0.4</v>
      </c>
      <c r="AF45" s="31">
        <f t="shared" si="88"/>
        <v>7.6923076923076927E-2</v>
      </c>
      <c r="AG45" s="32">
        <f t="shared" si="4"/>
        <v>0.50470085470085468</v>
      </c>
    </row>
    <row r="46" spans="1:33" ht="15.75" customHeight="1" x14ac:dyDescent="0.3">
      <c r="A46" s="6" t="s">
        <v>50</v>
      </c>
      <c r="B46" s="6" t="s">
        <v>194</v>
      </c>
      <c r="C46" s="6" t="s">
        <v>332</v>
      </c>
      <c r="D46" s="8" t="s">
        <v>333</v>
      </c>
      <c r="E46" s="19">
        <v>3</v>
      </c>
      <c r="F46" s="19">
        <v>29</v>
      </c>
      <c r="G46" s="19">
        <v>0</v>
      </c>
      <c r="H46" s="19">
        <v>2</v>
      </c>
      <c r="I46" s="19">
        <v>1</v>
      </c>
      <c r="J46" s="20">
        <v>0.5</v>
      </c>
      <c r="K46" s="19">
        <v>1</v>
      </c>
      <c r="L46" s="19">
        <v>0</v>
      </c>
      <c r="M46" s="20">
        <v>15</v>
      </c>
      <c r="N46" s="21">
        <v>2867.3510999999999</v>
      </c>
      <c r="O46" s="20">
        <v>6.7299999999999999E-2</v>
      </c>
      <c r="P46" s="19">
        <v>45</v>
      </c>
      <c r="Q46" s="19">
        <v>19</v>
      </c>
      <c r="R46" s="20">
        <v>191.1567</v>
      </c>
      <c r="S46" s="20">
        <v>1</v>
      </c>
      <c r="T46" s="19">
        <v>1</v>
      </c>
      <c r="U46" s="20">
        <v>51.979700000000001</v>
      </c>
      <c r="V46" s="19">
        <v>2</v>
      </c>
      <c r="W46" s="19">
        <v>6</v>
      </c>
      <c r="X46" s="19">
        <v>1</v>
      </c>
      <c r="Z46" s="6" t="str">
        <f t="shared" ref="Z46:AA46" si="89">D88</f>
        <v>Position.Position</v>
      </c>
      <c r="AA46" s="27">
        <f t="shared" si="89"/>
        <v>1</v>
      </c>
      <c r="AB46" s="27">
        <f t="shared" ref="AB46:AB47" si="90">G88</f>
        <v>2</v>
      </c>
      <c r="AC46" s="27">
        <f t="shared" ref="AC46:AC47" si="91">F88</f>
        <v>13</v>
      </c>
      <c r="AD46" s="28">
        <f t="shared" ref="AD46:AF46" si="92">(AA46-MIN(AA$6:AA$236))/(MAX(AA$6:AA$236)-MIN(AA$6:AA$236))</f>
        <v>0</v>
      </c>
      <c r="AE46" s="28">
        <f t="shared" si="92"/>
        <v>0.4</v>
      </c>
      <c r="AF46" s="28">
        <f t="shared" si="92"/>
        <v>0.1</v>
      </c>
      <c r="AG46" s="29">
        <f t="shared" si="4"/>
        <v>0.5</v>
      </c>
    </row>
    <row r="47" spans="1:33" ht="15.75" customHeight="1" x14ac:dyDescent="0.3">
      <c r="A47" s="12" t="s">
        <v>50</v>
      </c>
      <c r="B47" s="12" t="s">
        <v>175</v>
      </c>
      <c r="C47" s="12" t="s">
        <v>256</v>
      </c>
      <c r="D47" s="14" t="s">
        <v>335</v>
      </c>
      <c r="E47" s="23">
        <v>3</v>
      </c>
      <c r="F47" s="23">
        <v>21</v>
      </c>
      <c r="G47" s="23">
        <v>1</v>
      </c>
      <c r="H47" s="23">
        <v>2</v>
      </c>
      <c r="I47" s="23">
        <v>1</v>
      </c>
      <c r="J47" s="22">
        <v>1</v>
      </c>
      <c r="K47" s="23">
        <v>3</v>
      </c>
      <c r="L47" s="23">
        <v>0</v>
      </c>
      <c r="M47" s="22">
        <v>8</v>
      </c>
      <c r="N47" s="24">
        <v>562.59220000000005</v>
      </c>
      <c r="O47" s="22">
        <v>2.2700000000000001E-2</v>
      </c>
      <c r="P47" s="23">
        <v>18</v>
      </c>
      <c r="Q47" s="23">
        <v>15</v>
      </c>
      <c r="R47" s="22">
        <v>70.323999999999998</v>
      </c>
      <c r="S47" s="22">
        <v>1</v>
      </c>
      <c r="T47" s="23">
        <v>1</v>
      </c>
      <c r="U47" s="22">
        <v>58.09</v>
      </c>
      <c r="V47" s="23">
        <v>0</v>
      </c>
      <c r="W47" s="23">
        <v>4</v>
      </c>
      <c r="X47" s="23">
        <v>1</v>
      </c>
      <c r="Z47" s="12" t="str">
        <f t="shared" ref="Z47:AA47" si="93">D89</f>
        <v>Position.Position</v>
      </c>
      <c r="AA47" s="30">
        <f t="shared" si="93"/>
        <v>1</v>
      </c>
      <c r="AB47" s="30">
        <f t="shared" si="90"/>
        <v>2</v>
      </c>
      <c r="AC47" s="30">
        <f t="shared" si="91"/>
        <v>13</v>
      </c>
      <c r="AD47" s="31">
        <f t="shared" ref="AD47:AF47" si="94">(AA47-MIN(AA$6:AA$236))/(MAX(AA$6:AA$236)-MIN(AA$6:AA$236))</f>
        <v>0</v>
      </c>
      <c r="AE47" s="31">
        <f t="shared" si="94"/>
        <v>0.4</v>
      </c>
      <c r="AF47" s="31">
        <f t="shared" si="94"/>
        <v>0.1</v>
      </c>
      <c r="AG47" s="32">
        <f t="shared" si="4"/>
        <v>0.5</v>
      </c>
    </row>
    <row r="48" spans="1:33" ht="15.75" customHeight="1" x14ac:dyDescent="0.3">
      <c r="A48" s="6" t="s">
        <v>50</v>
      </c>
      <c r="B48" s="6" t="s">
        <v>195</v>
      </c>
      <c r="C48" s="6" t="s">
        <v>337</v>
      </c>
      <c r="D48" s="8" t="s">
        <v>338</v>
      </c>
      <c r="E48" s="19">
        <v>3</v>
      </c>
      <c r="F48" s="19">
        <v>21</v>
      </c>
      <c r="G48" s="19">
        <v>1</v>
      </c>
      <c r="H48" s="19">
        <v>2</v>
      </c>
      <c r="I48" s="19">
        <v>1</v>
      </c>
      <c r="J48" s="20">
        <v>0.25</v>
      </c>
      <c r="K48" s="19">
        <v>3</v>
      </c>
      <c r="L48" s="19">
        <v>0</v>
      </c>
      <c r="M48" s="20">
        <v>10</v>
      </c>
      <c r="N48" s="21">
        <v>629.07479999999998</v>
      </c>
      <c r="O48" s="20">
        <v>2.4500000000000001E-2</v>
      </c>
      <c r="P48" s="19">
        <v>17</v>
      </c>
      <c r="Q48" s="19">
        <v>13</v>
      </c>
      <c r="R48" s="20">
        <v>62.907499999999999</v>
      </c>
      <c r="S48" s="20">
        <v>1</v>
      </c>
      <c r="T48" s="19">
        <v>1</v>
      </c>
      <c r="U48" s="20">
        <v>58.459000000000003</v>
      </c>
      <c r="V48" s="19">
        <v>1</v>
      </c>
      <c r="W48" s="19">
        <v>2</v>
      </c>
      <c r="X48" s="19">
        <v>1</v>
      </c>
      <c r="Z48" s="6" t="str">
        <f t="shared" ref="Z48:AA48" si="95">D45</f>
        <v>Game.fireShots</v>
      </c>
      <c r="AA48" s="27">
        <f t="shared" si="95"/>
        <v>3</v>
      </c>
      <c r="AB48" s="27">
        <f>G45</f>
        <v>1</v>
      </c>
      <c r="AC48" s="27">
        <f>F45</f>
        <v>30</v>
      </c>
      <c r="AD48" s="28">
        <f t="shared" ref="AD48:AF48" si="96">(AA48-MIN(AA$6:AA$236))/(MAX(AA$6:AA$236)-MIN(AA$6:AA$236))</f>
        <v>5.5555555555555552E-2</v>
      </c>
      <c r="AE48" s="28">
        <f t="shared" si="96"/>
        <v>0.2</v>
      </c>
      <c r="AF48" s="28">
        <f t="shared" si="96"/>
        <v>0.23076923076923078</v>
      </c>
      <c r="AG48" s="29">
        <f t="shared" si="4"/>
        <v>0.48632478632478632</v>
      </c>
    </row>
    <row r="49" spans="1:33" ht="15.75" customHeight="1" x14ac:dyDescent="0.3">
      <c r="A49" s="12" t="s">
        <v>50</v>
      </c>
      <c r="B49" s="12" t="s">
        <v>195</v>
      </c>
      <c r="C49" s="12" t="s">
        <v>339</v>
      </c>
      <c r="D49" s="14" t="s">
        <v>340</v>
      </c>
      <c r="E49" s="23">
        <v>3</v>
      </c>
      <c r="F49" s="23">
        <v>21</v>
      </c>
      <c r="G49" s="23">
        <v>1</v>
      </c>
      <c r="H49" s="23">
        <v>3</v>
      </c>
      <c r="I49" s="23">
        <v>1</v>
      </c>
      <c r="J49" s="22">
        <v>0.6</v>
      </c>
      <c r="K49" s="23">
        <v>4</v>
      </c>
      <c r="L49" s="23">
        <v>0</v>
      </c>
      <c r="M49" s="22">
        <v>8.4</v>
      </c>
      <c r="N49" s="24">
        <v>686.69380000000001</v>
      </c>
      <c r="O49" s="22">
        <v>2.5899999999999999E-2</v>
      </c>
      <c r="P49" s="23">
        <v>20</v>
      </c>
      <c r="Q49" s="23">
        <v>17</v>
      </c>
      <c r="R49" s="22">
        <v>81.749300000000005</v>
      </c>
      <c r="S49" s="22">
        <v>0</v>
      </c>
      <c r="T49" s="23">
        <v>1</v>
      </c>
      <c r="U49" s="22">
        <v>57.6462</v>
      </c>
      <c r="V49" s="23">
        <v>0</v>
      </c>
      <c r="W49" s="23">
        <v>2</v>
      </c>
      <c r="X49" s="23">
        <v>1</v>
      </c>
      <c r="Z49" s="12" t="str">
        <f t="shared" ref="Z49:AA49" si="97">D90</f>
        <v>Barge.Barge</v>
      </c>
      <c r="AA49" s="30">
        <f t="shared" si="97"/>
        <v>1</v>
      </c>
      <c r="AB49" s="30">
        <f>G90</f>
        <v>2</v>
      </c>
      <c r="AC49" s="30">
        <f>F90</f>
        <v>11</v>
      </c>
      <c r="AD49" s="31">
        <f t="shared" ref="AD49:AF49" si="98">(AA49-MIN(AA$6:AA$236))/(MAX(AA$6:AA$236)-MIN(AA$6:AA$236))</f>
        <v>0</v>
      </c>
      <c r="AE49" s="31">
        <f t="shared" si="98"/>
        <v>0.4</v>
      </c>
      <c r="AF49" s="31">
        <f t="shared" si="98"/>
        <v>8.461538461538462E-2</v>
      </c>
      <c r="AG49" s="32">
        <f t="shared" si="4"/>
        <v>0.48461538461538467</v>
      </c>
    </row>
    <row r="50" spans="1:33" ht="15.75" customHeight="1" x14ac:dyDescent="0.3">
      <c r="A50" s="6" t="s">
        <v>50</v>
      </c>
      <c r="B50" s="6" t="s">
        <v>175</v>
      </c>
      <c r="C50" s="6" t="s">
        <v>281</v>
      </c>
      <c r="D50" s="8" t="s">
        <v>342</v>
      </c>
      <c r="E50" s="19">
        <v>3</v>
      </c>
      <c r="F50" s="19">
        <v>20</v>
      </c>
      <c r="G50" s="19">
        <v>1</v>
      </c>
      <c r="H50" s="19">
        <v>2</v>
      </c>
      <c r="I50" s="19">
        <v>1</v>
      </c>
      <c r="J50" s="20">
        <v>1</v>
      </c>
      <c r="K50" s="19">
        <v>1</v>
      </c>
      <c r="L50" s="19">
        <v>0</v>
      </c>
      <c r="M50" s="20">
        <v>6.125</v>
      </c>
      <c r="N50" s="21">
        <v>317.83530000000002</v>
      </c>
      <c r="O50" s="20">
        <v>1.55E-2</v>
      </c>
      <c r="P50" s="19">
        <v>15</v>
      </c>
      <c r="Q50" s="19">
        <v>11</v>
      </c>
      <c r="R50" s="20">
        <v>51.891500000000001</v>
      </c>
      <c r="S50" s="20">
        <v>1</v>
      </c>
      <c r="T50" s="19">
        <v>1</v>
      </c>
      <c r="U50" s="20">
        <v>59.5152</v>
      </c>
      <c r="V50" s="19">
        <v>0</v>
      </c>
      <c r="W50" s="19">
        <v>3</v>
      </c>
      <c r="X50" s="19">
        <v>1</v>
      </c>
      <c r="Z50" s="6" t="str">
        <f t="shared" ref="Z50:AA50" si="99">D30</f>
        <v>GameWindow.show</v>
      </c>
      <c r="AA50" s="27">
        <f t="shared" si="99"/>
        <v>5</v>
      </c>
      <c r="AB50" s="27">
        <f>G30</f>
        <v>1</v>
      </c>
      <c r="AC50" s="27">
        <f>F30</f>
        <v>21</v>
      </c>
      <c r="AD50" s="28">
        <f t="shared" ref="AD50:AF50" si="100">(AA50-MIN(AA$6:AA$236))/(MAX(AA$6:AA$236)-MIN(AA$6:AA$236))</f>
        <v>0.1111111111111111</v>
      </c>
      <c r="AE50" s="28">
        <f t="shared" si="100"/>
        <v>0.2</v>
      </c>
      <c r="AF50" s="28">
        <f t="shared" si="100"/>
        <v>0.16153846153846155</v>
      </c>
      <c r="AG50" s="29">
        <f t="shared" si="4"/>
        <v>0.47264957264957264</v>
      </c>
    </row>
    <row r="51" spans="1:33" ht="15.75" customHeight="1" x14ac:dyDescent="0.3">
      <c r="A51" s="12" t="s">
        <v>50</v>
      </c>
      <c r="B51" s="12" t="s">
        <v>195</v>
      </c>
      <c r="C51" s="12" t="s">
        <v>343</v>
      </c>
      <c r="D51" s="14" t="s">
        <v>344</v>
      </c>
      <c r="E51" s="23">
        <v>3</v>
      </c>
      <c r="F51" s="23">
        <v>20</v>
      </c>
      <c r="G51" s="23">
        <v>1</v>
      </c>
      <c r="H51" s="23">
        <v>2</v>
      </c>
      <c r="I51" s="23">
        <v>1</v>
      </c>
      <c r="J51" s="22">
        <v>0.5</v>
      </c>
      <c r="K51" s="23">
        <v>2</v>
      </c>
      <c r="L51" s="23">
        <v>0</v>
      </c>
      <c r="M51" s="22">
        <v>10.5</v>
      </c>
      <c r="N51" s="24">
        <v>1089.1259</v>
      </c>
      <c r="O51" s="22">
        <v>3.5299999999999998E-2</v>
      </c>
      <c r="P51" s="23">
        <v>24</v>
      </c>
      <c r="Q51" s="23">
        <v>20</v>
      </c>
      <c r="R51" s="22">
        <v>103.72629999999999</v>
      </c>
      <c r="S51" s="22">
        <v>1</v>
      </c>
      <c r="T51" s="23">
        <v>1</v>
      </c>
      <c r="U51" s="22">
        <v>57.377699999999997</v>
      </c>
      <c r="V51" s="23">
        <v>0</v>
      </c>
      <c r="W51" s="23">
        <v>2</v>
      </c>
      <c r="X51" s="23">
        <v>1</v>
      </c>
      <c r="Z51" s="12" t="str">
        <f t="shared" ref="Z51:AA51" si="101">D36</f>
        <v>Fleet.addShip</v>
      </c>
      <c r="AA51" s="30">
        <f t="shared" si="101"/>
        <v>4</v>
      </c>
      <c r="AB51" s="30">
        <f>G36</f>
        <v>1</v>
      </c>
      <c r="AC51" s="30">
        <f>F36</f>
        <v>23</v>
      </c>
      <c r="AD51" s="31">
        <f t="shared" ref="AD51:AF51" si="102">(AA51-MIN(AA$6:AA$236))/(MAX(AA$6:AA$236)-MIN(AA$6:AA$236))</f>
        <v>8.3333333333333329E-2</v>
      </c>
      <c r="AE51" s="31">
        <f t="shared" si="102"/>
        <v>0.2</v>
      </c>
      <c r="AF51" s="31">
        <f t="shared" si="102"/>
        <v>0.17692307692307693</v>
      </c>
      <c r="AG51" s="32">
        <f t="shared" si="4"/>
        <v>0.46025641025641029</v>
      </c>
    </row>
    <row r="52" spans="1:33" ht="15.75" customHeight="1" x14ac:dyDescent="0.3">
      <c r="A52" s="6" t="s">
        <v>50</v>
      </c>
      <c r="B52" s="6" t="s">
        <v>195</v>
      </c>
      <c r="C52" s="6" t="s">
        <v>345</v>
      </c>
      <c r="D52" s="8" t="s">
        <v>340</v>
      </c>
      <c r="E52" s="19">
        <v>3</v>
      </c>
      <c r="F52" s="19">
        <v>20</v>
      </c>
      <c r="G52" s="19">
        <v>1</v>
      </c>
      <c r="H52" s="19">
        <v>2</v>
      </c>
      <c r="I52" s="19">
        <v>1</v>
      </c>
      <c r="J52" s="20">
        <v>0.5</v>
      </c>
      <c r="K52" s="19">
        <v>2</v>
      </c>
      <c r="L52" s="19">
        <v>0</v>
      </c>
      <c r="M52" s="20">
        <v>11.25</v>
      </c>
      <c r="N52" s="21">
        <v>1235.3393000000001</v>
      </c>
      <c r="O52" s="20">
        <v>3.8399999999999997E-2</v>
      </c>
      <c r="P52" s="19">
        <v>25</v>
      </c>
      <c r="Q52" s="19">
        <v>21</v>
      </c>
      <c r="R52" s="20">
        <v>109.8079</v>
      </c>
      <c r="S52" s="20">
        <v>1</v>
      </c>
      <c r="T52" s="19">
        <v>1</v>
      </c>
      <c r="U52" s="20">
        <v>57.205500000000001</v>
      </c>
      <c r="V52" s="19">
        <v>0</v>
      </c>
      <c r="W52" s="19">
        <v>2</v>
      </c>
      <c r="X52" s="19">
        <v>1</v>
      </c>
      <c r="Z52" s="6" t="str">
        <f t="shared" ref="Z52:AA52" si="103">D120</f>
        <v>GameRegistry.createSession</v>
      </c>
      <c r="AA52" s="27">
        <f t="shared" si="103"/>
        <v>1</v>
      </c>
      <c r="AB52" s="27">
        <f>G120</f>
        <v>2</v>
      </c>
      <c r="AC52" s="27">
        <f>F120</f>
        <v>7</v>
      </c>
      <c r="AD52" s="28">
        <f t="shared" ref="AD52:AF52" si="104">(AA52-MIN(AA$6:AA$236))/(MAX(AA$6:AA$236)-MIN(AA$6:AA$236))</f>
        <v>0</v>
      </c>
      <c r="AE52" s="28">
        <f t="shared" si="104"/>
        <v>0.4</v>
      </c>
      <c r="AF52" s="28">
        <f t="shared" si="104"/>
        <v>5.3846153846153849E-2</v>
      </c>
      <c r="AG52" s="29">
        <f t="shared" si="4"/>
        <v>0.4538461538461539</v>
      </c>
    </row>
    <row r="53" spans="1:33" ht="15.75" customHeight="1" x14ac:dyDescent="0.3">
      <c r="A53" s="12" t="s">
        <v>50</v>
      </c>
      <c r="B53" s="12" t="s">
        <v>175</v>
      </c>
      <c r="C53" s="12" t="s">
        <v>251</v>
      </c>
      <c r="D53" s="14" t="s">
        <v>346</v>
      </c>
      <c r="E53" s="23">
        <v>3</v>
      </c>
      <c r="F53" s="23">
        <v>19</v>
      </c>
      <c r="G53" s="23">
        <v>0</v>
      </c>
      <c r="H53" s="23">
        <v>2</v>
      </c>
      <c r="I53" s="23">
        <v>1</v>
      </c>
      <c r="J53" s="22">
        <v>1</v>
      </c>
      <c r="K53" s="23">
        <v>2</v>
      </c>
      <c r="L53" s="23">
        <v>0</v>
      </c>
      <c r="M53" s="22">
        <v>5.8333000000000004</v>
      </c>
      <c r="N53" s="24">
        <v>232.535</v>
      </c>
      <c r="O53" s="22">
        <v>1.26E-2</v>
      </c>
      <c r="P53" s="23">
        <v>12</v>
      </c>
      <c r="Q53" s="23">
        <v>10</v>
      </c>
      <c r="R53" s="22">
        <v>39.863100000000003</v>
      </c>
      <c r="S53" s="22">
        <v>1</v>
      </c>
      <c r="T53" s="23">
        <v>1</v>
      </c>
      <c r="U53" s="22">
        <v>60.816899999999997</v>
      </c>
      <c r="V53" s="23">
        <v>0</v>
      </c>
      <c r="W53" s="23">
        <v>3</v>
      </c>
      <c r="X53" s="23">
        <v>1</v>
      </c>
      <c r="Z53" s="12" t="str">
        <f t="shared" ref="Z53:AA53" si="105">D124</f>
        <v>GameWindow.boardWithTitle</v>
      </c>
      <c r="AA53" s="30">
        <f t="shared" si="105"/>
        <v>1</v>
      </c>
      <c r="AB53" s="30">
        <f>G124</f>
        <v>2</v>
      </c>
      <c r="AC53" s="30">
        <f>F124</f>
        <v>6</v>
      </c>
      <c r="AD53" s="31">
        <f t="shared" ref="AD53:AF53" si="106">(AA53-MIN(AA$6:AA$236))/(MAX(AA$6:AA$236)-MIN(AA$6:AA$236))</f>
        <v>0</v>
      </c>
      <c r="AE53" s="31">
        <f t="shared" si="106"/>
        <v>0.4</v>
      </c>
      <c r="AF53" s="31">
        <f t="shared" si="106"/>
        <v>4.6153846153846156E-2</v>
      </c>
      <c r="AG53" s="32">
        <f t="shared" si="4"/>
        <v>0.44615384615384618</v>
      </c>
    </row>
    <row r="54" spans="1:33" ht="15.75" customHeight="1" x14ac:dyDescent="0.3">
      <c r="A54" s="6" t="s">
        <v>50</v>
      </c>
      <c r="B54" s="6" t="s">
        <v>175</v>
      </c>
      <c r="C54" s="6" t="s">
        <v>260</v>
      </c>
      <c r="D54" s="8" t="s">
        <v>348</v>
      </c>
      <c r="E54" s="19">
        <v>3</v>
      </c>
      <c r="F54" s="19">
        <v>19</v>
      </c>
      <c r="G54" s="19">
        <v>0</v>
      </c>
      <c r="H54" s="19">
        <v>2</v>
      </c>
      <c r="I54" s="19">
        <v>1</v>
      </c>
      <c r="J54" s="20">
        <v>1</v>
      </c>
      <c r="K54" s="19">
        <v>2</v>
      </c>
      <c r="L54" s="19">
        <v>0</v>
      </c>
      <c r="M54" s="20">
        <v>6.6666999999999996</v>
      </c>
      <c r="N54" s="21">
        <v>299.81740000000002</v>
      </c>
      <c r="O54" s="20">
        <v>1.49E-2</v>
      </c>
      <c r="P54" s="19">
        <v>13</v>
      </c>
      <c r="Q54" s="19">
        <v>11</v>
      </c>
      <c r="R54" s="20">
        <v>44.9726</v>
      </c>
      <c r="S54" s="20">
        <v>1</v>
      </c>
      <c r="T54" s="19">
        <v>1</v>
      </c>
      <c r="U54" s="20">
        <v>60.450099999999999</v>
      </c>
      <c r="V54" s="19">
        <v>0</v>
      </c>
      <c r="W54" s="19">
        <v>3</v>
      </c>
      <c r="X54" s="19">
        <v>1</v>
      </c>
      <c r="Z54" s="6" t="str">
        <f t="shared" ref="Z54:AA54" si="107">D139</f>
        <v>GameWindow.legendItem</v>
      </c>
      <c r="AA54" s="27">
        <f t="shared" si="107"/>
        <v>1</v>
      </c>
      <c r="AB54" s="27">
        <f>G139</f>
        <v>2</v>
      </c>
      <c r="AC54" s="27">
        <f>F139</f>
        <v>5</v>
      </c>
      <c r="AD54" s="28">
        <f t="shared" ref="AD54:AF54" si="108">(AA54-MIN(AA$6:AA$236))/(MAX(AA$6:AA$236)-MIN(AA$6:AA$236))</f>
        <v>0</v>
      </c>
      <c r="AE54" s="28">
        <f t="shared" si="108"/>
        <v>0.4</v>
      </c>
      <c r="AF54" s="28">
        <f t="shared" si="108"/>
        <v>3.8461538461538464E-2</v>
      </c>
      <c r="AG54" s="29">
        <f t="shared" si="4"/>
        <v>0.43846153846153846</v>
      </c>
    </row>
    <row r="55" spans="1:33" ht="15.75" customHeight="1" x14ac:dyDescent="0.3">
      <c r="A55" s="12" t="s">
        <v>50</v>
      </c>
      <c r="B55" s="12" t="s">
        <v>195</v>
      </c>
      <c r="C55" s="12" t="s">
        <v>350</v>
      </c>
      <c r="D55" s="14" t="s">
        <v>351</v>
      </c>
      <c r="E55" s="23">
        <v>3</v>
      </c>
      <c r="F55" s="23">
        <v>19</v>
      </c>
      <c r="G55" s="23">
        <v>0</v>
      </c>
      <c r="H55" s="23">
        <v>2</v>
      </c>
      <c r="I55" s="23">
        <v>1</v>
      </c>
      <c r="J55" s="22">
        <v>0.5</v>
      </c>
      <c r="K55" s="23">
        <v>2</v>
      </c>
      <c r="L55" s="23">
        <v>0</v>
      </c>
      <c r="M55" s="22">
        <v>13.5</v>
      </c>
      <c r="N55" s="24">
        <v>1566</v>
      </c>
      <c r="O55" s="22">
        <v>4.4999999999999998E-2</v>
      </c>
      <c r="P55" s="23">
        <v>29</v>
      </c>
      <c r="Q55" s="23">
        <v>16</v>
      </c>
      <c r="R55" s="22">
        <v>116</v>
      </c>
      <c r="S55" s="22">
        <v>1</v>
      </c>
      <c r="T55" s="23">
        <v>1</v>
      </c>
      <c r="U55" s="22">
        <v>57.502200000000002</v>
      </c>
      <c r="V55" s="23">
        <v>0</v>
      </c>
      <c r="W55" s="23">
        <v>2</v>
      </c>
      <c r="X55" s="23">
        <v>1</v>
      </c>
      <c r="Z55" s="12" t="str">
        <f t="shared" ref="Z55:AA55" si="109">D142</f>
        <v>Game.printAlienBoard</v>
      </c>
      <c r="AA55" s="30">
        <f t="shared" si="109"/>
        <v>1</v>
      </c>
      <c r="AB55" s="30">
        <f t="shared" ref="AB55:AB56" si="110">G142</f>
        <v>2</v>
      </c>
      <c r="AC55" s="30">
        <f t="shared" ref="AC55:AC56" si="111">F142</f>
        <v>4</v>
      </c>
      <c r="AD55" s="31">
        <f t="shared" ref="AD55:AF55" si="112">(AA55-MIN(AA$6:AA$236))/(MAX(AA$6:AA$236)-MIN(AA$6:AA$236))</f>
        <v>0</v>
      </c>
      <c r="AE55" s="31">
        <f t="shared" si="112"/>
        <v>0.4</v>
      </c>
      <c r="AF55" s="31">
        <f t="shared" si="112"/>
        <v>3.0769230769230771E-2</v>
      </c>
      <c r="AG55" s="32">
        <f t="shared" si="4"/>
        <v>0.43076923076923079</v>
      </c>
    </row>
    <row r="56" spans="1:33" ht="15.75" customHeight="1" x14ac:dyDescent="0.3">
      <c r="A56" s="6" t="s">
        <v>50</v>
      </c>
      <c r="B56" s="6" t="s">
        <v>195</v>
      </c>
      <c r="C56" s="6" t="s">
        <v>352</v>
      </c>
      <c r="D56" s="8" t="s">
        <v>353</v>
      </c>
      <c r="E56" s="19">
        <v>3</v>
      </c>
      <c r="F56" s="19">
        <v>19</v>
      </c>
      <c r="G56" s="19">
        <v>0</v>
      </c>
      <c r="H56" s="19">
        <v>2</v>
      </c>
      <c r="I56" s="19">
        <v>1</v>
      </c>
      <c r="J56" s="20">
        <v>0.5</v>
      </c>
      <c r="K56" s="19">
        <v>2</v>
      </c>
      <c r="L56" s="19">
        <v>0</v>
      </c>
      <c r="M56" s="20">
        <v>12.375</v>
      </c>
      <c r="N56" s="21">
        <v>1402.0853999999999</v>
      </c>
      <c r="O56" s="20">
        <v>4.1799999999999997E-2</v>
      </c>
      <c r="P56" s="19">
        <v>29</v>
      </c>
      <c r="Q56" s="19">
        <v>15</v>
      </c>
      <c r="R56" s="20">
        <v>113.2998</v>
      </c>
      <c r="S56" s="20">
        <v>1</v>
      </c>
      <c r="T56" s="19">
        <v>1</v>
      </c>
      <c r="U56" s="20">
        <v>57.581899999999997</v>
      </c>
      <c r="V56" s="19">
        <v>0</v>
      </c>
      <c r="W56" s="19">
        <v>2</v>
      </c>
      <c r="X56" s="19">
        <v>1</v>
      </c>
      <c r="Z56" s="6" t="str">
        <f t="shared" ref="Z56:AA56" si="113">D143</f>
        <v>Game.printMyBoard</v>
      </c>
      <c r="AA56" s="27">
        <f t="shared" si="113"/>
        <v>1</v>
      </c>
      <c r="AB56" s="27">
        <f t="shared" si="110"/>
        <v>2</v>
      </c>
      <c r="AC56" s="27">
        <f t="shared" si="111"/>
        <v>4</v>
      </c>
      <c r="AD56" s="28">
        <f t="shared" ref="AD56:AF56" si="114">(AA56-MIN(AA$6:AA$236))/(MAX(AA$6:AA$236)-MIN(AA$6:AA$236))</f>
        <v>0</v>
      </c>
      <c r="AE56" s="28">
        <f t="shared" si="114"/>
        <v>0.4</v>
      </c>
      <c r="AF56" s="28">
        <f t="shared" si="114"/>
        <v>3.0769230769230771E-2</v>
      </c>
      <c r="AG56" s="29">
        <f t="shared" si="4"/>
        <v>0.43076923076923079</v>
      </c>
    </row>
    <row r="57" spans="1:33" ht="15.75" customHeight="1" x14ac:dyDescent="0.3">
      <c r="A57" s="12" t="s">
        <v>50</v>
      </c>
      <c r="B57" s="12" t="s">
        <v>195</v>
      </c>
      <c r="C57" s="12" t="s">
        <v>354</v>
      </c>
      <c r="D57" s="14" t="s">
        <v>355</v>
      </c>
      <c r="E57" s="23">
        <v>3</v>
      </c>
      <c r="F57" s="23">
        <v>19</v>
      </c>
      <c r="G57" s="23">
        <v>0</v>
      </c>
      <c r="H57" s="23">
        <v>2</v>
      </c>
      <c r="I57" s="23">
        <v>1</v>
      </c>
      <c r="J57" s="22">
        <v>0.5</v>
      </c>
      <c r="K57" s="23">
        <v>2</v>
      </c>
      <c r="L57" s="23">
        <v>0</v>
      </c>
      <c r="M57" s="22">
        <v>13.5</v>
      </c>
      <c r="N57" s="24">
        <v>1566</v>
      </c>
      <c r="O57" s="22">
        <v>4.4999999999999998E-2</v>
      </c>
      <c r="P57" s="23">
        <v>29</v>
      </c>
      <c r="Q57" s="23">
        <v>16</v>
      </c>
      <c r="R57" s="22">
        <v>116</v>
      </c>
      <c r="S57" s="22">
        <v>1</v>
      </c>
      <c r="T57" s="23">
        <v>1</v>
      </c>
      <c r="U57" s="22">
        <v>57.502200000000002</v>
      </c>
      <c r="V57" s="23">
        <v>0</v>
      </c>
      <c r="W57" s="23">
        <v>2</v>
      </c>
      <c r="X57" s="23">
        <v>1</v>
      </c>
      <c r="Z57" s="12" t="str">
        <f t="shared" ref="Z57:AA57" si="115">D150</f>
        <v>GameController.error</v>
      </c>
      <c r="AA57" s="30">
        <f t="shared" si="115"/>
        <v>1</v>
      </c>
      <c r="AB57" s="30">
        <f>G150</f>
        <v>2</v>
      </c>
      <c r="AC57" s="30">
        <f>F150</f>
        <v>4</v>
      </c>
      <c r="AD57" s="31">
        <f t="shared" ref="AD57:AF57" si="116">(AA57-MIN(AA$6:AA$236))/(MAX(AA$6:AA$236)-MIN(AA$6:AA$236))</f>
        <v>0</v>
      </c>
      <c r="AE57" s="31">
        <f t="shared" si="116"/>
        <v>0.4</v>
      </c>
      <c r="AF57" s="31">
        <f t="shared" si="116"/>
        <v>3.0769230769230771E-2</v>
      </c>
      <c r="AG57" s="32">
        <f t="shared" si="4"/>
        <v>0.43076923076923079</v>
      </c>
    </row>
    <row r="58" spans="1:33" ht="15.75" customHeight="1" x14ac:dyDescent="0.3">
      <c r="A58" s="6" t="s">
        <v>50</v>
      </c>
      <c r="B58" s="6" t="s">
        <v>195</v>
      </c>
      <c r="C58" s="6" t="s">
        <v>356</v>
      </c>
      <c r="D58" s="8" t="s">
        <v>357</v>
      </c>
      <c r="E58" s="19">
        <v>3</v>
      </c>
      <c r="F58" s="19">
        <v>19</v>
      </c>
      <c r="G58" s="19">
        <v>0</v>
      </c>
      <c r="H58" s="19">
        <v>2</v>
      </c>
      <c r="I58" s="19">
        <v>1</v>
      </c>
      <c r="J58" s="20">
        <v>0.5</v>
      </c>
      <c r="K58" s="19">
        <v>2</v>
      </c>
      <c r="L58" s="19">
        <v>0</v>
      </c>
      <c r="M58" s="20">
        <v>12.375</v>
      </c>
      <c r="N58" s="21">
        <v>1402.0853999999999</v>
      </c>
      <c r="O58" s="20">
        <v>4.1799999999999997E-2</v>
      </c>
      <c r="P58" s="19">
        <v>29</v>
      </c>
      <c r="Q58" s="19">
        <v>15</v>
      </c>
      <c r="R58" s="20">
        <v>113.2998</v>
      </c>
      <c r="S58" s="20">
        <v>1</v>
      </c>
      <c r="T58" s="19">
        <v>1</v>
      </c>
      <c r="U58" s="20">
        <v>57.581899999999997</v>
      </c>
      <c r="V58" s="19">
        <v>0</v>
      </c>
      <c r="W58" s="19">
        <v>2</v>
      </c>
      <c r="X58" s="19">
        <v>1</v>
      </c>
      <c r="Z58" s="6" t="str">
        <f t="shared" ref="Z58:AA58" si="117">D38</f>
        <v>Tasks.buildFleet</v>
      </c>
      <c r="AA58" s="27">
        <f t="shared" si="117"/>
        <v>4</v>
      </c>
      <c r="AB58" s="27">
        <f>G38</f>
        <v>1</v>
      </c>
      <c r="AC58" s="27">
        <f>F38</f>
        <v>19</v>
      </c>
      <c r="AD58" s="28">
        <f t="shared" ref="AD58:AF58" si="118">(AA58-MIN(AA$6:AA$236))/(MAX(AA$6:AA$236)-MIN(AA$6:AA$236))</f>
        <v>8.3333333333333329E-2</v>
      </c>
      <c r="AE58" s="28">
        <f t="shared" si="118"/>
        <v>0.2</v>
      </c>
      <c r="AF58" s="28">
        <f t="shared" si="118"/>
        <v>0.14615384615384616</v>
      </c>
      <c r="AG58" s="29">
        <f t="shared" si="4"/>
        <v>0.42948717948717952</v>
      </c>
    </row>
    <row r="59" spans="1:33" ht="15.75" customHeight="1" x14ac:dyDescent="0.3">
      <c r="A59" s="12" t="s">
        <v>50</v>
      </c>
      <c r="B59" s="12" t="s">
        <v>195</v>
      </c>
      <c r="C59" s="12" t="s">
        <v>359</v>
      </c>
      <c r="D59" s="14" t="s">
        <v>360</v>
      </c>
      <c r="E59" s="23">
        <v>3</v>
      </c>
      <c r="F59" s="23">
        <v>18</v>
      </c>
      <c r="G59" s="23">
        <v>0</v>
      </c>
      <c r="H59" s="23">
        <v>2</v>
      </c>
      <c r="I59" s="23">
        <v>1</v>
      </c>
      <c r="J59" s="22">
        <v>0.5</v>
      </c>
      <c r="K59" s="23">
        <v>2</v>
      </c>
      <c r="L59" s="23">
        <v>0</v>
      </c>
      <c r="M59" s="22">
        <v>9.75</v>
      </c>
      <c r="N59" s="24">
        <v>797.05529999999999</v>
      </c>
      <c r="O59" s="22">
        <v>2.87E-2</v>
      </c>
      <c r="P59" s="23">
        <v>20</v>
      </c>
      <c r="Q59" s="23">
        <v>17</v>
      </c>
      <c r="R59" s="22">
        <v>81.749300000000005</v>
      </c>
      <c r="S59" s="22">
        <v>1</v>
      </c>
      <c r="T59" s="23">
        <v>1</v>
      </c>
      <c r="U59" s="22">
        <v>59.106499999999997</v>
      </c>
      <c r="V59" s="23">
        <v>0</v>
      </c>
      <c r="W59" s="23">
        <v>1</v>
      </c>
      <c r="X59" s="23">
        <v>1</v>
      </c>
      <c r="Z59" s="12" t="str">
        <f t="shared" ref="Z59:AA59" si="119">D157</f>
        <v>GamePDFExporter.generatePDF</v>
      </c>
      <c r="AA59" s="30">
        <f t="shared" si="119"/>
        <v>1</v>
      </c>
      <c r="AB59" s="30">
        <f>G157</f>
        <v>2</v>
      </c>
      <c r="AC59" s="30">
        <f>F157</f>
        <v>3</v>
      </c>
      <c r="AD59" s="31">
        <f t="shared" ref="AD59:AF59" si="120">(AA59-MIN(AA$6:AA$236))/(MAX(AA$6:AA$236)-MIN(AA$6:AA$236))</f>
        <v>0</v>
      </c>
      <c r="AE59" s="31">
        <f t="shared" si="120"/>
        <v>0.4</v>
      </c>
      <c r="AF59" s="31">
        <f t="shared" si="120"/>
        <v>2.3076923076923078E-2</v>
      </c>
      <c r="AG59" s="32">
        <f t="shared" si="4"/>
        <v>0.42307692307692313</v>
      </c>
    </row>
    <row r="60" spans="1:33" ht="15.75" customHeight="1" x14ac:dyDescent="0.3">
      <c r="A60" s="6" t="s">
        <v>50</v>
      </c>
      <c r="B60" s="6" t="s">
        <v>175</v>
      </c>
      <c r="C60" s="6" t="s">
        <v>246</v>
      </c>
      <c r="D60" s="8" t="s">
        <v>361</v>
      </c>
      <c r="E60" s="19">
        <v>3</v>
      </c>
      <c r="F60" s="19">
        <v>16</v>
      </c>
      <c r="G60" s="19">
        <v>1</v>
      </c>
      <c r="H60" s="19">
        <v>2</v>
      </c>
      <c r="I60" s="19">
        <v>1</v>
      </c>
      <c r="J60" s="20">
        <v>0.66669999999999996</v>
      </c>
      <c r="K60" s="19">
        <v>3</v>
      </c>
      <c r="L60" s="19">
        <v>0</v>
      </c>
      <c r="M60" s="20">
        <v>10.2143</v>
      </c>
      <c r="N60" s="21">
        <v>1103.6351999999999</v>
      </c>
      <c r="O60" s="20">
        <v>3.56E-2</v>
      </c>
      <c r="P60" s="19">
        <v>25</v>
      </c>
      <c r="Q60" s="19">
        <v>20</v>
      </c>
      <c r="R60" s="20">
        <v>108.04819999999999</v>
      </c>
      <c r="S60" s="20">
        <v>1</v>
      </c>
      <c r="T60" s="19">
        <v>1</v>
      </c>
      <c r="U60" s="20">
        <v>59.347499999999997</v>
      </c>
      <c r="V60" s="19">
        <v>1</v>
      </c>
      <c r="W60" s="19">
        <v>3</v>
      </c>
      <c r="X60" s="19">
        <v>1</v>
      </c>
      <c r="Z60" s="6" t="str">
        <f t="shared" ref="Z60:AA60" si="121">D39</f>
        <v>Position.equals</v>
      </c>
      <c r="AA60" s="27">
        <f t="shared" si="121"/>
        <v>4</v>
      </c>
      <c r="AB60" s="27">
        <f>G39</f>
        <v>1</v>
      </c>
      <c r="AC60" s="27">
        <f>F39</f>
        <v>18</v>
      </c>
      <c r="AD60" s="28">
        <f t="shared" ref="AD60:AF60" si="122">(AA60-MIN(AA$6:AA$236))/(MAX(AA$6:AA$236)-MIN(AA$6:AA$236))</f>
        <v>8.3333333333333329E-2</v>
      </c>
      <c r="AE60" s="28">
        <f t="shared" si="122"/>
        <v>0.2</v>
      </c>
      <c r="AF60" s="28">
        <f t="shared" si="122"/>
        <v>0.13846153846153847</v>
      </c>
      <c r="AG60" s="29">
        <f t="shared" si="4"/>
        <v>0.4217948717948718</v>
      </c>
    </row>
    <row r="61" spans="1:33" ht="15.75" customHeight="1" x14ac:dyDescent="0.3">
      <c r="A61" s="12" t="s">
        <v>50</v>
      </c>
      <c r="B61" s="12" t="s">
        <v>177</v>
      </c>
      <c r="C61" s="12" t="s">
        <v>299</v>
      </c>
      <c r="D61" s="14" t="s">
        <v>362</v>
      </c>
      <c r="E61" s="23">
        <v>3</v>
      </c>
      <c r="F61" s="23">
        <v>13</v>
      </c>
      <c r="G61" s="23">
        <v>1</v>
      </c>
      <c r="H61" s="23">
        <v>2</v>
      </c>
      <c r="I61" s="23">
        <v>0</v>
      </c>
      <c r="J61" s="22">
        <v>0.75</v>
      </c>
      <c r="K61" s="23">
        <v>4</v>
      </c>
      <c r="L61" s="23">
        <v>0</v>
      </c>
      <c r="M61" s="22">
        <v>14.857100000000001</v>
      </c>
      <c r="N61" s="24">
        <v>2568.4600999999998</v>
      </c>
      <c r="O61" s="22">
        <v>6.25E-2</v>
      </c>
      <c r="P61" s="23">
        <v>40</v>
      </c>
      <c r="Q61" s="23">
        <v>20</v>
      </c>
      <c r="R61" s="22">
        <v>172.87710000000001</v>
      </c>
      <c r="S61" s="22">
        <v>0</v>
      </c>
      <c r="T61" s="23">
        <v>1</v>
      </c>
      <c r="U61" s="22">
        <v>59.899500000000003</v>
      </c>
      <c r="V61" s="23">
        <v>1</v>
      </c>
      <c r="W61" s="23">
        <v>3</v>
      </c>
      <c r="X61" s="23">
        <v>2</v>
      </c>
      <c r="Z61" s="12" t="str">
        <f t="shared" ref="Z61:AA61" si="123">D33</f>
        <v>GamePDFExporter.describeResult</v>
      </c>
      <c r="AA61" s="30">
        <f t="shared" si="123"/>
        <v>5</v>
      </c>
      <c r="AB61" s="30">
        <f>G33</f>
        <v>1</v>
      </c>
      <c r="AC61" s="30">
        <f>F33</f>
        <v>14</v>
      </c>
      <c r="AD61" s="31">
        <f t="shared" ref="AD61:AF61" si="124">(AA61-MIN(AA$6:AA$236))/(MAX(AA$6:AA$236)-MIN(AA$6:AA$236))</f>
        <v>0.1111111111111111</v>
      </c>
      <c r="AE61" s="31">
        <f t="shared" si="124"/>
        <v>0.2</v>
      </c>
      <c r="AF61" s="31">
        <f t="shared" si="124"/>
        <v>0.1076923076923077</v>
      </c>
      <c r="AG61" s="32">
        <f t="shared" si="4"/>
        <v>0.41880341880341881</v>
      </c>
    </row>
    <row r="62" spans="1:33" ht="15.75" customHeight="1" x14ac:dyDescent="0.3">
      <c r="A62" s="6" t="s">
        <v>50</v>
      </c>
      <c r="B62" s="6" t="s">
        <v>178</v>
      </c>
      <c r="C62" s="6" t="s">
        <v>363</v>
      </c>
      <c r="D62" s="8" t="s">
        <v>364</v>
      </c>
      <c r="E62" s="19">
        <v>3</v>
      </c>
      <c r="F62" s="19">
        <v>8</v>
      </c>
      <c r="G62" s="19">
        <v>1</v>
      </c>
      <c r="H62" s="19">
        <v>2</v>
      </c>
      <c r="I62" s="19">
        <v>1</v>
      </c>
      <c r="J62" s="20">
        <v>1</v>
      </c>
      <c r="K62" s="19">
        <v>2</v>
      </c>
      <c r="L62" s="19">
        <v>0</v>
      </c>
      <c r="M62" s="20">
        <v>5.25</v>
      </c>
      <c r="N62" s="21">
        <v>348.69</v>
      </c>
      <c r="O62" s="20">
        <v>1.6500000000000001E-2</v>
      </c>
      <c r="P62" s="19">
        <v>17</v>
      </c>
      <c r="Q62" s="19">
        <v>15</v>
      </c>
      <c r="R62" s="20">
        <v>66.417100000000005</v>
      </c>
      <c r="S62" s="20">
        <v>1</v>
      </c>
      <c r="T62" s="19">
        <v>1</v>
      </c>
      <c r="U62" s="20">
        <v>67.411799999999999</v>
      </c>
      <c r="V62" s="19">
        <v>0</v>
      </c>
      <c r="W62" s="19">
        <v>3</v>
      </c>
      <c r="X62" s="19">
        <v>1</v>
      </c>
      <c r="Z62" s="6" t="str">
        <f t="shared" ref="Z62:AA62" si="125">D47</f>
        <v>Fleet.getShipsLike</v>
      </c>
      <c r="AA62" s="27">
        <f t="shared" si="125"/>
        <v>3</v>
      </c>
      <c r="AB62" s="27">
        <f t="shared" ref="AB62:AB64" si="126">G47</f>
        <v>1</v>
      </c>
      <c r="AC62" s="27">
        <f t="shared" ref="AC62:AC64" si="127">F47</f>
        <v>21</v>
      </c>
      <c r="AD62" s="28">
        <f t="shared" ref="AD62:AF62" si="128">(AA62-MIN(AA$6:AA$236))/(MAX(AA$6:AA$236)-MIN(AA$6:AA$236))</f>
        <v>5.5555555555555552E-2</v>
      </c>
      <c r="AE62" s="28">
        <f t="shared" si="128"/>
        <v>0.2</v>
      </c>
      <c r="AF62" s="28">
        <f t="shared" si="128"/>
        <v>0.16153846153846155</v>
      </c>
      <c r="AG62" s="29">
        <f t="shared" si="4"/>
        <v>0.41709401709401706</v>
      </c>
    </row>
    <row r="63" spans="1:33" ht="15.75" customHeight="1" x14ac:dyDescent="0.3">
      <c r="A63" s="12" t="s">
        <v>50</v>
      </c>
      <c r="B63" s="12" t="s">
        <v>183</v>
      </c>
      <c r="C63" s="12" t="s">
        <v>366</v>
      </c>
      <c r="D63" s="14" t="s">
        <v>367</v>
      </c>
      <c r="E63" s="23">
        <v>2</v>
      </c>
      <c r="F63" s="23">
        <v>16</v>
      </c>
      <c r="G63" s="23">
        <v>2</v>
      </c>
      <c r="H63" s="23">
        <v>1</v>
      </c>
      <c r="I63" s="23">
        <v>0</v>
      </c>
      <c r="J63" s="22">
        <v>1</v>
      </c>
      <c r="K63" s="23">
        <v>2</v>
      </c>
      <c r="L63" s="23">
        <v>0</v>
      </c>
      <c r="M63" s="22">
        <v>5.1429</v>
      </c>
      <c r="N63" s="24">
        <v>361.66640000000001</v>
      </c>
      <c r="O63" s="22">
        <v>1.6899999999999998E-2</v>
      </c>
      <c r="P63" s="23">
        <v>18</v>
      </c>
      <c r="Q63" s="23">
        <v>15</v>
      </c>
      <c r="R63" s="22">
        <v>70.323999999999998</v>
      </c>
      <c r="S63" s="22">
        <v>1</v>
      </c>
      <c r="T63" s="23">
        <v>0</v>
      </c>
      <c r="U63" s="22">
        <v>60.720700000000001</v>
      </c>
      <c r="V63" s="23">
        <v>1</v>
      </c>
      <c r="W63" s="23">
        <v>6</v>
      </c>
      <c r="X63" s="23">
        <v>0</v>
      </c>
      <c r="Z63" s="12" t="str">
        <f t="shared" ref="Z63:AA63" si="129">D48</f>
        <v>Ship.shoot</v>
      </c>
      <c r="AA63" s="30">
        <f t="shared" si="129"/>
        <v>3</v>
      </c>
      <c r="AB63" s="30">
        <f t="shared" si="126"/>
        <v>1</v>
      </c>
      <c r="AC63" s="30">
        <f t="shared" si="127"/>
        <v>21</v>
      </c>
      <c r="AD63" s="31">
        <f t="shared" ref="AD63:AF63" si="130">(AA63-MIN(AA$6:AA$236))/(MAX(AA$6:AA$236)-MIN(AA$6:AA$236))</f>
        <v>5.5555555555555552E-2</v>
      </c>
      <c r="AE63" s="31">
        <f t="shared" si="130"/>
        <v>0.2</v>
      </c>
      <c r="AF63" s="31">
        <f t="shared" si="130"/>
        <v>0.16153846153846155</v>
      </c>
      <c r="AG63" s="32">
        <f t="shared" si="4"/>
        <v>0.41709401709401706</v>
      </c>
    </row>
    <row r="64" spans="1:33" ht="15.75" customHeight="1" x14ac:dyDescent="0.3">
      <c r="A64" s="6" t="s">
        <v>50</v>
      </c>
      <c r="B64" s="6" t="s">
        <v>164</v>
      </c>
      <c r="C64" s="6" t="s">
        <v>186</v>
      </c>
      <c r="D64" s="8" t="s">
        <v>368</v>
      </c>
      <c r="E64" s="19">
        <v>2</v>
      </c>
      <c r="F64" s="19">
        <v>13</v>
      </c>
      <c r="G64" s="19">
        <v>1</v>
      </c>
      <c r="H64" s="19">
        <v>1</v>
      </c>
      <c r="I64" s="19">
        <v>0</v>
      </c>
      <c r="J64" s="20">
        <v>0.5</v>
      </c>
      <c r="K64" s="19">
        <v>12</v>
      </c>
      <c r="L64" s="19">
        <v>2</v>
      </c>
      <c r="M64" s="20">
        <v>26.382400000000001</v>
      </c>
      <c r="N64" s="21">
        <v>10389.9689</v>
      </c>
      <c r="O64" s="20">
        <v>0.15870000000000001</v>
      </c>
      <c r="P64" s="19">
        <v>74</v>
      </c>
      <c r="Q64" s="19">
        <v>40</v>
      </c>
      <c r="R64" s="20">
        <v>393.8227</v>
      </c>
      <c r="S64" s="20">
        <v>0.5</v>
      </c>
      <c r="T64" s="19">
        <v>1</v>
      </c>
      <c r="U64" s="20">
        <v>57.441299999999998</v>
      </c>
      <c r="V64" s="19">
        <v>1</v>
      </c>
      <c r="W64" s="19">
        <v>11</v>
      </c>
      <c r="X64" s="19">
        <v>1</v>
      </c>
      <c r="Z64" s="6" t="str">
        <f t="shared" ref="Z64:AA64" si="131">D49</f>
        <v>Ship.tooCloseTo</v>
      </c>
      <c r="AA64" s="27">
        <f t="shared" si="131"/>
        <v>3</v>
      </c>
      <c r="AB64" s="27">
        <f t="shared" si="126"/>
        <v>1</v>
      </c>
      <c r="AC64" s="27">
        <f t="shared" si="127"/>
        <v>21</v>
      </c>
      <c r="AD64" s="28">
        <f t="shared" ref="AD64:AF64" si="132">(AA64-MIN(AA$6:AA$236))/(MAX(AA$6:AA$236)-MIN(AA$6:AA$236))</f>
        <v>5.5555555555555552E-2</v>
      </c>
      <c r="AE64" s="28">
        <f t="shared" si="132"/>
        <v>0.2</v>
      </c>
      <c r="AF64" s="28">
        <f t="shared" si="132"/>
        <v>0.16153846153846155</v>
      </c>
      <c r="AG64" s="29">
        <f t="shared" si="4"/>
        <v>0.41709401709401706</v>
      </c>
    </row>
    <row r="65" spans="1:33" ht="15.75" customHeight="1" x14ac:dyDescent="0.3">
      <c r="A65" s="12" t="s">
        <v>50</v>
      </c>
      <c r="B65" s="12" t="s">
        <v>183</v>
      </c>
      <c r="C65" s="12" t="s">
        <v>370</v>
      </c>
      <c r="D65" s="14" t="s">
        <v>371</v>
      </c>
      <c r="E65" s="23">
        <v>2</v>
      </c>
      <c r="F65" s="23">
        <v>13</v>
      </c>
      <c r="G65" s="23">
        <v>1</v>
      </c>
      <c r="H65" s="23">
        <v>2</v>
      </c>
      <c r="I65" s="23">
        <v>1</v>
      </c>
      <c r="J65" s="22">
        <v>0.75</v>
      </c>
      <c r="K65" s="23">
        <v>4</v>
      </c>
      <c r="L65" s="23">
        <v>1</v>
      </c>
      <c r="M65" s="22">
        <v>5.7857000000000003</v>
      </c>
      <c r="N65" s="24">
        <v>416.57139999999998</v>
      </c>
      <c r="O65" s="22">
        <v>1.8599999999999998E-2</v>
      </c>
      <c r="P65" s="23">
        <v>18</v>
      </c>
      <c r="Q65" s="23">
        <v>16</v>
      </c>
      <c r="R65" s="22">
        <v>72</v>
      </c>
      <c r="S65" s="22">
        <v>0.66669999999999996</v>
      </c>
      <c r="T65" s="23">
        <v>0</v>
      </c>
      <c r="U65" s="22">
        <v>62.602200000000003</v>
      </c>
      <c r="V65" s="23">
        <v>1</v>
      </c>
      <c r="W65" s="23">
        <v>4</v>
      </c>
      <c r="X65" s="23">
        <v>0</v>
      </c>
      <c r="Z65" s="12" t="str">
        <f t="shared" ref="Z65:AA65" si="133">D40</f>
        <v>BoardPanel.paintComponent</v>
      </c>
      <c r="AA65" s="30">
        <f t="shared" si="133"/>
        <v>4</v>
      </c>
      <c r="AB65" s="30">
        <f>G40</f>
        <v>1</v>
      </c>
      <c r="AC65" s="30">
        <f>F40</f>
        <v>17</v>
      </c>
      <c r="AD65" s="31">
        <f t="shared" ref="AD65:AF65" si="134">(AA65-MIN(AA$6:AA$236))/(MAX(AA$6:AA$236)-MIN(AA$6:AA$236))</f>
        <v>8.3333333333333329E-2</v>
      </c>
      <c r="AE65" s="31">
        <f t="shared" si="134"/>
        <v>0.2</v>
      </c>
      <c r="AF65" s="31">
        <f t="shared" si="134"/>
        <v>0.13076923076923078</v>
      </c>
      <c r="AG65" s="32">
        <f t="shared" si="4"/>
        <v>0.41410256410256407</v>
      </c>
    </row>
    <row r="66" spans="1:33" ht="15.75" customHeight="1" x14ac:dyDescent="0.3">
      <c r="A66" s="6" t="s">
        <v>50</v>
      </c>
      <c r="B66" s="6" t="s">
        <v>195</v>
      </c>
      <c r="C66" s="6" t="s">
        <v>372</v>
      </c>
      <c r="D66" s="8" t="s">
        <v>373</v>
      </c>
      <c r="E66" s="19">
        <v>2</v>
      </c>
      <c r="F66" s="19">
        <v>13</v>
      </c>
      <c r="G66" s="19">
        <v>0</v>
      </c>
      <c r="H66" s="19">
        <v>1</v>
      </c>
      <c r="I66" s="19">
        <v>0</v>
      </c>
      <c r="J66" s="20">
        <v>0.5</v>
      </c>
      <c r="K66" s="19">
        <v>1</v>
      </c>
      <c r="L66" s="19">
        <v>0</v>
      </c>
      <c r="M66" s="20">
        <v>2.5</v>
      </c>
      <c r="N66" s="21">
        <v>38.7744</v>
      </c>
      <c r="O66" s="20">
        <v>3.8E-3</v>
      </c>
      <c r="P66" s="19">
        <v>6</v>
      </c>
      <c r="Q66" s="19">
        <v>6</v>
      </c>
      <c r="R66" s="20">
        <v>15.5098</v>
      </c>
      <c r="S66" s="20">
        <v>1</v>
      </c>
      <c r="T66" s="19">
        <v>1</v>
      </c>
      <c r="U66" s="20">
        <v>67.372200000000007</v>
      </c>
      <c r="V66" s="19">
        <v>0</v>
      </c>
      <c r="W66" s="19">
        <v>1</v>
      </c>
      <c r="X66" s="19">
        <v>1</v>
      </c>
      <c r="Z66" s="6" t="str">
        <f t="shared" ref="Z66:AA66" si="135">D50</f>
        <v>Fleet.shipAt</v>
      </c>
      <c r="AA66" s="27">
        <f t="shared" si="135"/>
        <v>3</v>
      </c>
      <c r="AB66" s="27">
        <f t="shared" ref="AB66:AB68" si="136">G50</f>
        <v>1</v>
      </c>
      <c r="AC66" s="27">
        <f t="shared" ref="AC66:AC68" si="137">F50</f>
        <v>20</v>
      </c>
      <c r="AD66" s="28">
        <f t="shared" ref="AD66:AF66" si="138">(AA66-MIN(AA$6:AA$236))/(MAX(AA$6:AA$236)-MIN(AA$6:AA$236))</f>
        <v>5.5555555555555552E-2</v>
      </c>
      <c r="AE66" s="28">
        <f t="shared" si="138"/>
        <v>0.2</v>
      </c>
      <c r="AF66" s="28">
        <f t="shared" si="138"/>
        <v>0.15384615384615385</v>
      </c>
      <c r="AG66" s="29">
        <f t="shared" si="4"/>
        <v>0.40940170940170939</v>
      </c>
    </row>
    <row r="67" spans="1:33" ht="15.75" customHeight="1" x14ac:dyDescent="0.3">
      <c r="A67" s="12" t="s">
        <v>50</v>
      </c>
      <c r="B67" s="12" t="s">
        <v>177</v>
      </c>
      <c r="C67" s="12" t="s">
        <v>292</v>
      </c>
      <c r="D67" s="14" t="s">
        <v>374</v>
      </c>
      <c r="E67" s="23">
        <v>2</v>
      </c>
      <c r="F67" s="23">
        <v>12</v>
      </c>
      <c r="G67" s="23">
        <v>1</v>
      </c>
      <c r="H67" s="23">
        <v>1</v>
      </c>
      <c r="I67" s="23">
        <v>0</v>
      </c>
      <c r="J67" s="22">
        <v>0.75</v>
      </c>
      <c r="K67" s="23">
        <v>4</v>
      </c>
      <c r="L67" s="23">
        <v>0</v>
      </c>
      <c r="M67" s="22">
        <v>15.166700000000001</v>
      </c>
      <c r="N67" s="24">
        <v>2512.6491000000001</v>
      </c>
      <c r="O67" s="22">
        <v>6.1600000000000002E-2</v>
      </c>
      <c r="P67" s="23">
        <v>39</v>
      </c>
      <c r="Q67" s="23">
        <v>19</v>
      </c>
      <c r="R67" s="22">
        <v>165.66919999999999</v>
      </c>
      <c r="S67" s="22">
        <v>0</v>
      </c>
      <c r="T67" s="23">
        <v>1</v>
      </c>
      <c r="U67" s="22">
        <v>60.838700000000003</v>
      </c>
      <c r="V67" s="23">
        <v>1</v>
      </c>
      <c r="W67" s="23">
        <v>2</v>
      </c>
      <c r="X67" s="23">
        <v>1</v>
      </c>
      <c r="Z67" s="12" t="str">
        <f t="shared" ref="Z67:AA67" si="139">D51</f>
        <v>Ship.occupies</v>
      </c>
      <c r="AA67" s="30">
        <f t="shared" si="139"/>
        <v>3</v>
      </c>
      <c r="AB67" s="30">
        <f t="shared" si="136"/>
        <v>1</v>
      </c>
      <c r="AC67" s="30">
        <f t="shared" si="137"/>
        <v>20</v>
      </c>
      <c r="AD67" s="31">
        <f t="shared" ref="AD67:AF67" si="140">(AA67-MIN(AA$6:AA$236))/(MAX(AA$6:AA$236)-MIN(AA$6:AA$236))</f>
        <v>5.5555555555555552E-2</v>
      </c>
      <c r="AE67" s="31">
        <f t="shared" si="140"/>
        <v>0.2</v>
      </c>
      <c r="AF67" s="31">
        <f t="shared" si="140"/>
        <v>0.15384615384615385</v>
      </c>
      <c r="AG67" s="32">
        <f t="shared" si="4"/>
        <v>0.40940170940170939</v>
      </c>
    </row>
    <row r="68" spans="1:33" ht="15.75" customHeight="1" x14ac:dyDescent="0.3">
      <c r="A68" s="6" t="s">
        <v>50</v>
      </c>
      <c r="B68" s="6" t="s">
        <v>177</v>
      </c>
      <c r="C68" s="6" t="s">
        <v>294</v>
      </c>
      <c r="D68" s="8" t="s">
        <v>376</v>
      </c>
      <c r="E68" s="19">
        <v>2</v>
      </c>
      <c r="F68" s="19">
        <v>12</v>
      </c>
      <c r="G68" s="19">
        <v>1</v>
      </c>
      <c r="H68" s="19">
        <v>1</v>
      </c>
      <c r="I68" s="19">
        <v>0</v>
      </c>
      <c r="J68" s="20">
        <v>0.75</v>
      </c>
      <c r="K68" s="19">
        <v>4</v>
      </c>
      <c r="L68" s="19">
        <v>0</v>
      </c>
      <c r="M68" s="20">
        <v>15</v>
      </c>
      <c r="N68" s="21">
        <v>2564.5039000000002</v>
      </c>
      <c r="O68" s="20">
        <v>6.25E-2</v>
      </c>
      <c r="P68" s="19">
        <v>41</v>
      </c>
      <c r="Q68" s="19">
        <v>18</v>
      </c>
      <c r="R68" s="20">
        <v>170.96690000000001</v>
      </c>
      <c r="S68" s="20">
        <v>0</v>
      </c>
      <c r="T68" s="19">
        <v>1</v>
      </c>
      <c r="U68" s="20">
        <v>60.747900000000001</v>
      </c>
      <c r="V68" s="19">
        <v>1</v>
      </c>
      <c r="W68" s="19">
        <v>2</v>
      </c>
      <c r="X68" s="19">
        <v>1</v>
      </c>
      <c r="Z68" s="6" t="str">
        <f t="shared" ref="Z68:AA68" si="141">D52</f>
        <v>Ship.tooCloseTo</v>
      </c>
      <c r="AA68" s="27">
        <f t="shared" si="141"/>
        <v>3</v>
      </c>
      <c r="AB68" s="27">
        <f t="shared" si="136"/>
        <v>1</v>
      </c>
      <c r="AC68" s="27">
        <f t="shared" si="137"/>
        <v>20</v>
      </c>
      <c r="AD68" s="28">
        <f t="shared" ref="AD68:AF68" si="142">(AA68-MIN(AA$6:AA$236))/(MAX(AA$6:AA$236)-MIN(AA$6:AA$236))</f>
        <v>5.5555555555555552E-2</v>
      </c>
      <c r="AE68" s="28">
        <f t="shared" si="142"/>
        <v>0.2</v>
      </c>
      <c r="AF68" s="28">
        <f t="shared" si="142"/>
        <v>0.15384615384615385</v>
      </c>
      <c r="AG68" s="29">
        <f t="shared" si="4"/>
        <v>0.40940170940170939</v>
      </c>
    </row>
    <row r="69" spans="1:33" ht="15.75" customHeight="1" x14ac:dyDescent="0.3">
      <c r="A69" s="12" t="s">
        <v>50</v>
      </c>
      <c r="B69" s="12" t="s">
        <v>177</v>
      </c>
      <c r="C69" s="12" t="s">
        <v>304</v>
      </c>
      <c r="D69" s="14" t="s">
        <v>377</v>
      </c>
      <c r="E69" s="23">
        <v>2</v>
      </c>
      <c r="F69" s="23">
        <v>12</v>
      </c>
      <c r="G69" s="23">
        <v>1</v>
      </c>
      <c r="H69" s="23">
        <v>1</v>
      </c>
      <c r="I69" s="23">
        <v>0</v>
      </c>
      <c r="J69" s="22">
        <v>0.75</v>
      </c>
      <c r="K69" s="23">
        <v>4</v>
      </c>
      <c r="L69" s="23">
        <v>0</v>
      </c>
      <c r="M69" s="22">
        <v>18.2</v>
      </c>
      <c r="N69" s="24">
        <v>2959.8128000000002</v>
      </c>
      <c r="O69" s="22">
        <v>6.8699999999999997E-2</v>
      </c>
      <c r="P69" s="23">
        <v>39</v>
      </c>
      <c r="Q69" s="23">
        <v>18</v>
      </c>
      <c r="R69" s="22">
        <v>162.62710000000001</v>
      </c>
      <c r="S69" s="22">
        <v>0</v>
      </c>
      <c r="T69" s="23">
        <v>1</v>
      </c>
      <c r="U69" s="22">
        <v>60.894500000000001</v>
      </c>
      <c r="V69" s="23">
        <v>1</v>
      </c>
      <c r="W69" s="23">
        <v>2</v>
      </c>
      <c r="X69" s="23">
        <v>1</v>
      </c>
      <c r="Z69" s="12" t="str">
        <f t="shared" ref="Z69:AA69" si="143">D187</f>
        <v>IGame.fireSingleShot</v>
      </c>
      <c r="AA69" s="30">
        <f t="shared" si="143"/>
        <v>1</v>
      </c>
      <c r="AB69" s="30">
        <f>G187</f>
        <v>2</v>
      </c>
      <c r="AC69" s="30">
        <f>F187</f>
        <v>0</v>
      </c>
      <c r="AD69" s="31">
        <f t="shared" ref="AD69:AF69" si="144">(AA69-MIN(AA$6:AA$236))/(MAX(AA$6:AA$236)-MIN(AA$6:AA$236))</f>
        <v>0</v>
      </c>
      <c r="AE69" s="31">
        <f t="shared" si="144"/>
        <v>0.4</v>
      </c>
      <c r="AF69" s="31">
        <f t="shared" si="144"/>
        <v>0</v>
      </c>
      <c r="AG69" s="32">
        <f t="shared" si="4"/>
        <v>0.4</v>
      </c>
    </row>
    <row r="70" spans="1:33" ht="15.75" customHeight="1" x14ac:dyDescent="0.3">
      <c r="A70" s="6" t="s">
        <v>50</v>
      </c>
      <c r="B70" s="6" t="s">
        <v>175</v>
      </c>
      <c r="C70" s="6" t="s">
        <v>270</v>
      </c>
      <c r="D70" s="8" t="s">
        <v>379</v>
      </c>
      <c r="E70" s="19">
        <v>2</v>
      </c>
      <c r="F70" s="19">
        <v>11</v>
      </c>
      <c r="G70" s="19">
        <v>1</v>
      </c>
      <c r="H70" s="19">
        <v>1</v>
      </c>
      <c r="I70" s="19">
        <v>0</v>
      </c>
      <c r="J70" s="20">
        <v>1</v>
      </c>
      <c r="K70" s="19">
        <v>1</v>
      </c>
      <c r="L70" s="19">
        <v>1</v>
      </c>
      <c r="M70" s="20">
        <v>3.75</v>
      </c>
      <c r="N70" s="21">
        <v>137.02950000000001</v>
      </c>
      <c r="O70" s="20">
        <v>8.8999999999999999E-3</v>
      </c>
      <c r="P70" s="19">
        <v>11</v>
      </c>
      <c r="Q70" s="19">
        <v>10</v>
      </c>
      <c r="R70" s="20">
        <v>36.541200000000003</v>
      </c>
      <c r="S70" s="20">
        <v>0</v>
      </c>
      <c r="T70" s="19">
        <v>1</v>
      </c>
      <c r="U70" s="20">
        <v>66.292599999999993</v>
      </c>
      <c r="V70" s="19">
        <v>0</v>
      </c>
      <c r="W70" s="19">
        <v>3</v>
      </c>
      <c r="X70" s="19">
        <v>1</v>
      </c>
      <c r="Z70" s="6" t="str">
        <f t="shared" ref="Z70:AA70" si="145">D198</f>
        <v>IGame.printAlienBoard</v>
      </c>
      <c r="AA70" s="27">
        <f t="shared" si="145"/>
        <v>1</v>
      </c>
      <c r="AB70" s="27">
        <f t="shared" ref="AB70:AB71" si="146">G198</f>
        <v>2</v>
      </c>
      <c r="AC70" s="27">
        <f t="shared" ref="AC70:AC71" si="147">F198</f>
        <v>0</v>
      </c>
      <c r="AD70" s="28">
        <f t="shared" ref="AD70:AF70" si="148">(AA70-MIN(AA$6:AA$236))/(MAX(AA$6:AA$236)-MIN(AA$6:AA$236))</f>
        <v>0</v>
      </c>
      <c r="AE70" s="28">
        <f t="shared" si="148"/>
        <v>0.4</v>
      </c>
      <c r="AF70" s="28">
        <f t="shared" si="148"/>
        <v>0</v>
      </c>
      <c r="AG70" s="29">
        <f t="shared" si="4"/>
        <v>0.4</v>
      </c>
    </row>
    <row r="71" spans="1:33" ht="15.75" customHeight="1" x14ac:dyDescent="0.3">
      <c r="A71" s="12" t="s">
        <v>50</v>
      </c>
      <c r="B71" s="12" t="s">
        <v>181</v>
      </c>
      <c r="C71" s="12" t="s">
        <v>381</v>
      </c>
      <c r="D71" s="14" t="s">
        <v>383</v>
      </c>
      <c r="E71" s="23">
        <v>2</v>
      </c>
      <c r="F71" s="23">
        <v>11</v>
      </c>
      <c r="G71" s="23">
        <v>0</v>
      </c>
      <c r="H71" s="23">
        <v>1</v>
      </c>
      <c r="I71" s="23">
        <v>1</v>
      </c>
      <c r="J71" s="22">
        <v>1</v>
      </c>
      <c r="K71" s="23">
        <v>2</v>
      </c>
      <c r="L71" s="23">
        <v>0</v>
      </c>
      <c r="M71" s="22">
        <v>7</v>
      </c>
      <c r="N71" s="24">
        <v>302.2955</v>
      </c>
      <c r="O71" s="22">
        <v>1.4999999999999999E-2</v>
      </c>
      <c r="P71" s="23">
        <v>13</v>
      </c>
      <c r="Q71" s="23">
        <v>10</v>
      </c>
      <c r="R71" s="22">
        <v>43.185099999999998</v>
      </c>
      <c r="S71" s="22">
        <v>1</v>
      </c>
      <c r="T71" s="23">
        <v>0</v>
      </c>
      <c r="U71" s="22">
        <v>65.752300000000005</v>
      </c>
      <c r="V71" s="23">
        <v>2</v>
      </c>
      <c r="W71" s="23">
        <v>2</v>
      </c>
      <c r="X71" s="23">
        <v>0</v>
      </c>
      <c r="Z71" s="12" t="str">
        <f t="shared" ref="Z71:AA71" si="149">D199</f>
        <v>IGame.printMyBoard</v>
      </c>
      <c r="AA71" s="30">
        <f t="shared" si="149"/>
        <v>1</v>
      </c>
      <c r="AB71" s="30">
        <f t="shared" si="146"/>
        <v>2</v>
      </c>
      <c r="AC71" s="30">
        <f t="shared" si="147"/>
        <v>0</v>
      </c>
      <c r="AD71" s="31">
        <f t="shared" ref="AD71:AF71" si="150">(AA71-MIN(AA$6:AA$236))/(MAX(AA$6:AA$236)-MIN(AA$6:AA$236))</f>
        <v>0</v>
      </c>
      <c r="AE71" s="31">
        <f t="shared" si="150"/>
        <v>0.4</v>
      </c>
      <c r="AF71" s="31">
        <f t="shared" si="150"/>
        <v>0</v>
      </c>
      <c r="AG71" s="32">
        <f t="shared" si="4"/>
        <v>0.4</v>
      </c>
    </row>
    <row r="72" spans="1:33" ht="15.75" customHeight="1" x14ac:dyDescent="0.3">
      <c r="A72" s="6" t="s">
        <v>50</v>
      </c>
      <c r="B72" s="6" t="s">
        <v>194</v>
      </c>
      <c r="C72" s="6" t="s">
        <v>384</v>
      </c>
      <c r="D72" s="8" t="s">
        <v>385</v>
      </c>
      <c r="E72" s="19">
        <v>2</v>
      </c>
      <c r="F72" s="19">
        <v>11</v>
      </c>
      <c r="G72" s="19">
        <v>1</v>
      </c>
      <c r="H72" s="19">
        <v>1</v>
      </c>
      <c r="I72" s="19">
        <v>0</v>
      </c>
      <c r="J72" s="20">
        <v>0.66669999999999996</v>
      </c>
      <c r="K72" s="19">
        <v>3</v>
      </c>
      <c r="L72" s="19">
        <v>0</v>
      </c>
      <c r="M72" s="20">
        <v>7.5</v>
      </c>
      <c r="N72" s="21">
        <v>571.10320000000002</v>
      </c>
      <c r="O72" s="20">
        <v>2.29E-2</v>
      </c>
      <c r="P72" s="19">
        <v>20</v>
      </c>
      <c r="Q72" s="19">
        <v>14</v>
      </c>
      <c r="R72" s="20">
        <v>76.147099999999995</v>
      </c>
      <c r="S72" s="20">
        <v>1</v>
      </c>
      <c r="T72" s="19">
        <v>0</v>
      </c>
      <c r="U72" s="20">
        <v>64.020399999999995</v>
      </c>
      <c r="V72" s="19">
        <v>0</v>
      </c>
      <c r="W72" s="19">
        <v>3</v>
      </c>
      <c r="X72" s="19">
        <v>0</v>
      </c>
      <c r="Z72" s="6" t="str">
        <f t="shared" ref="Z72:AA72" si="151">D202</f>
        <v>IGame.recordMyMove</v>
      </c>
      <c r="AA72" s="27">
        <f t="shared" si="151"/>
        <v>1</v>
      </c>
      <c r="AB72" s="27">
        <f>G202</f>
        <v>2</v>
      </c>
      <c r="AC72" s="27">
        <f>F202</f>
        <v>0</v>
      </c>
      <c r="AD72" s="28">
        <f t="shared" ref="AD72:AF72" si="152">(AA72-MIN(AA$6:AA$236))/(MAX(AA$6:AA$236)-MIN(AA$6:AA$236))</f>
        <v>0</v>
      </c>
      <c r="AE72" s="28">
        <f t="shared" si="152"/>
        <v>0.4</v>
      </c>
      <c r="AF72" s="28">
        <f t="shared" si="152"/>
        <v>0</v>
      </c>
      <c r="AG72" s="29">
        <f t="shared" si="4"/>
        <v>0.4</v>
      </c>
    </row>
    <row r="73" spans="1:33" ht="15.75" customHeight="1" x14ac:dyDescent="0.3">
      <c r="A73" s="12" t="s">
        <v>50</v>
      </c>
      <c r="B73" s="12" t="s">
        <v>178</v>
      </c>
      <c r="C73" s="12" t="s">
        <v>365</v>
      </c>
      <c r="D73" s="14" t="s">
        <v>386</v>
      </c>
      <c r="E73" s="23">
        <v>2</v>
      </c>
      <c r="F73" s="23">
        <v>10</v>
      </c>
      <c r="G73" s="23">
        <v>2</v>
      </c>
      <c r="H73" s="23">
        <v>1</v>
      </c>
      <c r="I73" s="23">
        <v>1</v>
      </c>
      <c r="J73" s="22">
        <v>0.5</v>
      </c>
      <c r="K73" s="23">
        <v>2</v>
      </c>
      <c r="L73" s="23">
        <v>0</v>
      </c>
      <c r="M73" s="22">
        <v>10</v>
      </c>
      <c r="N73" s="24">
        <v>1200</v>
      </c>
      <c r="O73" s="22">
        <v>3.7600000000000001E-2</v>
      </c>
      <c r="P73" s="23">
        <v>30</v>
      </c>
      <c r="Q73" s="23">
        <v>16</v>
      </c>
      <c r="R73" s="22">
        <v>120</v>
      </c>
      <c r="S73" s="22">
        <v>1</v>
      </c>
      <c r="T73" s="23">
        <v>0</v>
      </c>
      <c r="U73" s="22">
        <v>63.534399999999998</v>
      </c>
      <c r="V73" s="23">
        <v>1</v>
      </c>
      <c r="W73" s="23">
        <v>3</v>
      </c>
      <c r="X73" s="23">
        <v>0</v>
      </c>
      <c r="Z73" s="12" t="str">
        <f t="shared" ref="Z73:AA73" si="153">D60</f>
        <v>Fleet.colisionRisk</v>
      </c>
      <c r="AA73" s="30">
        <f t="shared" si="153"/>
        <v>3</v>
      </c>
      <c r="AB73" s="30">
        <f t="shared" ref="AB73:AB74" si="154">G60</f>
        <v>1</v>
      </c>
      <c r="AC73" s="30">
        <f t="shared" ref="AC73:AC74" si="155">F60</f>
        <v>16</v>
      </c>
      <c r="AD73" s="31">
        <f t="shared" ref="AD73:AF73" si="156">(AA73-MIN(AA$6:AA$236))/(MAX(AA$6:AA$236)-MIN(AA$6:AA$236))</f>
        <v>5.5555555555555552E-2</v>
      </c>
      <c r="AE73" s="31">
        <f t="shared" si="156"/>
        <v>0.2</v>
      </c>
      <c r="AF73" s="31">
        <f t="shared" si="156"/>
        <v>0.12307692307692308</v>
      </c>
      <c r="AG73" s="32">
        <f t="shared" si="4"/>
        <v>0.37863247863247862</v>
      </c>
    </row>
    <row r="74" spans="1:33" ht="15.75" customHeight="1" x14ac:dyDescent="0.3">
      <c r="A74" s="6" t="s">
        <v>50</v>
      </c>
      <c r="B74" s="6" t="s">
        <v>188</v>
      </c>
      <c r="C74" s="6" t="s">
        <v>387</v>
      </c>
      <c r="D74" s="8" t="s">
        <v>388</v>
      </c>
      <c r="E74" s="19">
        <v>2</v>
      </c>
      <c r="F74" s="19">
        <v>10</v>
      </c>
      <c r="G74" s="19">
        <v>2</v>
      </c>
      <c r="H74" s="19">
        <v>1</v>
      </c>
      <c r="I74" s="19">
        <v>0</v>
      </c>
      <c r="J74" s="20">
        <v>1</v>
      </c>
      <c r="K74" s="19">
        <v>2</v>
      </c>
      <c r="L74" s="19">
        <v>0</v>
      </c>
      <c r="M74" s="20">
        <v>6.75</v>
      </c>
      <c r="N74" s="21">
        <v>827.71119999999996</v>
      </c>
      <c r="O74" s="20">
        <v>2.9399999999999999E-2</v>
      </c>
      <c r="P74" s="19">
        <v>30</v>
      </c>
      <c r="Q74" s="19">
        <v>17</v>
      </c>
      <c r="R74" s="20">
        <v>122.62390000000001</v>
      </c>
      <c r="S74" s="20">
        <v>0</v>
      </c>
      <c r="T74" s="19">
        <v>1</v>
      </c>
      <c r="U74" s="20">
        <v>63.484099999999998</v>
      </c>
      <c r="V74" s="19">
        <v>1</v>
      </c>
      <c r="W74" s="19">
        <v>7</v>
      </c>
      <c r="X74" s="19">
        <v>1</v>
      </c>
      <c r="Z74" s="6" t="str">
        <f t="shared" ref="Z74:AA74" si="157">D61</f>
        <v>Galleon.fillSouth</v>
      </c>
      <c r="AA74" s="27">
        <f t="shared" si="157"/>
        <v>3</v>
      </c>
      <c r="AB74" s="27">
        <f t="shared" si="154"/>
        <v>1</v>
      </c>
      <c r="AC74" s="27">
        <f t="shared" si="155"/>
        <v>13</v>
      </c>
      <c r="AD74" s="28">
        <f t="shared" ref="AD74:AF74" si="158">(AA74-MIN(AA$6:AA$236))/(MAX(AA$6:AA$236)-MIN(AA$6:AA$236))</f>
        <v>5.5555555555555552E-2</v>
      </c>
      <c r="AE74" s="28">
        <f t="shared" si="158"/>
        <v>0.2</v>
      </c>
      <c r="AF74" s="28">
        <f t="shared" si="158"/>
        <v>0.1</v>
      </c>
      <c r="AG74" s="29">
        <f t="shared" si="4"/>
        <v>0.35555555555555551</v>
      </c>
    </row>
    <row r="75" spans="1:33" ht="15.75" customHeight="1" x14ac:dyDescent="0.3">
      <c r="A75" s="12" t="s">
        <v>50</v>
      </c>
      <c r="B75" s="12" t="s">
        <v>164</v>
      </c>
      <c r="C75" s="12" t="s">
        <v>167</v>
      </c>
      <c r="D75" s="14" t="s">
        <v>390</v>
      </c>
      <c r="E75" s="23">
        <v>2</v>
      </c>
      <c r="F75" s="23">
        <v>8</v>
      </c>
      <c r="G75" s="23">
        <v>0</v>
      </c>
      <c r="H75" s="23">
        <v>1</v>
      </c>
      <c r="I75" s="23">
        <v>0</v>
      </c>
      <c r="J75" s="22">
        <v>0.66669999999999996</v>
      </c>
      <c r="K75" s="23">
        <v>3</v>
      </c>
      <c r="L75" s="23">
        <v>2</v>
      </c>
      <c r="M75" s="22">
        <v>5.7272999999999996</v>
      </c>
      <c r="N75" s="24">
        <v>594.06870000000004</v>
      </c>
      <c r="O75" s="22">
        <v>2.3599999999999999E-2</v>
      </c>
      <c r="P75" s="23">
        <v>24</v>
      </c>
      <c r="Q75" s="23">
        <v>20</v>
      </c>
      <c r="R75" s="22">
        <v>103.72629999999999</v>
      </c>
      <c r="S75" s="22">
        <v>0.6</v>
      </c>
      <c r="T75" s="23">
        <v>1</v>
      </c>
      <c r="U75" s="22">
        <v>66.112899999999996</v>
      </c>
      <c r="V75" s="23">
        <v>0</v>
      </c>
      <c r="W75" s="23">
        <v>7</v>
      </c>
      <c r="X75" s="23">
        <v>1</v>
      </c>
      <c r="Z75" s="12" t="str">
        <f t="shared" ref="Z75:AA75" si="159">D64</f>
        <v>BoardPanel.drawCoordinates</v>
      </c>
      <c r="AA75" s="30">
        <f t="shared" si="159"/>
        <v>2</v>
      </c>
      <c r="AB75" s="30">
        <f t="shared" ref="AB75:AB76" si="160">G64</f>
        <v>1</v>
      </c>
      <c r="AC75" s="30">
        <f t="shared" ref="AC75:AC76" si="161">F64</f>
        <v>13</v>
      </c>
      <c r="AD75" s="31">
        <f t="shared" ref="AD75:AF75" si="162">(AA75-MIN(AA$6:AA$236))/(MAX(AA$6:AA$236)-MIN(AA$6:AA$236))</f>
        <v>2.7777777777777776E-2</v>
      </c>
      <c r="AE75" s="31">
        <f t="shared" si="162"/>
        <v>0.2</v>
      </c>
      <c r="AF75" s="31">
        <f t="shared" si="162"/>
        <v>0.1</v>
      </c>
      <c r="AG75" s="32">
        <f t="shared" si="4"/>
        <v>0.32777777777777783</v>
      </c>
    </row>
    <row r="76" spans="1:33" ht="15.75" customHeight="1" x14ac:dyDescent="0.3">
      <c r="A76" s="6" t="s">
        <v>50</v>
      </c>
      <c r="B76" s="6" t="s">
        <v>168</v>
      </c>
      <c r="C76" s="6" t="s">
        <v>213</v>
      </c>
      <c r="D76" s="8" t="s">
        <v>392</v>
      </c>
      <c r="E76" s="19">
        <v>2</v>
      </c>
      <c r="F76" s="19">
        <v>6</v>
      </c>
      <c r="G76" s="19">
        <v>0</v>
      </c>
      <c r="H76" s="19">
        <v>1</v>
      </c>
      <c r="I76" s="19">
        <v>0</v>
      </c>
      <c r="J76" s="20">
        <v>1</v>
      </c>
      <c r="K76" s="19">
        <v>1</v>
      </c>
      <c r="L76" s="19">
        <v>2</v>
      </c>
      <c r="M76" s="20">
        <v>4.5</v>
      </c>
      <c r="N76" s="21">
        <v>179.38409999999999</v>
      </c>
      <c r="O76" s="20">
        <v>1.06E-2</v>
      </c>
      <c r="P76" s="19">
        <v>12</v>
      </c>
      <c r="Q76" s="19">
        <v>10</v>
      </c>
      <c r="R76" s="20">
        <v>39.863100000000003</v>
      </c>
      <c r="S76" s="20">
        <v>0</v>
      </c>
      <c r="T76" s="19">
        <v>1</v>
      </c>
      <c r="U76" s="20">
        <v>71.791600000000003</v>
      </c>
      <c r="V76" s="19">
        <v>0</v>
      </c>
      <c r="W76" s="19">
        <v>4</v>
      </c>
      <c r="X76" s="19">
        <v>1</v>
      </c>
      <c r="Z76" s="6" t="str">
        <f t="shared" ref="Z76:AA76" si="163">D65</f>
        <v>I18n.setLanguage</v>
      </c>
      <c r="AA76" s="27">
        <f t="shared" si="163"/>
        <v>2</v>
      </c>
      <c r="AB76" s="27">
        <f t="shared" si="160"/>
        <v>1</v>
      </c>
      <c r="AC76" s="27">
        <f t="shared" si="161"/>
        <v>13</v>
      </c>
      <c r="AD76" s="28">
        <f t="shared" ref="AD76:AF76" si="164">(AA76-MIN(AA$6:AA$236))/(MAX(AA$6:AA$236)-MIN(AA$6:AA$236))</f>
        <v>2.7777777777777776E-2</v>
      </c>
      <c r="AE76" s="28">
        <f t="shared" si="164"/>
        <v>0.2</v>
      </c>
      <c r="AF76" s="28">
        <f t="shared" si="164"/>
        <v>0.1</v>
      </c>
      <c r="AG76" s="29">
        <f t="shared" si="4"/>
        <v>0.32777777777777783</v>
      </c>
    </row>
    <row r="77" spans="1:33" ht="15.75" customHeight="1" x14ac:dyDescent="0.3">
      <c r="A77" s="12" t="s">
        <v>50</v>
      </c>
      <c r="B77" s="12" t="s">
        <v>168</v>
      </c>
      <c r="C77" s="12" t="s">
        <v>216</v>
      </c>
      <c r="D77" s="14" t="s">
        <v>394</v>
      </c>
      <c r="E77" s="23">
        <v>2</v>
      </c>
      <c r="F77" s="23">
        <v>4</v>
      </c>
      <c r="G77" s="23">
        <v>3</v>
      </c>
      <c r="H77" s="23">
        <v>1</v>
      </c>
      <c r="I77" s="23">
        <v>1</v>
      </c>
      <c r="J77" s="22">
        <v>0.33329999999999999</v>
      </c>
      <c r="K77" s="23">
        <v>3</v>
      </c>
      <c r="L77" s="23">
        <v>0</v>
      </c>
      <c r="M77" s="22">
        <v>5.8333000000000004</v>
      </c>
      <c r="N77" s="24">
        <v>232.535</v>
      </c>
      <c r="O77" s="22">
        <v>1.26E-2</v>
      </c>
      <c r="P77" s="23">
        <v>12</v>
      </c>
      <c r="Q77" s="23">
        <v>10</v>
      </c>
      <c r="R77" s="22">
        <v>39.863100000000003</v>
      </c>
      <c r="S77" s="22">
        <v>0</v>
      </c>
      <c r="T77" s="23">
        <v>0</v>
      </c>
      <c r="U77" s="22">
        <v>75.632800000000003</v>
      </c>
      <c r="V77" s="23">
        <v>0</v>
      </c>
      <c r="W77" s="23">
        <v>3</v>
      </c>
      <c r="X77" s="23">
        <v>0</v>
      </c>
      <c r="Z77" s="12" t="str">
        <f t="shared" ref="Z77:AA77" si="165">D67</f>
        <v>Galleon.fillEast</v>
      </c>
      <c r="AA77" s="30">
        <f t="shared" si="165"/>
        <v>2</v>
      </c>
      <c r="AB77" s="30">
        <f t="shared" ref="AB77:AB79" si="166">G67</f>
        <v>1</v>
      </c>
      <c r="AC77" s="30">
        <f t="shared" ref="AC77:AC79" si="167">F67</f>
        <v>12</v>
      </c>
      <c r="AD77" s="31">
        <f t="shared" ref="AD77:AF77" si="168">(AA77-MIN(AA$6:AA$236))/(MAX(AA$6:AA$236)-MIN(AA$6:AA$236))</f>
        <v>2.7777777777777776E-2</v>
      </c>
      <c r="AE77" s="31">
        <f t="shared" si="168"/>
        <v>0.2</v>
      </c>
      <c r="AF77" s="31">
        <f t="shared" si="168"/>
        <v>9.2307692307692313E-2</v>
      </c>
      <c r="AG77" s="32">
        <f t="shared" si="4"/>
        <v>0.32008547008547011</v>
      </c>
    </row>
    <row r="78" spans="1:33" ht="15.75" customHeight="1" x14ac:dyDescent="0.3">
      <c r="A78" s="6" t="s">
        <v>50</v>
      </c>
      <c r="B78" s="6" t="s">
        <v>164</v>
      </c>
      <c r="C78" s="6" t="s">
        <v>179</v>
      </c>
      <c r="D78" s="8" t="s">
        <v>396</v>
      </c>
      <c r="E78" s="19">
        <v>1</v>
      </c>
      <c r="F78" s="19">
        <v>46</v>
      </c>
      <c r="G78" s="19">
        <v>5</v>
      </c>
      <c r="H78" s="19">
        <v>1</v>
      </c>
      <c r="I78" s="19">
        <v>0</v>
      </c>
      <c r="J78" s="20">
        <v>0.25</v>
      </c>
      <c r="K78" s="19">
        <v>12</v>
      </c>
      <c r="L78" s="19">
        <v>4</v>
      </c>
      <c r="M78" s="20">
        <v>45.397100000000002</v>
      </c>
      <c r="N78" s="21">
        <v>61414.874100000001</v>
      </c>
      <c r="O78" s="20">
        <v>0.51890000000000003</v>
      </c>
      <c r="P78" s="19">
        <v>234</v>
      </c>
      <c r="Q78" s="19">
        <v>55</v>
      </c>
      <c r="R78" s="20">
        <v>1352.8381999999999</v>
      </c>
      <c r="S78" s="20">
        <v>0.375</v>
      </c>
      <c r="T78" s="19">
        <v>0</v>
      </c>
      <c r="U78" s="20">
        <v>41.805500000000002</v>
      </c>
      <c r="V78" s="19">
        <v>2</v>
      </c>
      <c r="W78" s="19">
        <v>27</v>
      </c>
      <c r="X78" s="19">
        <v>0</v>
      </c>
      <c r="Z78" s="6" t="str">
        <f t="shared" ref="Z78:AA78" si="169">D68</f>
        <v>Galleon.fillNorth</v>
      </c>
      <c r="AA78" s="27">
        <f t="shared" si="169"/>
        <v>2</v>
      </c>
      <c r="AB78" s="27">
        <f t="shared" si="166"/>
        <v>1</v>
      </c>
      <c r="AC78" s="27">
        <f t="shared" si="167"/>
        <v>12</v>
      </c>
      <c r="AD78" s="28">
        <f t="shared" ref="AD78:AF78" si="170">(AA78-MIN(AA$6:AA$236))/(MAX(AA$6:AA$236)-MIN(AA$6:AA$236))</f>
        <v>2.7777777777777776E-2</v>
      </c>
      <c r="AE78" s="28">
        <f t="shared" si="170"/>
        <v>0.2</v>
      </c>
      <c r="AF78" s="28">
        <f t="shared" si="170"/>
        <v>9.2307692307692313E-2</v>
      </c>
      <c r="AG78" s="29">
        <f t="shared" si="4"/>
        <v>0.32008547008547011</v>
      </c>
    </row>
    <row r="79" spans="1:33" ht="15.75" customHeight="1" x14ac:dyDescent="0.3">
      <c r="A79" s="12" t="s">
        <v>50</v>
      </c>
      <c r="B79" s="12" t="s">
        <v>181</v>
      </c>
      <c r="C79" s="12" t="s">
        <v>380</v>
      </c>
      <c r="D79" s="14" t="s">
        <v>398</v>
      </c>
      <c r="E79" s="23">
        <v>1</v>
      </c>
      <c r="F79" s="23">
        <v>20</v>
      </c>
      <c r="G79" s="23">
        <v>0</v>
      </c>
      <c r="H79" s="23">
        <v>0</v>
      </c>
      <c r="I79" s="23">
        <v>0</v>
      </c>
      <c r="J79" s="22">
        <v>0.45450000000000002</v>
      </c>
      <c r="K79" s="23">
        <v>8</v>
      </c>
      <c r="L79" s="23">
        <v>3</v>
      </c>
      <c r="M79" s="22">
        <v>12.381</v>
      </c>
      <c r="N79" s="24">
        <v>4094.1963000000001</v>
      </c>
      <c r="O79" s="22">
        <v>8.5300000000000001E-2</v>
      </c>
      <c r="P79" s="23">
        <v>65</v>
      </c>
      <c r="Q79" s="23">
        <v>34</v>
      </c>
      <c r="R79" s="22">
        <v>330.68509999999998</v>
      </c>
      <c r="S79" s="22">
        <v>0.6</v>
      </c>
      <c r="T79" s="23">
        <v>0</v>
      </c>
      <c r="U79" s="22">
        <v>53.984699999999997</v>
      </c>
      <c r="V79" s="23">
        <v>0</v>
      </c>
      <c r="W79" s="23">
        <v>12</v>
      </c>
      <c r="X79" s="23">
        <v>0</v>
      </c>
      <c r="Z79" s="12" t="str">
        <f t="shared" ref="Z79:AA79" si="171">D69</f>
        <v>Galleon.fillWest</v>
      </c>
      <c r="AA79" s="30">
        <f t="shared" si="171"/>
        <v>2</v>
      </c>
      <c r="AB79" s="30">
        <f t="shared" si="166"/>
        <v>1</v>
      </c>
      <c r="AC79" s="30">
        <f t="shared" si="167"/>
        <v>12</v>
      </c>
      <c r="AD79" s="31">
        <f t="shared" ref="AD79:AF79" si="172">(AA79-MIN(AA$6:AA$236))/(MAX(AA$6:AA$236)-MIN(AA$6:AA$236))</f>
        <v>2.7777777777777776E-2</v>
      </c>
      <c r="AE79" s="31">
        <f t="shared" si="172"/>
        <v>0.2</v>
      </c>
      <c r="AF79" s="31">
        <f t="shared" si="172"/>
        <v>9.2307692307692313E-2</v>
      </c>
      <c r="AG79" s="32">
        <f t="shared" si="4"/>
        <v>0.32008547008547011</v>
      </c>
    </row>
    <row r="80" spans="1:33" ht="15.75" customHeight="1" x14ac:dyDescent="0.3">
      <c r="A80" s="6" t="s">
        <v>50</v>
      </c>
      <c r="B80" s="6" t="s">
        <v>195</v>
      </c>
      <c r="C80" s="6" t="s">
        <v>400</v>
      </c>
      <c r="D80" s="8" t="s">
        <v>401</v>
      </c>
      <c r="E80" s="19">
        <v>1</v>
      </c>
      <c r="F80" s="19">
        <v>19</v>
      </c>
      <c r="G80" s="19">
        <v>4</v>
      </c>
      <c r="H80" s="19">
        <v>0</v>
      </c>
      <c r="I80" s="19">
        <v>0</v>
      </c>
      <c r="J80" s="20">
        <v>1</v>
      </c>
      <c r="K80" s="19">
        <v>1</v>
      </c>
      <c r="L80" s="19">
        <v>0</v>
      </c>
      <c r="M80" s="20">
        <v>3.75</v>
      </c>
      <c r="N80" s="21">
        <v>475.16759999999999</v>
      </c>
      <c r="O80" s="20">
        <v>2.0299999999999999E-2</v>
      </c>
      <c r="P80" s="19">
        <v>31</v>
      </c>
      <c r="Q80" s="19">
        <v>17</v>
      </c>
      <c r="R80" s="20">
        <v>126.71129999999999</v>
      </c>
      <c r="S80" s="20">
        <v>1</v>
      </c>
      <c r="T80" s="19">
        <v>0</v>
      </c>
      <c r="U80" s="20">
        <v>57.398499999999999</v>
      </c>
      <c r="V80" s="19">
        <v>0</v>
      </c>
      <c r="W80" s="19">
        <v>9</v>
      </c>
      <c r="X80" s="19">
        <v>0</v>
      </c>
      <c r="Z80" s="6" t="str">
        <f t="shared" ref="Z80:AA80" si="173">D62</f>
        <v>Game.repeatedShot</v>
      </c>
      <c r="AA80" s="27">
        <f t="shared" si="173"/>
        <v>3</v>
      </c>
      <c r="AB80" s="27">
        <f>G62</f>
        <v>1</v>
      </c>
      <c r="AC80" s="27">
        <f>F62</f>
        <v>8</v>
      </c>
      <c r="AD80" s="28">
        <f t="shared" ref="AD80:AF80" si="174">(AA80-MIN(AA$6:AA$236))/(MAX(AA$6:AA$236)-MIN(AA$6:AA$236))</f>
        <v>5.5555555555555552E-2</v>
      </c>
      <c r="AE80" s="28">
        <f t="shared" si="174"/>
        <v>0.2</v>
      </c>
      <c r="AF80" s="28">
        <f t="shared" si="174"/>
        <v>6.1538461538461542E-2</v>
      </c>
      <c r="AG80" s="29">
        <f t="shared" si="4"/>
        <v>0.31709401709401708</v>
      </c>
    </row>
    <row r="81" spans="1:33" ht="15.75" customHeight="1" x14ac:dyDescent="0.3">
      <c r="A81" s="12" t="s">
        <v>50</v>
      </c>
      <c r="B81" s="12" t="s">
        <v>196</v>
      </c>
      <c r="C81" s="12" t="s">
        <v>403</v>
      </c>
      <c r="D81" s="14" t="s">
        <v>404</v>
      </c>
      <c r="E81" s="23">
        <v>1</v>
      </c>
      <c r="F81" s="23">
        <v>19</v>
      </c>
      <c r="G81" s="23">
        <v>0</v>
      </c>
      <c r="H81" s="23">
        <v>0</v>
      </c>
      <c r="I81" s="23">
        <v>0</v>
      </c>
      <c r="J81" s="22">
        <v>1</v>
      </c>
      <c r="K81" s="23">
        <v>2</v>
      </c>
      <c r="L81" s="23">
        <v>1</v>
      </c>
      <c r="M81" s="22">
        <v>4.6666999999999996</v>
      </c>
      <c r="N81" s="24">
        <v>1189.9709</v>
      </c>
      <c r="O81" s="22">
        <v>3.7400000000000003E-2</v>
      </c>
      <c r="P81" s="23">
        <v>59</v>
      </c>
      <c r="Q81" s="23">
        <v>20</v>
      </c>
      <c r="R81" s="22">
        <v>254.99379999999999</v>
      </c>
      <c r="S81" s="22">
        <v>0</v>
      </c>
      <c r="T81" s="23">
        <v>0</v>
      </c>
      <c r="U81" s="22">
        <v>55.266599999999997</v>
      </c>
      <c r="V81" s="23">
        <v>0</v>
      </c>
      <c r="W81" s="23">
        <v>1</v>
      </c>
      <c r="X81" s="23">
        <v>0</v>
      </c>
      <c r="Z81" s="12" t="str">
        <f t="shared" ref="Z81:AA81" si="175">D70</f>
        <v>Fleet.printShips</v>
      </c>
      <c r="AA81" s="30">
        <f t="shared" si="175"/>
        <v>2</v>
      </c>
      <c r="AB81" s="30">
        <f>G70</f>
        <v>1</v>
      </c>
      <c r="AC81" s="30">
        <f>F70</f>
        <v>11</v>
      </c>
      <c r="AD81" s="31">
        <f t="shared" ref="AD81:AF81" si="176">(AA81-MIN(AA$6:AA$236))/(MAX(AA$6:AA$236)-MIN(AA$6:AA$236))</f>
        <v>2.7777777777777776E-2</v>
      </c>
      <c r="AE81" s="31">
        <f t="shared" si="176"/>
        <v>0.2</v>
      </c>
      <c r="AF81" s="31">
        <f t="shared" si="176"/>
        <v>8.461538461538462E-2</v>
      </c>
      <c r="AG81" s="32">
        <f t="shared" si="4"/>
        <v>0.31239316239316239</v>
      </c>
    </row>
    <row r="82" spans="1:33" ht="15.75" customHeight="1" x14ac:dyDescent="0.3">
      <c r="A82" s="6" t="s">
        <v>50</v>
      </c>
      <c r="B82" s="6" t="s">
        <v>195</v>
      </c>
      <c r="C82" s="6" t="s">
        <v>406</v>
      </c>
      <c r="D82" s="8" t="s">
        <v>407</v>
      </c>
      <c r="E82" s="19">
        <v>1</v>
      </c>
      <c r="F82" s="19">
        <v>15</v>
      </c>
      <c r="G82" s="19">
        <v>0</v>
      </c>
      <c r="H82" s="19">
        <v>0</v>
      </c>
      <c r="I82" s="19">
        <v>0</v>
      </c>
      <c r="J82" s="20">
        <v>0</v>
      </c>
      <c r="K82" s="19">
        <v>0</v>
      </c>
      <c r="L82" s="19">
        <v>0</v>
      </c>
      <c r="M82" s="20">
        <v>1</v>
      </c>
      <c r="N82" s="21">
        <v>4.7549000000000001</v>
      </c>
      <c r="O82" s="20">
        <v>8.9999999999999998E-4</v>
      </c>
      <c r="P82" s="19">
        <v>3</v>
      </c>
      <c r="Q82" s="19">
        <v>3</v>
      </c>
      <c r="R82" s="20">
        <v>4.7549000000000001</v>
      </c>
      <c r="S82" s="20">
        <v>1</v>
      </c>
      <c r="T82" s="19">
        <v>0</v>
      </c>
      <c r="U82" s="20">
        <v>70.129199999999997</v>
      </c>
      <c r="V82" s="19">
        <v>0</v>
      </c>
      <c r="W82" s="19">
        <v>1</v>
      </c>
      <c r="X82" s="19">
        <v>0</v>
      </c>
      <c r="Z82" s="6" t="str">
        <f t="shared" ref="Z82:AA82" si="177">D72</f>
        <v>Position.isAdjacentTo</v>
      </c>
      <c r="AA82" s="27">
        <f t="shared" si="177"/>
        <v>2</v>
      </c>
      <c r="AB82" s="27">
        <f>G72</f>
        <v>1</v>
      </c>
      <c r="AC82" s="27">
        <f>F72</f>
        <v>11</v>
      </c>
      <c r="AD82" s="28">
        <f t="shared" ref="AD82:AF82" si="178">(AA82-MIN(AA$6:AA$236))/(MAX(AA$6:AA$236)-MIN(AA$6:AA$236))</f>
        <v>2.7777777777777776E-2</v>
      </c>
      <c r="AE82" s="28">
        <f t="shared" si="178"/>
        <v>0.2</v>
      </c>
      <c r="AF82" s="28">
        <f t="shared" si="178"/>
        <v>8.461538461538462E-2</v>
      </c>
      <c r="AG82" s="29">
        <f t="shared" si="4"/>
        <v>0.31239316239316239</v>
      </c>
    </row>
    <row r="83" spans="1:33" ht="15.75" customHeight="1" x14ac:dyDescent="0.3">
      <c r="A83" s="12" t="s">
        <v>50</v>
      </c>
      <c r="B83" s="12" t="s">
        <v>195</v>
      </c>
      <c r="C83" s="12" t="s">
        <v>409</v>
      </c>
      <c r="D83" s="14" t="s">
        <v>410</v>
      </c>
      <c r="E83" s="23">
        <v>1</v>
      </c>
      <c r="F83" s="23">
        <v>15</v>
      </c>
      <c r="G83" s="23">
        <v>0</v>
      </c>
      <c r="H83" s="23">
        <v>0</v>
      </c>
      <c r="I83" s="23">
        <v>0</v>
      </c>
      <c r="J83" s="22">
        <v>0</v>
      </c>
      <c r="K83" s="23">
        <v>0</v>
      </c>
      <c r="L83" s="23">
        <v>0</v>
      </c>
      <c r="M83" s="22">
        <v>1</v>
      </c>
      <c r="N83" s="24">
        <v>4.7549000000000001</v>
      </c>
      <c r="O83" s="22">
        <v>8.9999999999999998E-4</v>
      </c>
      <c r="P83" s="23">
        <v>3</v>
      </c>
      <c r="Q83" s="23">
        <v>3</v>
      </c>
      <c r="R83" s="22">
        <v>4.7549000000000001</v>
      </c>
      <c r="S83" s="22">
        <v>1</v>
      </c>
      <c r="T83" s="23">
        <v>0</v>
      </c>
      <c r="U83" s="22">
        <v>70.129199999999997</v>
      </c>
      <c r="V83" s="23">
        <v>0</v>
      </c>
      <c r="W83" s="23">
        <v>1</v>
      </c>
      <c r="X83" s="23">
        <v>0</v>
      </c>
      <c r="Z83" s="12" t="str">
        <f t="shared" ref="Z83:AA83" si="179">D86</f>
        <v>Game.Game</v>
      </c>
      <c r="AA83" s="30">
        <f t="shared" si="179"/>
        <v>1</v>
      </c>
      <c r="AB83" s="30">
        <f>G86</f>
        <v>1</v>
      </c>
      <c r="AC83" s="30">
        <f>F86</f>
        <v>13</v>
      </c>
      <c r="AD83" s="31">
        <f t="shared" ref="AD83:AF83" si="180">(AA83-MIN(AA$6:AA$236))/(MAX(AA$6:AA$236)-MIN(AA$6:AA$236))</f>
        <v>0</v>
      </c>
      <c r="AE83" s="31">
        <f t="shared" si="180"/>
        <v>0.2</v>
      </c>
      <c r="AF83" s="31">
        <f t="shared" si="180"/>
        <v>0.1</v>
      </c>
      <c r="AG83" s="32">
        <f t="shared" si="4"/>
        <v>0.30000000000000004</v>
      </c>
    </row>
    <row r="84" spans="1:33" ht="15.75" customHeight="1" x14ac:dyDescent="0.3">
      <c r="A84" s="6" t="s">
        <v>50</v>
      </c>
      <c r="B84" s="6" t="s">
        <v>195</v>
      </c>
      <c r="C84" s="6" t="s">
        <v>411</v>
      </c>
      <c r="D84" s="8" t="s">
        <v>412</v>
      </c>
      <c r="E84" s="19">
        <v>1</v>
      </c>
      <c r="F84" s="19">
        <v>15</v>
      </c>
      <c r="G84" s="19">
        <v>0</v>
      </c>
      <c r="H84" s="19">
        <v>0</v>
      </c>
      <c r="I84" s="19">
        <v>0</v>
      </c>
      <c r="J84" s="20">
        <v>0</v>
      </c>
      <c r="K84" s="19">
        <v>0</v>
      </c>
      <c r="L84" s="19">
        <v>0</v>
      </c>
      <c r="M84" s="20">
        <v>1</v>
      </c>
      <c r="N84" s="21">
        <v>4.7549000000000001</v>
      </c>
      <c r="O84" s="20">
        <v>8.9999999999999998E-4</v>
      </c>
      <c r="P84" s="19">
        <v>3</v>
      </c>
      <c r="Q84" s="19">
        <v>3</v>
      </c>
      <c r="R84" s="20">
        <v>4.7549000000000001</v>
      </c>
      <c r="S84" s="20">
        <v>1</v>
      </c>
      <c r="T84" s="19">
        <v>0</v>
      </c>
      <c r="U84" s="20">
        <v>70.129199999999997</v>
      </c>
      <c r="V84" s="19">
        <v>0</v>
      </c>
      <c r="W84" s="19">
        <v>1</v>
      </c>
      <c r="X84" s="19">
        <v>0</v>
      </c>
      <c r="Z84" s="6" t="str">
        <f t="shared" ref="Z84:AA84" si="181">D35</f>
        <v>Fleet.createRandom</v>
      </c>
      <c r="AA84" s="27">
        <f t="shared" si="181"/>
        <v>4</v>
      </c>
      <c r="AB84" s="27">
        <f>G35</f>
        <v>0</v>
      </c>
      <c r="AC84" s="27">
        <f>F35</f>
        <v>27</v>
      </c>
      <c r="AD84" s="28">
        <f t="shared" ref="AD84:AF84" si="182">(AA84-MIN(AA$6:AA$236))/(MAX(AA$6:AA$236)-MIN(AA$6:AA$236))</f>
        <v>8.3333333333333329E-2</v>
      </c>
      <c r="AE84" s="28">
        <f t="shared" si="182"/>
        <v>0</v>
      </c>
      <c r="AF84" s="28">
        <f t="shared" si="182"/>
        <v>0.2076923076923077</v>
      </c>
      <c r="AG84" s="29">
        <f t="shared" si="4"/>
        <v>0.29102564102564105</v>
      </c>
    </row>
    <row r="85" spans="1:33" ht="15.75" customHeight="1" x14ac:dyDescent="0.3">
      <c r="A85" s="12" t="s">
        <v>50</v>
      </c>
      <c r="B85" s="12" t="s">
        <v>175</v>
      </c>
      <c r="C85" s="12" t="s">
        <v>276</v>
      </c>
      <c r="D85" s="14" t="s">
        <v>414</v>
      </c>
      <c r="E85" s="23">
        <v>1</v>
      </c>
      <c r="F85" s="23">
        <v>14</v>
      </c>
      <c r="G85" s="23">
        <v>0</v>
      </c>
      <c r="H85" s="23">
        <v>0</v>
      </c>
      <c r="I85" s="23">
        <v>0</v>
      </c>
      <c r="J85" s="22">
        <v>0.5</v>
      </c>
      <c r="K85" s="23">
        <v>2</v>
      </c>
      <c r="L85" s="23">
        <v>1</v>
      </c>
      <c r="M85" s="22">
        <v>3.5</v>
      </c>
      <c r="N85" s="24">
        <v>157.4041</v>
      </c>
      <c r="O85" s="22">
        <v>9.7000000000000003E-3</v>
      </c>
      <c r="P85" s="23">
        <v>13</v>
      </c>
      <c r="Q85" s="23">
        <v>11</v>
      </c>
      <c r="R85" s="22">
        <v>44.9726</v>
      </c>
      <c r="S85" s="22">
        <v>0</v>
      </c>
      <c r="T85" s="23">
        <v>0</v>
      </c>
      <c r="U85" s="22">
        <v>63.490900000000003</v>
      </c>
      <c r="V85" s="23">
        <v>0</v>
      </c>
      <c r="W85" s="23">
        <v>1</v>
      </c>
      <c r="X85" s="23">
        <v>0</v>
      </c>
      <c r="Z85" s="12" t="str">
        <f t="shared" ref="Z85:AA85" si="183">D91</f>
        <v>Fleet.printShipsByCategory</v>
      </c>
      <c r="AA85" s="30">
        <f t="shared" si="183"/>
        <v>1</v>
      </c>
      <c r="AB85" s="30">
        <f>G91</f>
        <v>1</v>
      </c>
      <c r="AC85" s="30">
        <f>F91</f>
        <v>11</v>
      </c>
      <c r="AD85" s="31">
        <f t="shared" ref="AD85:AF85" si="184">(AA85-MIN(AA$6:AA$236))/(MAX(AA$6:AA$236)-MIN(AA$6:AA$236))</f>
        <v>0</v>
      </c>
      <c r="AE85" s="31">
        <f t="shared" si="184"/>
        <v>0.2</v>
      </c>
      <c r="AF85" s="31">
        <f t="shared" si="184"/>
        <v>8.461538461538462E-2</v>
      </c>
      <c r="AG85" s="32">
        <f t="shared" si="4"/>
        <v>0.2846153846153846</v>
      </c>
    </row>
    <row r="86" spans="1:33" ht="15.75" customHeight="1" x14ac:dyDescent="0.3">
      <c r="A86" s="6" t="s">
        <v>50</v>
      </c>
      <c r="B86" s="6" t="s">
        <v>178</v>
      </c>
      <c r="C86" s="6" t="s">
        <v>307</v>
      </c>
      <c r="D86" s="8" t="s">
        <v>415</v>
      </c>
      <c r="E86" s="19">
        <v>1</v>
      </c>
      <c r="F86" s="19">
        <v>13</v>
      </c>
      <c r="G86" s="19">
        <v>1</v>
      </c>
      <c r="H86" s="19">
        <v>0</v>
      </c>
      <c r="I86" s="19">
        <v>0</v>
      </c>
      <c r="J86" s="20">
        <v>0</v>
      </c>
      <c r="K86" s="19">
        <v>0</v>
      </c>
      <c r="L86" s="19">
        <v>0</v>
      </c>
      <c r="M86" s="20">
        <v>1.875</v>
      </c>
      <c r="N86" s="21">
        <v>205.11179999999999</v>
      </c>
      <c r="O86" s="20">
        <v>1.1599999999999999E-2</v>
      </c>
      <c r="P86" s="19">
        <v>28</v>
      </c>
      <c r="Q86" s="19">
        <v>15</v>
      </c>
      <c r="R86" s="20">
        <v>109.3929</v>
      </c>
      <c r="S86" s="20">
        <v>1</v>
      </c>
      <c r="T86" s="19">
        <v>0</v>
      </c>
      <c r="U86" s="20">
        <v>61.434399999999997</v>
      </c>
      <c r="V86" s="19">
        <v>0</v>
      </c>
      <c r="W86" s="19">
        <v>10</v>
      </c>
      <c r="X86" s="19">
        <v>0</v>
      </c>
      <c r="Z86" s="6" t="str">
        <f t="shared" ref="Z86:AA86" si="185">D46</f>
        <v>Position.adjacentPositions</v>
      </c>
      <c r="AA86" s="27">
        <f t="shared" si="185"/>
        <v>3</v>
      </c>
      <c r="AB86" s="27">
        <f>G46</f>
        <v>0</v>
      </c>
      <c r="AC86" s="27">
        <f>F46</f>
        <v>29</v>
      </c>
      <c r="AD86" s="28">
        <f t="shared" ref="AD86:AF86" si="186">(AA86-MIN(AA$6:AA$236))/(MAX(AA$6:AA$236)-MIN(AA$6:AA$236))</f>
        <v>5.5555555555555552E-2</v>
      </c>
      <c r="AE86" s="28">
        <f t="shared" si="186"/>
        <v>0</v>
      </c>
      <c r="AF86" s="28">
        <f t="shared" si="186"/>
        <v>0.22307692307692309</v>
      </c>
      <c r="AG86" s="29">
        <f t="shared" si="4"/>
        <v>0.27863247863247864</v>
      </c>
    </row>
    <row r="87" spans="1:33" ht="15.75" customHeight="1" x14ac:dyDescent="0.3">
      <c r="A87" s="12" t="s">
        <v>50</v>
      </c>
      <c r="B87" s="12" t="s">
        <v>181</v>
      </c>
      <c r="C87" s="12" t="s">
        <v>393</v>
      </c>
      <c r="D87" s="14" t="s">
        <v>416</v>
      </c>
      <c r="E87" s="23">
        <v>1</v>
      </c>
      <c r="F87" s="23">
        <v>13</v>
      </c>
      <c r="G87" s="23">
        <v>0</v>
      </c>
      <c r="H87" s="23">
        <v>0</v>
      </c>
      <c r="I87" s="23">
        <v>0</v>
      </c>
      <c r="J87" s="22">
        <v>0.75</v>
      </c>
      <c r="K87" s="23">
        <v>7</v>
      </c>
      <c r="L87" s="23">
        <v>1</v>
      </c>
      <c r="M87" s="22">
        <v>7.0587999999999997</v>
      </c>
      <c r="N87" s="24">
        <v>1510.376</v>
      </c>
      <c r="O87" s="22">
        <v>4.3900000000000002E-2</v>
      </c>
      <c r="P87" s="23">
        <v>45</v>
      </c>
      <c r="Q87" s="23">
        <v>27</v>
      </c>
      <c r="R87" s="22">
        <v>213.9699</v>
      </c>
      <c r="S87" s="22">
        <v>0.44440000000000002</v>
      </c>
      <c r="T87" s="23">
        <v>0</v>
      </c>
      <c r="U87" s="22">
        <v>59.397100000000002</v>
      </c>
      <c r="V87" s="23">
        <v>0</v>
      </c>
      <c r="W87" s="23">
        <v>9</v>
      </c>
      <c r="X87" s="23">
        <v>0</v>
      </c>
      <c r="Z87" s="12" t="str">
        <f t="shared" ref="Z87:AA87" si="187">D93</f>
        <v>BoardPanel.setCells</v>
      </c>
      <c r="AA87" s="30">
        <f t="shared" si="187"/>
        <v>1</v>
      </c>
      <c r="AB87" s="30">
        <f>G93</f>
        <v>1</v>
      </c>
      <c r="AC87" s="30">
        <f>F93</f>
        <v>10</v>
      </c>
      <c r="AD87" s="31">
        <f t="shared" ref="AD87:AF87" si="188">(AA87-MIN(AA$6:AA$236))/(MAX(AA$6:AA$236)-MIN(AA$6:AA$236))</f>
        <v>0</v>
      </c>
      <c r="AE87" s="31">
        <f t="shared" si="188"/>
        <v>0.2</v>
      </c>
      <c r="AF87" s="31">
        <f t="shared" si="188"/>
        <v>7.6923076923076927E-2</v>
      </c>
      <c r="AG87" s="32">
        <f t="shared" si="4"/>
        <v>0.27692307692307694</v>
      </c>
    </row>
    <row r="88" spans="1:33" ht="15.75" customHeight="1" x14ac:dyDescent="0.3">
      <c r="A88" s="6" t="s">
        <v>50</v>
      </c>
      <c r="B88" s="6" t="s">
        <v>194</v>
      </c>
      <c r="C88" s="6" t="s">
        <v>417</v>
      </c>
      <c r="D88" s="8" t="s">
        <v>418</v>
      </c>
      <c r="E88" s="19">
        <v>1</v>
      </c>
      <c r="F88" s="19">
        <v>13</v>
      </c>
      <c r="G88" s="19">
        <v>2</v>
      </c>
      <c r="H88" s="19">
        <v>0</v>
      </c>
      <c r="I88" s="19">
        <v>0</v>
      </c>
      <c r="J88" s="20">
        <v>1</v>
      </c>
      <c r="K88" s="19">
        <v>1</v>
      </c>
      <c r="L88" s="19">
        <v>0</v>
      </c>
      <c r="M88" s="20">
        <v>3.3332999999999999</v>
      </c>
      <c r="N88" s="21">
        <v>260.45940000000002</v>
      </c>
      <c r="O88" s="20">
        <v>1.3599999999999999E-2</v>
      </c>
      <c r="P88" s="19">
        <v>20</v>
      </c>
      <c r="Q88" s="19">
        <v>15</v>
      </c>
      <c r="R88" s="20">
        <v>78.137799999999999</v>
      </c>
      <c r="S88" s="20">
        <v>1</v>
      </c>
      <c r="T88" s="19">
        <v>0</v>
      </c>
      <c r="U88" s="20">
        <v>62.451999999999998</v>
      </c>
      <c r="V88" s="19">
        <v>0</v>
      </c>
      <c r="W88" s="19">
        <v>6</v>
      </c>
      <c r="X88" s="19">
        <v>0</v>
      </c>
      <c r="Z88" s="6" t="str">
        <f t="shared" ref="Z88:AA88" si="189">D97</f>
        <v>Main.main</v>
      </c>
      <c r="AA88" s="27">
        <f t="shared" si="189"/>
        <v>1</v>
      </c>
      <c r="AB88" s="27">
        <f>G97</f>
        <v>1</v>
      </c>
      <c r="AC88" s="27">
        <f>F97</f>
        <v>10</v>
      </c>
      <c r="AD88" s="28">
        <f t="shared" ref="AD88:AF88" si="190">(AA88-MIN(AA$6:AA$236))/(MAX(AA$6:AA$236)-MIN(AA$6:AA$236))</f>
        <v>0</v>
      </c>
      <c r="AE88" s="28">
        <f t="shared" si="190"/>
        <v>0.2</v>
      </c>
      <c r="AF88" s="28">
        <f t="shared" si="190"/>
        <v>7.6923076923076927E-2</v>
      </c>
      <c r="AG88" s="29">
        <f t="shared" si="4"/>
        <v>0.27692307692307694</v>
      </c>
    </row>
    <row r="89" spans="1:33" ht="15.75" customHeight="1" x14ac:dyDescent="0.3">
      <c r="A89" s="12" t="s">
        <v>50</v>
      </c>
      <c r="B89" s="12" t="s">
        <v>194</v>
      </c>
      <c r="C89" s="12" t="s">
        <v>419</v>
      </c>
      <c r="D89" s="14" t="s">
        <v>418</v>
      </c>
      <c r="E89" s="23">
        <v>1</v>
      </c>
      <c r="F89" s="23">
        <v>13</v>
      </c>
      <c r="G89" s="23">
        <v>2</v>
      </c>
      <c r="H89" s="23">
        <v>0</v>
      </c>
      <c r="I89" s="23">
        <v>0</v>
      </c>
      <c r="J89" s="22">
        <v>0</v>
      </c>
      <c r="K89" s="23">
        <v>0</v>
      </c>
      <c r="L89" s="23">
        <v>0</v>
      </c>
      <c r="M89" s="22">
        <v>1.7142999999999999</v>
      </c>
      <c r="N89" s="24">
        <v>85.421000000000006</v>
      </c>
      <c r="O89" s="22">
        <v>6.4999999999999997E-3</v>
      </c>
      <c r="P89" s="23">
        <v>15</v>
      </c>
      <c r="Q89" s="23">
        <v>10</v>
      </c>
      <c r="R89" s="22">
        <v>49.828899999999997</v>
      </c>
      <c r="S89" s="22">
        <v>1</v>
      </c>
      <c r="T89" s="23">
        <v>0</v>
      </c>
      <c r="U89" s="22">
        <v>63.865699999999997</v>
      </c>
      <c r="V89" s="23">
        <v>0</v>
      </c>
      <c r="W89" s="23">
        <v>6</v>
      </c>
      <c r="X89" s="23">
        <v>0</v>
      </c>
      <c r="Z89" s="12" t="str">
        <f t="shared" ref="Z89:AA89" si="191">D99</f>
        <v>Compass.Compass</v>
      </c>
      <c r="AA89" s="30">
        <f t="shared" si="191"/>
        <v>1</v>
      </c>
      <c r="AB89" s="30">
        <f>G99</f>
        <v>1</v>
      </c>
      <c r="AC89" s="30">
        <f>F99</f>
        <v>9</v>
      </c>
      <c r="AD89" s="31">
        <f t="shared" ref="AD89:AF89" si="192">(AA89-MIN(AA$6:AA$236))/(MAX(AA$6:AA$236)-MIN(AA$6:AA$236))</f>
        <v>0</v>
      </c>
      <c r="AE89" s="31">
        <f t="shared" si="192"/>
        <v>0.2</v>
      </c>
      <c r="AF89" s="31">
        <f t="shared" si="192"/>
        <v>6.9230769230769235E-2</v>
      </c>
      <c r="AG89" s="32">
        <f t="shared" si="4"/>
        <v>0.26923076923076927</v>
      </c>
    </row>
    <row r="90" spans="1:33" ht="15.75" customHeight="1" x14ac:dyDescent="0.3">
      <c r="A90" s="6" t="s">
        <v>50</v>
      </c>
      <c r="B90" s="6" t="s">
        <v>55</v>
      </c>
      <c r="C90" s="6" t="s">
        <v>70</v>
      </c>
      <c r="D90" s="8" t="s">
        <v>420</v>
      </c>
      <c r="E90" s="19">
        <v>1</v>
      </c>
      <c r="F90" s="19">
        <v>11</v>
      </c>
      <c r="G90" s="19">
        <v>2</v>
      </c>
      <c r="H90" s="19">
        <v>0</v>
      </c>
      <c r="I90" s="19">
        <v>0</v>
      </c>
      <c r="J90" s="20">
        <v>0.6</v>
      </c>
      <c r="K90" s="19">
        <v>5</v>
      </c>
      <c r="L90" s="19">
        <v>0</v>
      </c>
      <c r="M90" s="20">
        <v>6</v>
      </c>
      <c r="N90" s="21">
        <v>301.13690000000003</v>
      </c>
      <c r="O90" s="20">
        <v>1.4999999999999999E-2</v>
      </c>
      <c r="P90" s="19">
        <v>14</v>
      </c>
      <c r="Q90" s="19">
        <v>12</v>
      </c>
      <c r="R90" s="20">
        <v>50.189500000000002</v>
      </c>
      <c r="S90" s="20">
        <v>0</v>
      </c>
      <c r="T90" s="19">
        <v>0</v>
      </c>
      <c r="U90" s="20">
        <v>65.386899999999997</v>
      </c>
      <c r="V90" s="19">
        <v>0</v>
      </c>
      <c r="W90" s="19">
        <v>2</v>
      </c>
      <c r="X90" s="19">
        <v>0</v>
      </c>
      <c r="Z90" s="6" t="str">
        <f t="shared" ref="Z90:AA90" si="193">D112</f>
        <v>Tasks.readShip</v>
      </c>
      <c r="AA90" s="27">
        <f t="shared" si="193"/>
        <v>1</v>
      </c>
      <c r="AB90" s="27">
        <f>G112</f>
        <v>1</v>
      </c>
      <c r="AC90" s="27">
        <f>F112</f>
        <v>8</v>
      </c>
      <c r="AD90" s="28">
        <f t="shared" ref="AD90:AF90" si="194">(AA90-MIN(AA$6:AA$236))/(MAX(AA$6:AA$236)-MIN(AA$6:AA$236))</f>
        <v>0</v>
      </c>
      <c r="AE90" s="28">
        <f t="shared" si="194"/>
        <v>0.2</v>
      </c>
      <c r="AF90" s="28">
        <f t="shared" si="194"/>
        <v>6.1538461538461542E-2</v>
      </c>
      <c r="AG90" s="29">
        <f t="shared" si="4"/>
        <v>0.26153846153846155</v>
      </c>
    </row>
    <row r="91" spans="1:33" ht="15.75" customHeight="1" x14ac:dyDescent="0.3">
      <c r="A91" s="12" t="s">
        <v>50</v>
      </c>
      <c r="B91" s="12" t="s">
        <v>175</v>
      </c>
      <c r="C91" s="12" t="s">
        <v>273</v>
      </c>
      <c r="D91" s="14" t="s">
        <v>421</v>
      </c>
      <c r="E91" s="23">
        <v>1</v>
      </c>
      <c r="F91" s="23">
        <v>11</v>
      </c>
      <c r="G91" s="23">
        <v>1</v>
      </c>
      <c r="H91" s="23">
        <v>0</v>
      </c>
      <c r="I91" s="23">
        <v>0</v>
      </c>
      <c r="J91" s="22">
        <v>0</v>
      </c>
      <c r="K91" s="23">
        <v>0</v>
      </c>
      <c r="L91" s="23">
        <v>0</v>
      </c>
      <c r="M91" s="22">
        <v>4.5</v>
      </c>
      <c r="N91" s="24">
        <v>121.5</v>
      </c>
      <c r="O91" s="22">
        <v>8.2000000000000007E-3</v>
      </c>
      <c r="P91" s="23">
        <v>9</v>
      </c>
      <c r="Q91" s="23">
        <v>8</v>
      </c>
      <c r="R91" s="22">
        <v>27</v>
      </c>
      <c r="S91" s="22">
        <v>0</v>
      </c>
      <c r="T91" s="23">
        <v>0</v>
      </c>
      <c r="U91" s="22">
        <v>67.375399999999999</v>
      </c>
      <c r="V91" s="23">
        <v>0</v>
      </c>
      <c r="W91" s="23">
        <v>1</v>
      </c>
      <c r="X91" s="23">
        <v>0</v>
      </c>
      <c r="Z91" s="12" t="str">
        <f t="shared" ref="Z91:AA91" si="195">D32</f>
        <v>Ship.getAdjacentPositions</v>
      </c>
      <c r="AA91" s="30">
        <f t="shared" si="195"/>
        <v>5</v>
      </c>
      <c r="AB91" s="30">
        <f>G32</f>
        <v>0</v>
      </c>
      <c r="AC91" s="30">
        <f>F32</f>
        <v>19</v>
      </c>
      <c r="AD91" s="31">
        <f t="shared" ref="AD91:AF91" si="196">(AA91-MIN(AA$6:AA$236))/(MAX(AA$6:AA$236)-MIN(AA$6:AA$236))</f>
        <v>0.1111111111111111</v>
      </c>
      <c r="AE91" s="31">
        <f t="shared" si="196"/>
        <v>0</v>
      </c>
      <c r="AF91" s="31">
        <f t="shared" si="196"/>
        <v>0.14615384615384616</v>
      </c>
      <c r="AG91" s="32">
        <f t="shared" si="4"/>
        <v>0.25726495726495724</v>
      </c>
    </row>
    <row r="92" spans="1:33" ht="15.75" customHeight="1" x14ac:dyDescent="0.3">
      <c r="A92" s="6" t="s">
        <v>50</v>
      </c>
      <c r="B92" s="6" t="s">
        <v>194</v>
      </c>
      <c r="C92" s="6" t="s">
        <v>229</v>
      </c>
      <c r="D92" s="8" t="s">
        <v>422</v>
      </c>
      <c r="E92" s="19">
        <v>1</v>
      </c>
      <c r="F92" s="19">
        <v>11</v>
      </c>
      <c r="G92" s="19">
        <v>0</v>
      </c>
      <c r="H92" s="19">
        <v>0</v>
      </c>
      <c r="I92" s="19">
        <v>0</v>
      </c>
      <c r="J92" s="20">
        <v>0</v>
      </c>
      <c r="K92" s="19">
        <v>0</v>
      </c>
      <c r="L92" s="19">
        <v>0</v>
      </c>
      <c r="M92" s="20">
        <v>2</v>
      </c>
      <c r="N92" s="21">
        <v>63.398499999999999</v>
      </c>
      <c r="O92" s="20">
        <v>5.3E-3</v>
      </c>
      <c r="P92" s="19">
        <v>10</v>
      </c>
      <c r="Q92" s="19">
        <v>9</v>
      </c>
      <c r="R92" s="20">
        <v>31.699300000000001</v>
      </c>
      <c r="S92" s="20">
        <v>1</v>
      </c>
      <c r="T92" s="19">
        <v>0</v>
      </c>
      <c r="U92" s="20">
        <v>66.840599999999995</v>
      </c>
      <c r="V92" s="19">
        <v>0</v>
      </c>
      <c r="W92" s="19">
        <v>2</v>
      </c>
      <c r="X92" s="19">
        <v>0</v>
      </c>
      <c r="Z92" s="6" t="str">
        <f t="shared" ref="Z92:AA92" si="197">D128</f>
        <v>Tasks.readPosition</v>
      </c>
      <c r="AA92" s="27">
        <f t="shared" si="197"/>
        <v>1</v>
      </c>
      <c r="AB92" s="27">
        <f>G128</f>
        <v>1</v>
      </c>
      <c r="AC92" s="27">
        <f>F128</f>
        <v>6</v>
      </c>
      <c r="AD92" s="28">
        <f t="shared" ref="AD92:AF92" si="198">(AA92-MIN(AA$6:AA$236))/(MAX(AA$6:AA$236)-MIN(AA$6:AA$236))</f>
        <v>0</v>
      </c>
      <c r="AE92" s="28">
        <f t="shared" si="198"/>
        <v>0.2</v>
      </c>
      <c r="AF92" s="28">
        <f t="shared" si="198"/>
        <v>4.6153846153846156E-2</v>
      </c>
      <c r="AG92" s="29">
        <f t="shared" si="4"/>
        <v>0.24615384615384617</v>
      </c>
    </row>
    <row r="93" spans="1:33" ht="15.75" customHeight="1" x14ac:dyDescent="0.3">
      <c r="A93" s="12" t="s">
        <v>50</v>
      </c>
      <c r="B93" s="12" t="s">
        <v>164</v>
      </c>
      <c r="C93" s="12" t="s">
        <v>201</v>
      </c>
      <c r="D93" s="14" t="s">
        <v>423</v>
      </c>
      <c r="E93" s="23">
        <v>1</v>
      </c>
      <c r="F93" s="23">
        <v>10</v>
      </c>
      <c r="G93" s="23">
        <v>1</v>
      </c>
      <c r="H93" s="23">
        <v>0</v>
      </c>
      <c r="I93" s="23">
        <v>0</v>
      </c>
      <c r="J93" s="22">
        <v>1</v>
      </c>
      <c r="K93" s="23">
        <v>1</v>
      </c>
      <c r="L93" s="23">
        <v>0</v>
      </c>
      <c r="M93" s="22">
        <v>4</v>
      </c>
      <c r="N93" s="24">
        <v>126.797</v>
      </c>
      <c r="O93" s="22">
        <v>8.3999999999999995E-3</v>
      </c>
      <c r="P93" s="23">
        <v>10</v>
      </c>
      <c r="Q93" s="23">
        <v>9</v>
      </c>
      <c r="R93" s="22">
        <v>31.699300000000001</v>
      </c>
      <c r="S93" s="22">
        <v>1</v>
      </c>
      <c r="T93" s="23">
        <v>0</v>
      </c>
      <c r="U93" s="22">
        <v>67.743499999999997</v>
      </c>
      <c r="V93" s="23">
        <v>0</v>
      </c>
      <c r="W93" s="23">
        <v>2</v>
      </c>
      <c r="X93" s="23">
        <v>0</v>
      </c>
      <c r="Z93" s="12" t="str">
        <f t="shared" ref="Z93:AA93" si="199">D138</f>
        <v>GamePDFExporter.toPdfText</v>
      </c>
      <c r="AA93" s="30">
        <f t="shared" si="199"/>
        <v>1</v>
      </c>
      <c r="AB93" s="30">
        <f>G138</f>
        <v>1</v>
      </c>
      <c r="AC93" s="30">
        <f>F138</f>
        <v>5</v>
      </c>
      <c r="AD93" s="31">
        <f t="shared" ref="AD93:AF93" si="200">(AA93-MIN(AA$6:AA$236))/(MAX(AA$6:AA$236)-MIN(AA$6:AA$236))</f>
        <v>0</v>
      </c>
      <c r="AE93" s="31">
        <f t="shared" si="200"/>
        <v>0.2</v>
      </c>
      <c r="AF93" s="31">
        <f t="shared" si="200"/>
        <v>3.8461538461538464E-2</v>
      </c>
      <c r="AG93" s="32">
        <f t="shared" si="4"/>
        <v>0.23846153846153847</v>
      </c>
    </row>
    <row r="94" spans="1:33" ht="15.75" customHeight="1" x14ac:dyDescent="0.3">
      <c r="A94" s="6" t="s">
        <v>50</v>
      </c>
      <c r="B94" s="6" t="s">
        <v>174</v>
      </c>
      <c r="C94" s="6" t="s">
        <v>227</v>
      </c>
      <c r="D94" s="8" t="s">
        <v>424</v>
      </c>
      <c r="E94" s="19">
        <v>1</v>
      </c>
      <c r="F94" s="19">
        <v>10</v>
      </c>
      <c r="G94" s="19">
        <v>0</v>
      </c>
      <c r="H94" s="19">
        <v>0</v>
      </c>
      <c r="I94" s="19">
        <v>0</v>
      </c>
      <c r="J94" s="20">
        <v>0.5</v>
      </c>
      <c r="K94" s="19">
        <v>1</v>
      </c>
      <c r="L94" s="19">
        <v>1</v>
      </c>
      <c r="M94" s="20">
        <v>4.6666999999999996</v>
      </c>
      <c r="N94" s="21">
        <v>186.02799999999999</v>
      </c>
      <c r="O94" s="20">
        <v>1.09E-2</v>
      </c>
      <c r="P94" s="19">
        <v>12</v>
      </c>
      <c r="Q94" s="19">
        <v>10</v>
      </c>
      <c r="R94" s="20">
        <v>39.863100000000003</v>
      </c>
      <c r="S94" s="20">
        <v>0</v>
      </c>
      <c r="T94" s="19">
        <v>0</v>
      </c>
      <c r="U94" s="20">
        <v>67.045400000000001</v>
      </c>
      <c r="V94" s="19">
        <v>0</v>
      </c>
      <c r="W94" s="19">
        <v>3</v>
      </c>
      <c r="X94" s="19">
        <v>0</v>
      </c>
      <c r="Z94" s="6" t="str">
        <f t="shared" ref="Z94:AA94" si="201">D141</f>
        <v>Tasks.printElapsed</v>
      </c>
      <c r="AA94" s="27">
        <f t="shared" si="201"/>
        <v>1</v>
      </c>
      <c r="AB94" s="27">
        <f>G141</f>
        <v>1</v>
      </c>
      <c r="AC94" s="27">
        <f>F141</f>
        <v>5</v>
      </c>
      <c r="AD94" s="28">
        <f t="shared" ref="AD94:AF94" si="202">(AA94-MIN(AA$6:AA$236))/(MAX(AA$6:AA$236)-MIN(AA$6:AA$236))</f>
        <v>0</v>
      </c>
      <c r="AE94" s="28">
        <f t="shared" si="202"/>
        <v>0.2</v>
      </c>
      <c r="AF94" s="28">
        <f t="shared" si="202"/>
        <v>3.8461538461538464E-2</v>
      </c>
      <c r="AG94" s="29">
        <f t="shared" si="4"/>
        <v>0.23846153846153847</v>
      </c>
    </row>
    <row r="95" spans="1:33" ht="15.75" customHeight="1" x14ac:dyDescent="0.3">
      <c r="A95" s="12" t="s">
        <v>50</v>
      </c>
      <c r="B95" s="12" t="s">
        <v>174</v>
      </c>
      <c r="C95" s="12" t="s">
        <v>229</v>
      </c>
      <c r="D95" s="14" t="s">
        <v>425</v>
      </c>
      <c r="E95" s="23">
        <v>1</v>
      </c>
      <c r="F95" s="23">
        <v>10</v>
      </c>
      <c r="G95" s="23">
        <v>0</v>
      </c>
      <c r="H95" s="23">
        <v>0</v>
      </c>
      <c r="I95" s="23">
        <v>0</v>
      </c>
      <c r="J95" s="22">
        <v>0</v>
      </c>
      <c r="K95" s="23">
        <v>0</v>
      </c>
      <c r="L95" s="23">
        <v>0</v>
      </c>
      <c r="M95" s="22">
        <v>1.5</v>
      </c>
      <c r="N95" s="24">
        <v>17.4145</v>
      </c>
      <c r="O95" s="22">
        <v>2.2000000000000001E-3</v>
      </c>
      <c r="P95" s="23">
        <v>5</v>
      </c>
      <c r="Q95" s="23">
        <v>5</v>
      </c>
      <c r="R95" s="22">
        <v>11.6096</v>
      </c>
      <c r="S95" s="22">
        <v>1</v>
      </c>
      <c r="T95" s="23">
        <v>0</v>
      </c>
      <c r="U95" s="22">
        <v>70.894199999999998</v>
      </c>
      <c r="V95" s="23">
        <v>0</v>
      </c>
      <c r="W95" s="23">
        <v>1</v>
      </c>
      <c r="X95" s="23">
        <v>0</v>
      </c>
      <c r="Z95" s="12" t="str">
        <f t="shared" ref="Z95:AA95" si="203">D151</f>
        <v>GameRegistry.getSession</v>
      </c>
      <c r="AA95" s="30">
        <f t="shared" si="203"/>
        <v>1</v>
      </c>
      <c r="AB95" s="30">
        <f t="shared" ref="AB95:AB96" si="204">G151</f>
        <v>1</v>
      </c>
      <c r="AC95" s="30">
        <f t="shared" ref="AC95:AC96" si="205">F151</f>
        <v>4</v>
      </c>
      <c r="AD95" s="31">
        <f t="shared" ref="AD95:AF95" si="206">(AA95-MIN(AA$6:AA$236))/(MAX(AA$6:AA$236)-MIN(AA$6:AA$236))</f>
        <v>0</v>
      </c>
      <c r="AE95" s="31">
        <f t="shared" si="206"/>
        <v>0.2</v>
      </c>
      <c r="AF95" s="31">
        <f t="shared" si="206"/>
        <v>3.0769230769230771E-2</v>
      </c>
      <c r="AG95" s="32">
        <f t="shared" si="4"/>
        <v>0.23076923076923078</v>
      </c>
    </row>
    <row r="96" spans="1:33" ht="15.75" customHeight="1" x14ac:dyDescent="0.3">
      <c r="A96" s="6" t="s">
        <v>50</v>
      </c>
      <c r="B96" s="6" t="s">
        <v>175</v>
      </c>
      <c r="C96" s="6" t="s">
        <v>253</v>
      </c>
      <c r="D96" s="8" t="s">
        <v>426</v>
      </c>
      <c r="E96" s="19">
        <v>1</v>
      </c>
      <c r="F96" s="19">
        <v>10</v>
      </c>
      <c r="G96" s="19">
        <v>0</v>
      </c>
      <c r="H96" s="19">
        <v>0</v>
      </c>
      <c r="I96" s="19">
        <v>0</v>
      </c>
      <c r="J96" s="20">
        <v>0</v>
      </c>
      <c r="K96" s="19">
        <v>0</v>
      </c>
      <c r="L96" s="19">
        <v>0</v>
      </c>
      <c r="M96" s="20">
        <v>1</v>
      </c>
      <c r="N96" s="21">
        <v>4.7549000000000001</v>
      </c>
      <c r="O96" s="20">
        <v>8.9999999999999998E-4</v>
      </c>
      <c r="P96" s="19">
        <v>3</v>
      </c>
      <c r="Q96" s="19">
        <v>3</v>
      </c>
      <c r="R96" s="20">
        <v>4.7549000000000001</v>
      </c>
      <c r="S96" s="20">
        <v>1</v>
      </c>
      <c r="T96" s="19">
        <v>0</v>
      </c>
      <c r="U96" s="20">
        <v>73.970399999999998</v>
      </c>
      <c r="V96" s="19">
        <v>0</v>
      </c>
      <c r="W96" s="19">
        <v>1</v>
      </c>
      <c r="X96" s="19">
        <v>0</v>
      </c>
      <c r="Z96" s="6" t="str">
        <f t="shared" ref="Z96:AA96" si="207">D152</f>
        <v>GameRegistry.removeSession</v>
      </c>
      <c r="AA96" s="27">
        <f t="shared" si="207"/>
        <v>1</v>
      </c>
      <c r="AB96" s="27">
        <f t="shared" si="204"/>
        <v>1</v>
      </c>
      <c r="AC96" s="27">
        <f t="shared" si="205"/>
        <v>4</v>
      </c>
      <c r="AD96" s="28">
        <f t="shared" ref="AD96:AF96" si="208">(AA96-MIN(AA$6:AA$236))/(MAX(AA$6:AA$236)-MIN(AA$6:AA$236))</f>
        <v>0</v>
      </c>
      <c r="AE96" s="28">
        <f t="shared" si="208"/>
        <v>0.2</v>
      </c>
      <c r="AF96" s="28">
        <f t="shared" si="208"/>
        <v>3.0769230769230771E-2</v>
      </c>
      <c r="AG96" s="29">
        <f t="shared" si="4"/>
        <v>0.23076923076923078</v>
      </c>
    </row>
    <row r="97" spans="1:33" ht="15.75" customHeight="1" x14ac:dyDescent="0.3">
      <c r="A97" s="12" t="s">
        <v>50</v>
      </c>
      <c r="B97" s="12" t="s">
        <v>191</v>
      </c>
      <c r="C97" s="12" t="s">
        <v>427</v>
      </c>
      <c r="D97" s="14" t="s">
        <v>428</v>
      </c>
      <c r="E97" s="23">
        <v>1</v>
      </c>
      <c r="F97" s="23">
        <v>10</v>
      </c>
      <c r="G97" s="23">
        <v>1</v>
      </c>
      <c r="H97" s="23">
        <v>0</v>
      </c>
      <c r="I97" s="23">
        <v>0</v>
      </c>
      <c r="J97" s="22">
        <v>1</v>
      </c>
      <c r="K97" s="23">
        <v>2</v>
      </c>
      <c r="L97" s="23">
        <v>1</v>
      </c>
      <c r="M97" s="22">
        <v>2.5</v>
      </c>
      <c r="N97" s="24">
        <v>49.128700000000002</v>
      </c>
      <c r="O97" s="22">
        <v>4.4999999999999997E-3</v>
      </c>
      <c r="P97" s="23">
        <v>7</v>
      </c>
      <c r="Q97" s="23">
        <v>7</v>
      </c>
      <c r="R97" s="22">
        <v>19.651499999999999</v>
      </c>
      <c r="S97" s="22">
        <v>0</v>
      </c>
      <c r="T97" s="23">
        <v>0</v>
      </c>
      <c r="U97" s="22">
        <v>69.232200000000006</v>
      </c>
      <c r="V97" s="23">
        <v>0</v>
      </c>
      <c r="W97" s="23">
        <v>1</v>
      </c>
      <c r="X97" s="23">
        <v>0</v>
      </c>
      <c r="Z97" s="12" t="str">
        <f t="shared" ref="Z97:AA97" si="209">D156</f>
        <v>CellState.CellState</v>
      </c>
      <c r="AA97" s="30">
        <f t="shared" si="209"/>
        <v>1</v>
      </c>
      <c r="AB97" s="30">
        <f>G156</f>
        <v>1</v>
      </c>
      <c r="AC97" s="30">
        <f>F156</f>
        <v>3</v>
      </c>
      <c r="AD97" s="31">
        <f t="shared" ref="AD97:AF97" si="210">(AA97-MIN(AA$6:AA$236))/(MAX(AA$6:AA$236)-MIN(AA$6:AA$236))</f>
        <v>0</v>
      </c>
      <c r="AE97" s="31">
        <f t="shared" si="210"/>
        <v>0.2</v>
      </c>
      <c r="AF97" s="31">
        <f t="shared" si="210"/>
        <v>2.3076923076923078E-2</v>
      </c>
      <c r="AG97" s="32">
        <f t="shared" si="4"/>
        <v>0.22307692307692309</v>
      </c>
    </row>
    <row r="98" spans="1:33" ht="15.75" customHeight="1" x14ac:dyDescent="0.3">
      <c r="A98" s="6" t="s">
        <v>50</v>
      </c>
      <c r="B98" s="6" t="s">
        <v>195</v>
      </c>
      <c r="C98" s="6" t="s">
        <v>229</v>
      </c>
      <c r="D98" s="8" t="s">
        <v>429</v>
      </c>
      <c r="E98" s="19">
        <v>1</v>
      </c>
      <c r="F98" s="19">
        <v>10</v>
      </c>
      <c r="G98" s="19">
        <v>0</v>
      </c>
      <c r="H98" s="19">
        <v>0</v>
      </c>
      <c r="I98" s="19">
        <v>0</v>
      </c>
      <c r="J98" s="20">
        <v>0</v>
      </c>
      <c r="K98" s="19">
        <v>0</v>
      </c>
      <c r="L98" s="19">
        <v>0</v>
      </c>
      <c r="M98" s="20">
        <v>1.1667000000000001</v>
      </c>
      <c r="N98" s="21">
        <v>31.5</v>
      </c>
      <c r="O98" s="20">
        <v>3.3E-3</v>
      </c>
      <c r="P98" s="19">
        <v>9</v>
      </c>
      <c r="Q98" s="19">
        <v>8</v>
      </c>
      <c r="R98" s="20">
        <v>27</v>
      </c>
      <c r="S98" s="20">
        <v>1</v>
      </c>
      <c r="T98" s="19">
        <v>0</v>
      </c>
      <c r="U98" s="20">
        <v>68.278400000000005</v>
      </c>
      <c r="V98" s="19">
        <v>0</v>
      </c>
      <c r="W98" s="19">
        <v>3</v>
      </c>
      <c r="X98" s="19">
        <v>0</v>
      </c>
      <c r="Z98" s="6" t="str">
        <f t="shared" ref="Z98:AA98" si="211">D159</f>
        <v>BattleshipServer.main</v>
      </c>
      <c r="AA98" s="27">
        <f t="shared" si="211"/>
        <v>1</v>
      </c>
      <c r="AB98" s="27">
        <f>G159</f>
        <v>1</v>
      </c>
      <c r="AC98" s="27">
        <f>F159</f>
        <v>3</v>
      </c>
      <c r="AD98" s="28">
        <f t="shared" ref="AD98:AF98" si="212">(AA98-MIN(AA$6:AA$236))/(MAX(AA$6:AA$236)-MIN(AA$6:AA$236))</f>
        <v>0</v>
      </c>
      <c r="AE98" s="28">
        <f t="shared" si="212"/>
        <v>0.2</v>
      </c>
      <c r="AF98" s="28">
        <f t="shared" si="212"/>
        <v>2.3076923076923078E-2</v>
      </c>
      <c r="AG98" s="29">
        <f t="shared" si="4"/>
        <v>0.22307692307692309</v>
      </c>
    </row>
    <row r="99" spans="1:33" ht="15.75" customHeight="1" x14ac:dyDescent="0.3">
      <c r="A99" s="12" t="s">
        <v>50</v>
      </c>
      <c r="B99" s="12" t="s">
        <v>174</v>
      </c>
      <c r="C99" s="12" t="s">
        <v>224</v>
      </c>
      <c r="D99" s="14" t="s">
        <v>430</v>
      </c>
      <c r="E99" s="23">
        <v>1</v>
      </c>
      <c r="F99" s="23">
        <v>9</v>
      </c>
      <c r="G99" s="23">
        <v>1</v>
      </c>
      <c r="H99" s="23">
        <v>0</v>
      </c>
      <c r="I99" s="23">
        <v>0</v>
      </c>
      <c r="J99" s="22">
        <v>0</v>
      </c>
      <c r="K99" s="23">
        <v>0</v>
      </c>
      <c r="L99" s="23">
        <v>0</v>
      </c>
      <c r="M99" s="22">
        <v>1</v>
      </c>
      <c r="N99" s="24">
        <v>8</v>
      </c>
      <c r="O99" s="22">
        <v>1.2999999999999999E-3</v>
      </c>
      <c r="P99" s="23">
        <v>4</v>
      </c>
      <c r="Q99" s="23">
        <v>4</v>
      </c>
      <c r="R99" s="22">
        <v>8</v>
      </c>
      <c r="S99" s="22">
        <v>1</v>
      </c>
      <c r="T99" s="23">
        <v>0</v>
      </c>
      <c r="U99" s="22">
        <v>72.860699999999994</v>
      </c>
      <c r="V99" s="23">
        <v>0</v>
      </c>
      <c r="W99" s="23">
        <v>2</v>
      </c>
      <c r="X99" s="23">
        <v>0</v>
      </c>
      <c r="Z99" s="12" t="str">
        <f t="shared" ref="Z99:AA99" si="213">D161</f>
        <v>CellIcon.CellIcon</v>
      </c>
      <c r="AA99" s="30">
        <f t="shared" si="213"/>
        <v>1</v>
      </c>
      <c r="AB99" s="30">
        <f>G161</f>
        <v>1</v>
      </c>
      <c r="AC99" s="30">
        <f>F161</f>
        <v>1</v>
      </c>
      <c r="AD99" s="31">
        <f t="shared" ref="AD99:AF99" si="214">(AA99-MIN(AA$6:AA$236))/(MAX(AA$6:AA$236)-MIN(AA$6:AA$236))</f>
        <v>0</v>
      </c>
      <c r="AE99" s="31">
        <f t="shared" si="214"/>
        <v>0.2</v>
      </c>
      <c r="AF99" s="31">
        <f t="shared" si="214"/>
        <v>7.6923076923076927E-3</v>
      </c>
      <c r="AG99" s="32">
        <f t="shared" si="4"/>
        <v>0.2076923076923077</v>
      </c>
    </row>
    <row r="100" spans="1:33" ht="15.75" customHeight="1" x14ac:dyDescent="0.3">
      <c r="A100" s="6" t="s">
        <v>50</v>
      </c>
      <c r="B100" s="6" t="s">
        <v>174</v>
      </c>
      <c r="C100" s="6" t="s">
        <v>226</v>
      </c>
      <c r="D100" s="8" t="s">
        <v>431</v>
      </c>
      <c r="E100" s="19">
        <v>1</v>
      </c>
      <c r="F100" s="19">
        <v>9</v>
      </c>
      <c r="G100" s="19">
        <v>0</v>
      </c>
      <c r="H100" s="19">
        <v>0</v>
      </c>
      <c r="I100" s="19">
        <v>0</v>
      </c>
      <c r="J100" s="20">
        <v>0</v>
      </c>
      <c r="K100" s="19">
        <v>0</v>
      </c>
      <c r="L100" s="19">
        <v>0</v>
      </c>
      <c r="M100" s="20">
        <v>1.5</v>
      </c>
      <c r="N100" s="21">
        <v>12</v>
      </c>
      <c r="O100" s="20">
        <v>1.6999999999999999E-3</v>
      </c>
      <c r="P100" s="19">
        <v>4</v>
      </c>
      <c r="Q100" s="19">
        <v>4</v>
      </c>
      <c r="R100" s="20">
        <v>8</v>
      </c>
      <c r="S100" s="20">
        <v>1</v>
      </c>
      <c r="T100" s="19">
        <v>0</v>
      </c>
      <c r="U100" s="20">
        <v>72.860699999999994</v>
      </c>
      <c r="V100" s="19">
        <v>0</v>
      </c>
      <c r="W100" s="19">
        <v>1</v>
      </c>
      <c r="X100" s="19">
        <v>0</v>
      </c>
      <c r="Z100" s="6" t="str">
        <f t="shared" ref="Z100:AA100" si="215">D167</f>
        <v>ErrorResponse.ErrorResponse</v>
      </c>
      <c r="AA100" s="27">
        <f t="shared" si="215"/>
        <v>1</v>
      </c>
      <c r="AB100" s="27">
        <f>G167</f>
        <v>1</v>
      </c>
      <c r="AC100" s="27">
        <f>F167</f>
        <v>1</v>
      </c>
      <c r="AD100" s="28">
        <f t="shared" ref="AD100:AF100" si="216">(AA100-MIN(AA$6:AA$236))/(MAX(AA$6:AA$236)-MIN(AA$6:AA$236))</f>
        <v>0</v>
      </c>
      <c r="AE100" s="28">
        <f t="shared" si="216"/>
        <v>0.2</v>
      </c>
      <c r="AF100" s="28">
        <f t="shared" si="216"/>
        <v>7.6923076923076927E-3</v>
      </c>
      <c r="AG100" s="29">
        <f t="shared" si="4"/>
        <v>0.2076923076923077</v>
      </c>
    </row>
    <row r="101" spans="1:33" ht="15.75" customHeight="1" x14ac:dyDescent="0.3">
      <c r="A101" s="12" t="s">
        <v>50</v>
      </c>
      <c r="B101" s="12" t="s">
        <v>194</v>
      </c>
      <c r="C101" s="12" t="s">
        <v>432</v>
      </c>
      <c r="D101" s="14" t="s">
        <v>433</v>
      </c>
      <c r="E101" s="23">
        <v>1</v>
      </c>
      <c r="F101" s="23">
        <v>9</v>
      </c>
      <c r="G101" s="23">
        <v>0</v>
      </c>
      <c r="H101" s="23">
        <v>0</v>
      </c>
      <c r="I101" s="23">
        <v>0</v>
      </c>
      <c r="J101" s="22">
        <v>0</v>
      </c>
      <c r="K101" s="23">
        <v>0</v>
      </c>
      <c r="L101" s="23">
        <v>0</v>
      </c>
      <c r="M101" s="22">
        <v>1.5</v>
      </c>
      <c r="N101" s="24">
        <v>12</v>
      </c>
      <c r="O101" s="22">
        <v>1.6999999999999999E-3</v>
      </c>
      <c r="P101" s="23">
        <v>4</v>
      </c>
      <c r="Q101" s="23">
        <v>4</v>
      </c>
      <c r="R101" s="22">
        <v>8</v>
      </c>
      <c r="S101" s="22">
        <v>1</v>
      </c>
      <c r="T101" s="23">
        <v>0</v>
      </c>
      <c r="U101" s="22">
        <v>72.860699999999994</v>
      </c>
      <c r="V101" s="23">
        <v>0</v>
      </c>
      <c r="W101" s="23">
        <v>1</v>
      </c>
      <c r="X101" s="23">
        <v>0</v>
      </c>
      <c r="Z101" s="12" t="str">
        <f t="shared" ref="Z101:AA101" si="217">D53</f>
        <v>Fleet.getFloatingShips</v>
      </c>
      <c r="AA101" s="30">
        <f t="shared" si="217"/>
        <v>3</v>
      </c>
      <c r="AB101" s="30">
        <f t="shared" ref="AB101:AB106" si="218">G53</f>
        <v>0</v>
      </c>
      <c r="AC101" s="30">
        <f t="shared" ref="AC101:AC106" si="219">F53</f>
        <v>19</v>
      </c>
      <c r="AD101" s="31">
        <f t="shared" ref="AD101:AF101" si="220">(AA101-MIN(AA$6:AA$236))/(MAX(AA$6:AA$236)-MIN(AA$6:AA$236))</f>
        <v>5.5555555555555552E-2</v>
      </c>
      <c r="AE101" s="31">
        <f t="shared" si="220"/>
        <v>0</v>
      </c>
      <c r="AF101" s="31">
        <f t="shared" si="220"/>
        <v>0.14615384615384616</v>
      </c>
      <c r="AG101" s="32">
        <f t="shared" si="4"/>
        <v>0.20170940170940171</v>
      </c>
    </row>
    <row r="102" spans="1:33" ht="15.75" customHeight="1" x14ac:dyDescent="0.3">
      <c r="A102" s="6" t="s">
        <v>50</v>
      </c>
      <c r="B102" s="6" t="s">
        <v>194</v>
      </c>
      <c r="C102" s="6" t="s">
        <v>434</v>
      </c>
      <c r="D102" s="8" t="s">
        <v>435</v>
      </c>
      <c r="E102" s="19">
        <v>1</v>
      </c>
      <c r="F102" s="19">
        <v>9</v>
      </c>
      <c r="G102" s="19">
        <v>0</v>
      </c>
      <c r="H102" s="19">
        <v>0</v>
      </c>
      <c r="I102" s="19">
        <v>0</v>
      </c>
      <c r="J102" s="20">
        <v>0</v>
      </c>
      <c r="K102" s="19">
        <v>0</v>
      </c>
      <c r="L102" s="19">
        <v>0</v>
      </c>
      <c r="M102" s="20">
        <v>1.5</v>
      </c>
      <c r="N102" s="21">
        <v>12</v>
      </c>
      <c r="O102" s="20">
        <v>1.6999999999999999E-3</v>
      </c>
      <c r="P102" s="19">
        <v>4</v>
      </c>
      <c r="Q102" s="19">
        <v>4</v>
      </c>
      <c r="R102" s="20">
        <v>8</v>
      </c>
      <c r="S102" s="20">
        <v>1</v>
      </c>
      <c r="T102" s="19">
        <v>0</v>
      </c>
      <c r="U102" s="20">
        <v>72.860699999999994</v>
      </c>
      <c r="V102" s="19">
        <v>0</v>
      </c>
      <c r="W102" s="19">
        <v>1</v>
      </c>
      <c r="X102" s="19">
        <v>0</v>
      </c>
      <c r="Z102" s="6" t="str">
        <f t="shared" ref="Z102:AA102" si="221">D54</f>
        <v>Fleet.getSunkShips</v>
      </c>
      <c r="AA102" s="27">
        <f t="shared" si="221"/>
        <v>3</v>
      </c>
      <c r="AB102" s="27">
        <f t="shared" si="218"/>
        <v>0</v>
      </c>
      <c r="AC102" s="27">
        <f t="shared" si="219"/>
        <v>19</v>
      </c>
      <c r="AD102" s="28">
        <f t="shared" ref="AD102:AF102" si="222">(AA102-MIN(AA$6:AA$236))/(MAX(AA$6:AA$236)-MIN(AA$6:AA$236))</f>
        <v>5.5555555555555552E-2</v>
      </c>
      <c r="AE102" s="28">
        <f t="shared" si="222"/>
        <v>0</v>
      </c>
      <c r="AF102" s="28">
        <f t="shared" si="222"/>
        <v>0.14615384615384616</v>
      </c>
      <c r="AG102" s="29">
        <f t="shared" si="4"/>
        <v>0.20170940170940171</v>
      </c>
    </row>
    <row r="103" spans="1:33" ht="15.75" customHeight="1" x14ac:dyDescent="0.3">
      <c r="A103" s="12" t="s">
        <v>50</v>
      </c>
      <c r="B103" s="12" t="s">
        <v>194</v>
      </c>
      <c r="C103" s="12" t="s">
        <v>436</v>
      </c>
      <c r="D103" s="14" t="s">
        <v>437</v>
      </c>
      <c r="E103" s="23">
        <v>1</v>
      </c>
      <c r="F103" s="23">
        <v>9</v>
      </c>
      <c r="G103" s="23">
        <v>0</v>
      </c>
      <c r="H103" s="23">
        <v>0</v>
      </c>
      <c r="I103" s="23">
        <v>0</v>
      </c>
      <c r="J103" s="22">
        <v>1</v>
      </c>
      <c r="K103" s="23">
        <v>1</v>
      </c>
      <c r="L103" s="23">
        <v>0</v>
      </c>
      <c r="M103" s="22">
        <v>2</v>
      </c>
      <c r="N103" s="24">
        <v>48</v>
      </c>
      <c r="O103" s="22">
        <v>4.4000000000000003E-3</v>
      </c>
      <c r="P103" s="23">
        <v>8</v>
      </c>
      <c r="Q103" s="23">
        <v>8</v>
      </c>
      <c r="R103" s="22">
        <v>24</v>
      </c>
      <c r="S103" s="22">
        <v>1</v>
      </c>
      <c r="T103" s="23">
        <v>0</v>
      </c>
      <c r="U103" s="22">
        <v>69.519900000000007</v>
      </c>
      <c r="V103" s="23">
        <v>0</v>
      </c>
      <c r="W103" s="23">
        <v>4</v>
      </c>
      <c r="X103" s="23">
        <v>0</v>
      </c>
      <c r="Z103" s="12" t="str">
        <f t="shared" ref="Z103:AA103" si="223">D55</f>
        <v>Ship.getBottomMostPos</v>
      </c>
      <c r="AA103" s="30">
        <f t="shared" si="223"/>
        <v>3</v>
      </c>
      <c r="AB103" s="30">
        <f t="shared" si="218"/>
        <v>0</v>
      </c>
      <c r="AC103" s="30">
        <f t="shared" si="219"/>
        <v>19</v>
      </c>
      <c r="AD103" s="31">
        <f t="shared" ref="AD103:AF103" si="224">(AA103-MIN(AA$6:AA$236))/(MAX(AA$6:AA$236)-MIN(AA$6:AA$236))</f>
        <v>5.5555555555555552E-2</v>
      </c>
      <c r="AE103" s="31">
        <f t="shared" si="224"/>
        <v>0</v>
      </c>
      <c r="AF103" s="31">
        <f t="shared" si="224"/>
        <v>0.14615384615384616</v>
      </c>
      <c r="AG103" s="32">
        <f t="shared" si="4"/>
        <v>0.20170940170940171</v>
      </c>
    </row>
    <row r="104" spans="1:33" ht="15.75" customHeight="1" x14ac:dyDescent="0.3">
      <c r="A104" s="6" t="s">
        <v>50</v>
      </c>
      <c r="B104" s="6" t="s">
        <v>194</v>
      </c>
      <c r="C104" s="6" t="s">
        <v>438</v>
      </c>
      <c r="D104" s="8" t="s">
        <v>439</v>
      </c>
      <c r="E104" s="19">
        <v>1</v>
      </c>
      <c r="F104" s="19">
        <v>9</v>
      </c>
      <c r="G104" s="19">
        <v>0</v>
      </c>
      <c r="H104" s="19">
        <v>0</v>
      </c>
      <c r="I104" s="19">
        <v>0</v>
      </c>
      <c r="J104" s="20">
        <v>0</v>
      </c>
      <c r="K104" s="19">
        <v>0</v>
      </c>
      <c r="L104" s="19">
        <v>0</v>
      </c>
      <c r="M104" s="20">
        <v>1.5</v>
      </c>
      <c r="N104" s="21">
        <v>12</v>
      </c>
      <c r="O104" s="20">
        <v>1.6999999999999999E-3</v>
      </c>
      <c r="P104" s="19">
        <v>4</v>
      </c>
      <c r="Q104" s="19">
        <v>4</v>
      </c>
      <c r="R104" s="20">
        <v>8</v>
      </c>
      <c r="S104" s="20">
        <v>1</v>
      </c>
      <c r="T104" s="19">
        <v>0</v>
      </c>
      <c r="U104" s="20">
        <v>72.860699999999994</v>
      </c>
      <c r="V104" s="19">
        <v>0</v>
      </c>
      <c r="W104" s="19">
        <v>1</v>
      </c>
      <c r="X104" s="19">
        <v>0</v>
      </c>
      <c r="Z104" s="6" t="str">
        <f t="shared" ref="Z104:AA104" si="225">D56</f>
        <v>Ship.getLeftMostPos</v>
      </c>
      <c r="AA104" s="27">
        <f t="shared" si="225"/>
        <v>3</v>
      </c>
      <c r="AB104" s="27">
        <f t="shared" si="218"/>
        <v>0</v>
      </c>
      <c r="AC104" s="27">
        <f t="shared" si="219"/>
        <v>19</v>
      </c>
      <c r="AD104" s="28">
        <f t="shared" ref="AD104:AF104" si="226">(AA104-MIN(AA$6:AA$236))/(MAX(AA$6:AA$236)-MIN(AA$6:AA$236))</f>
        <v>5.5555555555555552E-2</v>
      </c>
      <c r="AE104" s="28">
        <f t="shared" si="226"/>
        <v>0</v>
      </c>
      <c r="AF104" s="28">
        <f t="shared" si="226"/>
        <v>0.14615384615384616</v>
      </c>
      <c r="AG104" s="29">
        <f t="shared" si="4"/>
        <v>0.20170940170940171</v>
      </c>
    </row>
    <row r="105" spans="1:33" ht="15.75" customHeight="1" x14ac:dyDescent="0.3">
      <c r="A105" s="12" t="s">
        <v>50</v>
      </c>
      <c r="B105" s="12" t="s">
        <v>194</v>
      </c>
      <c r="C105" s="12" t="s">
        <v>440</v>
      </c>
      <c r="D105" s="14" t="s">
        <v>441</v>
      </c>
      <c r="E105" s="23">
        <v>1</v>
      </c>
      <c r="F105" s="23">
        <v>9</v>
      </c>
      <c r="G105" s="23">
        <v>0</v>
      </c>
      <c r="H105" s="23">
        <v>0</v>
      </c>
      <c r="I105" s="23">
        <v>0</v>
      </c>
      <c r="J105" s="22">
        <v>0</v>
      </c>
      <c r="K105" s="23">
        <v>0</v>
      </c>
      <c r="L105" s="23">
        <v>0</v>
      </c>
      <c r="M105" s="22">
        <v>1.5</v>
      </c>
      <c r="N105" s="24">
        <v>12</v>
      </c>
      <c r="O105" s="22">
        <v>1.6999999999999999E-3</v>
      </c>
      <c r="P105" s="23">
        <v>4</v>
      </c>
      <c r="Q105" s="23">
        <v>4</v>
      </c>
      <c r="R105" s="22">
        <v>8</v>
      </c>
      <c r="S105" s="22">
        <v>1</v>
      </c>
      <c r="T105" s="23">
        <v>0</v>
      </c>
      <c r="U105" s="22">
        <v>72.860699999999994</v>
      </c>
      <c r="V105" s="23">
        <v>0</v>
      </c>
      <c r="W105" s="23">
        <v>1</v>
      </c>
      <c r="X105" s="23">
        <v>0</v>
      </c>
      <c r="Z105" s="12" t="str">
        <f t="shared" ref="Z105:AA105" si="227">D57</f>
        <v>Ship.getRightMostPos</v>
      </c>
      <c r="AA105" s="30">
        <f t="shared" si="227"/>
        <v>3</v>
      </c>
      <c r="AB105" s="30">
        <f t="shared" si="218"/>
        <v>0</v>
      </c>
      <c r="AC105" s="30">
        <f t="shared" si="219"/>
        <v>19</v>
      </c>
      <c r="AD105" s="31">
        <f t="shared" ref="AD105:AF105" si="228">(AA105-MIN(AA$6:AA$236))/(MAX(AA$6:AA$236)-MIN(AA$6:AA$236))</f>
        <v>5.5555555555555552E-2</v>
      </c>
      <c r="AE105" s="31">
        <f t="shared" si="228"/>
        <v>0</v>
      </c>
      <c r="AF105" s="31">
        <f t="shared" si="228"/>
        <v>0.14615384615384616</v>
      </c>
      <c r="AG105" s="32">
        <f t="shared" si="4"/>
        <v>0.20170940170940171</v>
      </c>
    </row>
    <row r="106" spans="1:33" ht="15.75" customHeight="1" x14ac:dyDescent="0.3">
      <c r="A106" s="6" t="s">
        <v>50</v>
      </c>
      <c r="B106" s="6" t="s">
        <v>195</v>
      </c>
      <c r="C106" s="6" t="s">
        <v>442</v>
      </c>
      <c r="D106" s="8" t="s">
        <v>443</v>
      </c>
      <c r="E106" s="19">
        <v>1</v>
      </c>
      <c r="F106" s="19">
        <v>9</v>
      </c>
      <c r="G106" s="19">
        <v>0</v>
      </c>
      <c r="H106" s="19">
        <v>0</v>
      </c>
      <c r="I106" s="19">
        <v>0</v>
      </c>
      <c r="J106" s="20">
        <v>0</v>
      </c>
      <c r="K106" s="19">
        <v>0</v>
      </c>
      <c r="L106" s="19">
        <v>0</v>
      </c>
      <c r="M106" s="20">
        <v>1</v>
      </c>
      <c r="N106" s="21">
        <v>4.7549000000000001</v>
      </c>
      <c r="O106" s="20">
        <v>8.9999999999999998E-4</v>
      </c>
      <c r="P106" s="19">
        <v>3</v>
      </c>
      <c r="Q106" s="19">
        <v>3</v>
      </c>
      <c r="R106" s="20">
        <v>4.7549000000000001</v>
      </c>
      <c r="S106" s="20">
        <v>1</v>
      </c>
      <c r="T106" s="19">
        <v>0</v>
      </c>
      <c r="U106" s="20">
        <v>74.968599999999995</v>
      </c>
      <c r="V106" s="19">
        <v>0</v>
      </c>
      <c r="W106" s="19">
        <v>1</v>
      </c>
      <c r="X106" s="19">
        <v>0</v>
      </c>
      <c r="Z106" s="6" t="str">
        <f t="shared" ref="Z106:AA106" si="229">D58</f>
        <v>Ship.getTopMostPos</v>
      </c>
      <c r="AA106" s="27">
        <f t="shared" si="229"/>
        <v>3</v>
      </c>
      <c r="AB106" s="27">
        <f t="shared" si="218"/>
        <v>0</v>
      </c>
      <c r="AC106" s="27">
        <f t="shared" si="219"/>
        <v>19</v>
      </c>
      <c r="AD106" s="28">
        <f t="shared" ref="AD106:AF106" si="230">(AA106-MIN(AA$6:AA$236))/(MAX(AA$6:AA$236)-MIN(AA$6:AA$236))</f>
        <v>5.5555555555555552E-2</v>
      </c>
      <c r="AE106" s="28">
        <f t="shared" si="230"/>
        <v>0</v>
      </c>
      <c r="AF106" s="28">
        <f t="shared" si="230"/>
        <v>0.14615384615384616</v>
      </c>
      <c r="AG106" s="29">
        <f t="shared" si="4"/>
        <v>0.20170940170940171</v>
      </c>
    </row>
    <row r="107" spans="1:33" ht="15.75" customHeight="1" x14ac:dyDescent="0.3">
      <c r="A107" s="12" t="s">
        <v>50</v>
      </c>
      <c r="B107" s="12" t="s">
        <v>195</v>
      </c>
      <c r="C107" s="12" t="s">
        <v>444</v>
      </c>
      <c r="D107" s="14" t="s">
        <v>445</v>
      </c>
      <c r="E107" s="23">
        <v>1</v>
      </c>
      <c r="F107" s="23">
        <v>9</v>
      </c>
      <c r="G107" s="23">
        <v>0</v>
      </c>
      <c r="H107" s="23">
        <v>0</v>
      </c>
      <c r="I107" s="23">
        <v>0</v>
      </c>
      <c r="J107" s="22">
        <v>0</v>
      </c>
      <c r="K107" s="23">
        <v>0</v>
      </c>
      <c r="L107" s="23">
        <v>0</v>
      </c>
      <c r="M107" s="22">
        <v>1</v>
      </c>
      <c r="N107" s="24">
        <v>4.7549000000000001</v>
      </c>
      <c r="O107" s="22">
        <v>8.9999999999999998E-4</v>
      </c>
      <c r="P107" s="23">
        <v>3</v>
      </c>
      <c r="Q107" s="23">
        <v>3</v>
      </c>
      <c r="R107" s="22">
        <v>4.7549000000000001</v>
      </c>
      <c r="S107" s="22">
        <v>1</v>
      </c>
      <c r="T107" s="23">
        <v>0</v>
      </c>
      <c r="U107" s="22">
        <v>74.968599999999995</v>
      </c>
      <c r="V107" s="23">
        <v>0</v>
      </c>
      <c r="W107" s="23">
        <v>1</v>
      </c>
      <c r="X107" s="23">
        <v>0</v>
      </c>
      <c r="Z107" s="12" t="str">
        <f t="shared" ref="Z107:AA107" si="231">D175</f>
        <v>CellState.valueOf</v>
      </c>
      <c r="AA107" s="30">
        <f t="shared" si="231"/>
        <v>1</v>
      </c>
      <c r="AB107" s="30">
        <f>G175</f>
        <v>1</v>
      </c>
      <c r="AC107" s="30">
        <f>F175</f>
        <v>0</v>
      </c>
      <c r="AD107" s="31">
        <f t="shared" ref="AD107:AF107" si="232">(AA107-MIN(AA$6:AA$236))/(MAX(AA$6:AA$236)-MIN(AA$6:AA$236))</f>
        <v>0</v>
      </c>
      <c r="AE107" s="31">
        <f t="shared" si="232"/>
        <v>0.2</v>
      </c>
      <c r="AF107" s="31">
        <f t="shared" si="232"/>
        <v>0</v>
      </c>
      <c r="AG107" s="32">
        <f t="shared" si="4"/>
        <v>0.2</v>
      </c>
    </row>
    <row r="108" spans="1:33" ht="15.75" customHeight="1" x14ac:dyDescent="0.3">
      <c r="A108" s="6" t="s">
        <v>95</v>
      </c>
      <c r="B108" s="6" t="s">
        <v>212</v>
      </c>
      <c r="C108" s="6" t="s">
        <v>447</v>
      </c>
      <c r="D108" s="8" t="s">
        <v>448</v>
      </c>
      <c r="E108" s="19">
        <v>1</v>
      </c>
      <c r="F108" s="19">
        <v>9</v>
      </c>
      <c r="G108" s="19">
        <v>3</v>
      </c>
      <c r="H108" s="19">
        <v>0</v>
      </c>
      <c r="I108" s="19">
        <v>0</v>
      </c>
      <c r="J108" s="20">
        <v>1</v>
      </c>
      <c r="K108" s="19">
        <v>1</v>
      </c>
      <c r="L108" s="19">
        <v>1</v>
      </c>
      <c r="M108" s="20">
        <v>2</v>
      </c>
      <c r="N108" s="21">
        <v>188.02330000000001</v>
      </c>
      <c r="O108" s="20">
        <v>1.09E-2</v>
      </c>
      <c r="P108" s="19">
        <v>23</v>
      </c>
      <c r="Q108" s="19">
        <v>17</v>
      </c>
      <c r="R108" s="20">
        <v>94.011600000000001</v>
      </c>
      <c r="S108" s="20">
        <v>0.875</v>
      </c>
      <c r="T108" s="19">
        <v>0</v>
      </c>
      <c r="U108" s="20">
        <v>65.368300000000005</v>
      </c>
      <c r="V108" s="19">
        <v>0</v>
      </c>
      <c r="W108" s="19">
        <v>11</v>
      </c>
      <c r="X108" s="19">
        <v>0</v>
      </c>
      <c r="Z108" s="6" t="str">
        <f t="shared" ref="Z108:AA108" si="233">D177</f>
        <v>Compass.valueOf</v>
      </c>
      <c r="AA108" s="27">
        <f t="shared" si="233"/>
        <v>1</v>
      </c>
      <c r="AB108" s="27">
        <f>G177</f>
        <v>1</v>
      </c>
      <c r="AC108" s="27">
        <f>F177</f>
        <v>0</v>
      </c>
      <c r="AD108" s="28">
        <f t="shared" ref="AD108:AF108" si="234">(AA108-MIN(AA$6:AA$236))/(MAX(AA$6:AA$236)-MIN(AA$6:AA$236))</f>
        <v>0</v>
      </c>
      <c r="AE108" s="28">
        <f t="shared" si="234"/>
        <v>0.2</v>
      </c>
      <c r="AF108" s="28">
        <f t="shared" si="234"/>
        <v>0</v>
      </c>
      <c r="AG108" s="29">
        <f t="shared" si="4"/>
        <v>0.2</v>
      </c>
    </row>
    <row r="109" spans="1:33" ht="15.75" customHeight="1" x14ac:dyDescent="0.3">
      <c r="A109" s="12" t="s">
        <v>50</v>
      </c>
      <c r="B109" s="12" t="s">
        <v>192</v>
      </c>
      <c r="C109" s="12" t="s">
        <v>229</v>
      </c>
      <c r="D109" s="14" t="s">
        <v>450</v>
      </c>
      <c r="E109" s="23">
        <v>1</v>
      </c>
      <c r="F109" s="23">
        <v>8</v>
      </c>
      <c r="G109" s="23">
        <v>0</v>
      </c>
      <c r="H109" s="23">
        <v>0</v>
      </c>
      <c r="I109" s="23">
        <v>0</v>
      </c>
      <c r="J109" s="22">
        <v>1</v>
      </c>
      <c r="K109" s="23">
        <v>1</v>
      </c>
      <c r="L109" s="23">
        <v>0</v>
      </c>
      <c r="M109" s="22">
        <v>1.5</v>
      </c>
      <c r="N109" s="24">
        <v>62.269799999999996</v>
      </c>
      <c r="O109" s="22">
        <v>5.1999999999999998E-3</v>
      </c>
      <c r="P109" s="23">
        <v>12</v>
      </c>
      <c r="Q109" s="23">
        <v>11</v>
      </c>
      <c r="R109" s="22">
        <v>41.513199999999998</v>
      </c>
      <c r="S109" s="22">
        <v>1</v>
      </c>
      <c r="T109" s="23">
        <v>0</v>
      </c>
      <c r="U109" s="22">
        <v>69.007300000000001</v>
      </c>
      <c r="V109" s="23">
        <v>0</v>
      </c>
      <c r="W109" s="23">
        <v>3</v>
      </c>
      <c r="X109" s="23">
        <v>0</v>
      </c>
      <c r="Z109" s="12" t="str">
        <f t="shared" ref="Z109:AA109" si="235">D179</f>
        <v>IFleet.addShip</v>
      </c>
      <c r="AA109" s="30">
        <f t="shared" si="235"/>
        <v>1</v>
      </c>
      <c r="AB109" s="30">
        <f>G179</f>
        <v>1</v>
      </c>
      <c r="AC109" s="30">
        <f>F179</f>
        <v>0</v>
      </c>
      <c r="AD109" s="31">
        <f t="shared" ref="AD109:AF109" si="236">(AA109-MIN(AA$6:AA$236))/(MAX(AA$6:AA$236)-MIN(AA$6:AA$236))</f>
        <v>0</v>
      </c>
      <c r="AE109" s="31">
        <f t="shared" si="236"/>
        <v>0.2</v>
      </c>
      <c r="AF109" s="31">
        <f t="shared" si="236"/>
        <v>0</v>
      </c>
      <c r="AG109" s="32">
        <f t="shared" si="4"/>
        <v>0.2</v>
      </c>
    </row>
    <row r="110" spans="1:33" ht="15.75" customHeight="1" x14ac:dyDescent="0.3">
      <c r="A110" s="6" t="s">
        <v>50</v>
      </c>
      <c r="B110" s="6" t="s">
        <v>194</v>
      </c>
      <c r="C110" s="6" t="s">
        <v>453</v>
      </c>
      <c r="D110" s="8" t="s">
        <v>454</v>
      </c>
      <c r="E110" s="19">
        <v>1</v>
      </c>
      <c r="F110" s="19">
        <v>8</v>
      </c>
      <c r="G110" s="19">
        <v>0</v>
      </c>
      <c r="H110" s="19">
        <v>0</v>
      </c>
      <c r="I110" s="19">
        <v>0</v>
      </c>
      <c r="J110" s="20">
        <v>0</v>
      </c>
      <c r="K110" s="19">
        <v>0</v>
      </c>
      <c r="L110" s="19">
        <v>0</v>
      </c>
      <c r="M110" s="20">
        <v>2</v>
      </c>
      <c r="N110" s="21">
        <v>31.019600000000001</v>
      </c>
      <c r="O110" s="20">
        <v>3.3E-3</v>
      </c>
      <c r="P110" s="19">
        <v>6</v>
      </c>
      <c r="Q110" s="19">
        <v>6</v>
      </c>
      <c r="R110" s="20">
        <v>15.5098</v>
      </c>
      <c r="S110" s="20">
        <v>1</v>
      </c>
      <c r="T110" s="19">
        <v>0</v>
      </c>
      <c r="U110" s="20">
        <v>72.064999999999998</v>
      </c>
      <c r="V110" s="19">
        <v>0</v>
      </c>
      <c r="W110" s="19">
        <v>1</v>
      </c>
      <c r="X110" s="19">
        <v>0</v>
      </c>
      <c r="Z110" s="6" t="str">
        <f t="shared" ref="Z110:AA110" si="237">D182</f>
        <v>IFleet.getShipsLike</v>
      </c>
      <c r="AA110" s="27">
        <f t="shared" si="237"/>
        <v>1</v>
      </c>
      <c r="AB110" s="27">
        <f>G182</f>
        <v>1</v>
      </c>
      <c r="AC110" s="27">
        <f>F182</f>
        <v>0</v>
      </c>
      <c r="AD110" s="28">
        <f t="shared" ref="AD110:AF110" si="238">(AA110-MIN(AA$6:AA$236))/(MAX(AA$6:AA$236)-MIN(AA$6:AA$236))</f>
        <v>0</v>
      </c>
      <c r="AE110" s="28">
        <f t="shared" si="238"/>
        <v>0.2</v>
      </c>
      <c r="AF110" s="28">
        <f t="shared" si="238"/>
        <v>0</v>
      </c>
      <c r="AG110" s="29">
        <f t="shared" si="4"/>
        <v>0.2</v>
      </c>
    </row>
    <row r="111" spans="1:33" ht="15.75" customHeight="1" x14ac:dyDescent="0.3">
      <c r="A111" s="12" t="s">
        <v>50</v>
      </c>
      <c r="B111" s="12" t="s">
        <v>194</v>
      </c>
      <c r="C111" s="12" t="s">
        <v>456</v>
      </c>
      <c r="D111" s="14" t="s">
        <v>457</v>
      </c>
      <c r="E111" s="23">
        <v>1</v>
      </c>
      <c r="F111" s="23">
        <v>8</v>
      </c>
      <c r="G111" s="23">
        <v>0</v>
      </c>
      <c r="H111" s="23">
        <v>0</v>
      </c>
      <c r="I111" s="23">
        <v>0</v>
      </c>
      <c r="J111" s="22">
        <v>0</v>
      </c>
      <c r="K111" s="23">
        <v>0</v>
      </c>
      <c r="L111" s="23">
        <v>0</v>
      </c>
      <c r="M111" s="22">
        <v>2</v>
      </c>
      <c r="N111" s="24">
        <v>36.189500000000002</v>
      </c>
      <c r="O111" s="22">
        <v>3.5999999999999999E-3</v>
      </c>
      <c r="P111" s="23">
        <v>7</v>
      </c>
      <c r="Q111" s="23">
        <v>6</v>
      </c>
      <c r="R111" s="22">
        <v>18.0947</v>
      </c>
      <c r="S111" s="22">
        <v>1</v>
      </c>
      <c r="T111" s="23">
        <v>0</v>
      </c>
      <c r="U111" s="22">
        <v>71.510599999999997</v>
      </c>
      <c r="V111" s="23">
        <v>0</v>
      </c>
      <c r="W111" s="23">
        <v>1</v>
      </c>
      <c r="X111" s="23">
        <v>0</v>
      </c>
      <c r="Z111" s="12" t="str">
        <f t="shared" ref="Z111:AA111" si="239">D185</f>
        <v>IFleet.shipAt</v>
      </c>
      <c r="AA111" s="30">
        <f t="shared" si="239"/>
        <v>1</v>
      </c>
      <c r="AB111" s="30">
        <f t="shared" ref="AB111:AB112" si="240">G185</f>
        <v>1</v>
      </c>
      <c r="AC111" s="30">
        <f t="shared" ref="AC111:AC112" si="241">F185</f>
        <v>0</v>
      </c>
      <c r="AD111" s="31">
        <f t="shared" ref="AD111:AF111" si="242">(AA111-MIN(AA$6:AA$236))/(MAX(AA$6:AA$236)-MIN(AA$6:AA$236))</f>
        <v>0</v>
      </c>
      <c r="AE111" s="31">
        <f t="shared" si="242"/>
        <v>0.2</v>
      </c>
      <c r="AF111" s="31">
        <f t="shared" si="242"/>
        <v>0</v>
      </c>
      <c r="AG111" s="32">
        <f t="shared" si="4"/>
        <v>0.2</v>
      </c>
    </row>
    <row r="112" spans="1:33" ht="15.75" customHeight="1" x14ac:dyDescent="0.3">
      <c r="A112" s="6" t="s">
        <v>50</v>
      </c>
      <c r="B112" s="6" t="s">
        <v>196</v>
      </c>
      <c r="C112" s="6" t="s">
        <v>459</v>
      </c>
      <c r="D112" s="8" t="s">
        <v>460</v>
      </c>
      <c r="E112" s="19">
        <v>1</v>
      </c>
      <c r="F112" s="19">
        <v>8</v>
      </c>
      <c r="G112" s="19">
        <v>1</v>
      </c>
      <c r="H112" s="19">
        <v>0</v>
      </c>
      <c r="I112" s="19">
        <v>0</v>
      </c>
      <c r="J112" s="20">
        <v>0.8</v>
      </c>
      <c r="K112" s="19">
        <v>4</v>
      </c>
      <c r="L112" s="19">
        <v>0</v>
      </c>
      <c r="M112" s="20">
        <v>7.8571</v>
      </c>
      <c r="N112" s="21">
        <v>720.80129999999997</v>
      </c>
      <c r="O112" s="20">
        <v>2.6800000000000001E-2</v>
      </c>
      <c r="P112" s="19">
        <v>22</v>
      </c>
      <c r="Q112" s="19">
        <v>18</v>
      </c>
      <c r="R112" s="20">
        <v>91.738399999999999</v>
      </c>
      <c r="S112" s="20">
        <v>0</v>
      </c>
      <c r="T112" s="19">
        <v>0</v>
      </c>
      <c r="U112" s="20">
        <v>66.582800000000006</v>
      </c>
      <c r="V112" s="19">
        <v>0</v>
      </c>
      <c r="W112" s="19">
        <v>5</v>
      </c>
      <c r="X112" s="19">
        <v>0</v>
      </c>
      <c r="Z112" s="6" t="str">
        <f t="shared" ref="Z112:AA112" si="243">D186</f>
        <v>IGame.fireShots</v>
      </c>
      <c r="AA112" s="27">
        <f t="shared" si="243"/>
        <v>1</v>
      </c>
      <c r="AB112" s="27">
        <f t="shared" si="240"/>
        <v>1</v>
      </c>
      <c r="AC112" s="27">
        <f t="shared" si="241"/>
        <v>0</v>
      </c>
      <c r="AD112" s="28">
        <f t="shared" ref="AD112:AF112" si="244">(AA112-MIN(AA$6:AA$236))/(MAX(AA$6:AA$236)-MIN(AA$6:AA$236))</f>
        <v>0</v>
      </c>
      <c r="AE112" s="28">
        <f t="shared" si="244"/>
        <v>0.2</v>
      </c>
      <c r="AF112" s="28">
        <f t="shared" si="244"/>
        <v>0</v>
      </c>
      <c r="AG112" s="29">
        <f t="shared" si="4"/>
        <v>0.2</v>
      </c>
    </row>
    <row r="113" spans="1:33" ht="15.75" customHeight="1" x14ac:dyDescent="0.3">
      <c r="A113" s="12" t="s">
        <v>50</v>
      </c>
      <c r="B113" s="12" t="s">
        <v>175</v>
      </c>
      <c r="C113" s="12" t="s">
        <v>240</v>
      </c>
      <c r="D113" s="14" t="s">
        <v>462</v>
      </c>
      <c r="E113" s="23">
        <v>1</v>
      </c>
      <c r="F113" s="23">
        <v>7</v>
      </c>
      <c r="G113" s="23">
        <v>0</v>
      </c>
      <c r="H113" s="23">
        <v>0</v>
      </c>
      <c r="I113" s="23">
        <v>0</v>
      </c>
      <c r="J113" s="22">
        <v>0</v>
      </c>
      <c r="K113" s="23">
        <v>0</v>
      </c>
      <c r="L113" s="23">
        <v>0</v>
      </c>
      <c r="M113" s="22">
        <v>1</v>
      </c>
      <c r="N113" s="24">
        <v>4.7549000000000001</v>
      </c>
      <c r="O113" s="22">
        <v>8.9999999999999998E-4</v>
      </c>
      <c r="P113" s="23">
        <v>3</v>
      </c>
      <c r="Q113" s="23">
        <v>3</v>
      </c>
      <c r="R113" s="22">
        <v>4.7549000000000001</v>
      </c>
      <c r="S113" s="22">
        <v>1</v>
      </c>
      <c r="T113" s="23">
        <v>0</v>
      </c>
      <c r="U113" s="22">
        <v>77.349400000000003</v>
      </c>
      <c r="V113" s="23">
        <v>0</v>
      </c>
      <c r="W113" s="23">
        <v>1</v>
      </c>
      <c r="X113" s="23">
        <v>0</v>
      </c>
      <c r="Z113" s="12" t="str">
        <f t="shared" ref="Z113:AA113" si="245">D201</f>
        <v>IGame.readEnemyFire</v>
      </c>
      <c r="AA113" s="30">
        <f t="shared" si="245"/>
        <v>1</v>
      </c>
      <c r="AB113" s="30">
        <f>G201</f>
        <v>1</v>
      </c>
      <c r="AC113" s="30">
        <f>F201</f>
        <v>0</v>
      </c>
      <c r="AD113" s="31">
        <f t="shared" ref="AD113:AF113" si="246">(AA113-MIN(AA$6:AA$236))/(MAX(AA$6:AA$236)-MIN(AA$6:AA$236))</f>
        <v>0</v>
      </c>
      <c r="AE113" s="31">
        <f t="shared" si="246"/>
        <v>0.2</v>
      </c>
      <c r="AF113" s="31">
        <f t="shared" si="246"/>
        <v>0</v>
      </c>
      <c r="AG113" s="32">
        <f t="shared" si="4"/>
        <v>0.2</v>
      </c>
    </row>
    <row r="114" spans="1:33" ht="15.75" customHeight="1" x14ac:dyDescent="0.3">
      <c r="A114" s="6" t="s">
        <v>50</v>
      </c>
      <c r="B114" s="6" t="s">
        <v>175</v>
      </c>
      <c r="C114" s="6" t="s">
        <v>262</v>
      </c>
      <c r="D114" s="8" t="s">
        <v>464</v>
      </c>
      <c r="E114" s="19">
        <v>1</v>
      </c>
      <c r="F114" s="19">
        <v>7</v>
      </c>
      <c r="G114" s="19">
        <v>0</v>
      </c>
      <c r="H114" s="19">
        <v>0</v>
      </c>
      <c r="I114" s="19">
        <v>0</v>
      </c>
      <c r="J114" s="20">
        <v>0</v>
      </c>
      <c r="K114" s="19">
        <v>0</v>
      </c>
      <c r="L114" s="19">
        <v>0</v>
      </c>
      <c r="M114" s="20">
        <v>1</v>
      </c>
      <c r="N114" s="21">
        <v>4.7549000000000001</v>
      </c>
      <c r="O114" s="20">
        <v>8.9999999999999998E-4</v>
      </c>
      <c r="P114" s="19">
        <v>3</v>
      </c>
      <c r="Q114" s="19">
        <v>3</v>
      </c>
      <c r="R114" s="20">
        <v>4.7549000000000001</v>
      </c>
      <c r="S114" s="20">
        <v>1</v>
      </c>
      <c r="T114" s="19">
        <v>0</v>
      </c>
      <c r="U114" s="20">
        <v>77.349400000000003</v>
      </c>
      <c r="V114" s="19">
        <v>0</v>
      </c>
      <c r="W114" s="19">
        <v>1</v>
      </c>
      <c r="X114" s="19">
        <v>0</v>
      </c>
      <c r="Z114" s="6" t="str">
        <f t="shared" ref="Z114:AA114" si="247">D206</f>
        <v>IMove.processEnemyFire</v>
      </c>
      <c r="AA114" s="27">
        <f t="shared" si="247"/>
        <v>1</v>
      </c>
      <c r="AB114" s="27">
        <f>G206</f>
        <v>1</v>
      </c>
      <c r="AC114" s="27">
        <f>F206</f>
        <v>0</v>
      </c>
      <c r="AD114" s="28">
        <f t="shared" ref="AD114:AF114" si="248">(AA114-MIN(AA$6:AA$236))/(MAX(AA$6:AA$236)-MIN(AA$6:AA$236))</f>
        <v>0</v>
      </c>
      <c r="AE114" s="28">
        <f t="shared" si="248"/>
        <v>0.2</v>
      </c>
      <c r="AF114" s="28">
        <f t="shared" si="248"/>
        <v>0</v>
      </c>
      <c r="AG114" s="29">
        <f t="shared" si="4"/>
        <v>0.2</v>
      </c>
    </row>
    <row r="115" spans="1:33" ht="15.75" customHeight="1" x14ac:dyDescent="0.3">
      <c r="A115" s="12" t="s">
        <v>50</v>
      </c>
      <c r="B115" s="12" t="s">
        <v>175</v>
      </c>
      <c r="C115" s="12" t="s">
        <v>265</v>
      </c>
      <c r="D115" s="14" t="s">
        <v>465</v>
      </c>
      <c r="E115" s="23">
        <v>1</v>
      </c>
      <c r="F115" s="23">
        <v>7</v>
      </c>
      <c r="G115" s="23">
        <v>0</v>
      </c>
      <c r="H115" s="23">
        <v>0</v>
      </c>
      <c r="I115" s="23">
        <v>0</v>
      </c>
      <c r="J115" s="22">
        <v>0</v>
      </c>
      <c r="K115" s="23">
        <v>0</v>
      </c>
      <c r="L115" s="23">
        <v>0</v>
      </c>
      <c r="M115" s="22">
        <v>0</v>
      </c>
      <c r="N115" s="24">
        <v>0</v>
      </c>
      <c r="O115" s="22">
        <v>0</v>
      </c>
      <c r="P115" s="23">
        <v>4</v>
      </c>
      <c r="Q115" s="23">
        <v>4</v>
      </c>
      <c r="R115" s="22">
        <v>8</v>
      </c>
      <c r="S115" s="22">
        <v>0</v>
      </c>
      <c r="T115" s="23">
        <v>0</v>
      </c>
      <c r="U115" s="22">
        <v>75.241600000000005</v>
      </c>
      <c r="V115" s="23">
        <v>0</v>
      </c>
      <c r="W115" s="23">
        <v>0</v>
      </c>
      <c r="X115" s="23">
        <v>0</v>
      </c>
      <c r="Z115" s="12" t="str">
        <f t="shared" ref="Z115:AA115" si="249">D209</f>
        <v>IPosition.equals</v>
      </c>
      <c r="AA115" s="30">
        <f t="shared" si="249"/>
        <v>1</v>
      </c>
      <c r="AB115" s="30">
        <f>G209</f>
        <v>1</v>
      </c>
      <c r="AC115" s="30">
        <f>F209</f>
        <v>0</v>
      </c>
      <c r="AD115" s="31">
        <f t="shared" ref="AD115:AF115" si="250">(AA115-MIN(AA$6:AA$236))/(MAX(AA$6:AA$236)-MIN(AA$6:AA$236))</f>
        <v>0</v>
      </c>
      <c r="AE115" s="31">
        <f t="shared" si="250"/>
        <v>0.2</v>
      </c>
      <c r="AF115" s="31">
        <f t="shared" si="250"/>
        <v>0</v>
      </c>
      <c r="AG115" s="32">
        <f t="shared" si="4"/>
        <v>0.2</v>
      </c>
    </row>
    <row r="116" spans="1:33" ht="15.75" customHeight="1" x14ac:dyDescent="0.3">
      <c r="A116" s="6" t="s">
        <v>50</v>
      </c>
      <c r="B116" s="6" t="s">
        <v>194</v>
      </c>
      <c r="C116" s="6" t="s">
        <v>466</v>
      </c>
      <c r="D116" s="8" t="s">
        <v>467</v>
      </c>
      <c r="E116" s="19">
        <v>1</v>
      </c>
      <c r="F116" s="19">
        <v>7</v>
      </c>
      <c r="G116" s="19">
        <v>0</v>
      </c>
      <c r="H116" s="19">
        <v>0</v>
      </c>
      <c r="I116" s="19">
        <v>0</v>
      </c>
      <c r="J116" s="20">
        <v>0</v>
      </c>
      <c r="K116" s="19">
        <v>0</v>
      </c>
      <c r="L116" s="19">
        <v>0</v>
      </c>
      <c r="M116" s="20">
        <v>1</v>
      </c>
      <c r="N116" s="21">
        <v>8</v>
      </c>
      <c r="O116" s="20">
        <v>1.2999999999999999E-3</v>
      </c>
      <c r="P116" s="19">
        <v>4</v>
      </c>
      <c r="Q116" s="19">
        <v>4</v>
      </c>
      <c r="R116" s="20">
        <v>8</v>
      </c>
      <c r="S116" s="20">
        <v>1</v>
      </c>
      <c r="T116" s="19">
        <v>0</v>
      </c>
      <c r="U116" s="20">
        <v>75.241600000000005</v>
      </c>
      <c r="V116" s="19">
        <v>0</v>
      </c>
      <c r="W116" s="19">
        <v>1</v>
      </c>
      <c r="X116" s="19">
        <v>0</v>
      </c>
      <c r="Z116" s="6" t="str">
        <f t="shared" ref="Z116:AA116" si="251">D214</f>
        <v>IPosition.isAdjacentTo</v>
      </c>
      <c r="AA116" s="27">
        <f t="shared" si="251"/>
        <v>1</v>
      </c>
      <c r="AB116" s="27">
        <f>G214</f>
        <v>1</v>
      </c>
      <c r="AC116" s="27">
        <f>F214</f>
        <v>0</v>
      </c>
      <c r="AD116" s="28">
        <f t="shared" ref="AD116:AF116" si="252">(AA116-MIN(AA$6:AA$236))/(MAX(AA$6:AA$236)-MIN(AA$6:AA$236))</f>
        <v>0</v>
      </c>
      <c r="AE116" s="28">
        <f t="shared" si="252"/>
        <v>0.2</v>
      </c>
      <c r="AF116" s="28">
        <f t="shared" si="252"/>
        <v>0</v>
      </c>
      <c r="AG116" s="29">
        <f t="shared" si="4"/>
        <v>0.2</v>
      </c>
    </row>
    <row r="117" spans="1:33" ht="15.75" customHeight="1" x14ac:dyDescent="0.3">
      <c r="A117" s="12" t="s">
        <v>50</v>
      </c>
      <c r="B117" s="12" t="s">
        <v>194</v>
      </c>
      <c r="C117" s="12" t="s">
        <v>468</v>
      </c>
      <c r="D117" s="14" t="s">
        <v>469</v>
      </c>
      <c r="E117" s="23">
        <v>1</v>
      </c>
      <c r="F117" s="23">
        <v>7</v>
      </c>
      <c r="G117" s="23">
        <v>0</v>
      </c>
      <c r="H117" s="23">
        <v>0</v>
      </c>
      <c r="I117" s="23">
        <v>0</v>
      </c>
      <c r="J117" s="22">
        <v>1</v>
      </c>
      <c r="K117" s="23">
        <v>1</v>
      </c>
      <c r="L117" s="23">
        <v>1</v>
      </c>
      <c r="M117" s="22">
        <v>4.6666999999999996</v>
      </c>
      <c r="N117" s="24">
        <v>248.03729999999999</v>
      </c>
      <c r="O117" s="22">
        <v>1.32E-2</v>
      </c>
      <c r="P117" s="23">
        <v>16</v>
      </c>
      <c r="Q117" s="23">
        <v>10</v>
      </c>
      <c r="R117" s="22">
        <v>53.150799999999997</v>
      </c>
      <c r="S117" s="22">
        <v>0</v>
      </c>
      <c r="T117" s="23">
        <v>0</v>
      </c>
      <c r="U117" s="22">
        <v>69.491699999999994</v>
      </c>
      <c r="V117" s="23">
        <v>0</v>
      </c>
      <c r="W117" s="23">
        <v>3</v>
      </c>
      <c r="X117" s="23">
        <v>0</v>
      </c>
      <c r="Z117" s="12" t="str">
        <f t="shared" ref="Z117:AA117" si="253">D231</f>
        <v>IShip.occupies</v>
      </c>
      <c r="AA117" s="30">
        <f t="shared" si="253"/>
        <v>1</v>
      </c>
      <c r="AB117" s="30">
        <f t="shared" ref="AB117:AB118" si="254">G231</f>
        <v>1</v>
      </c>
      <c r="AC117" s="30">
        <f t="shared" ref="AC117:AC118" si="255">F231</f>
        <v>0</v>
      </c>
      <c r="AD117" s="31">
        <f t="shared" ref="AD117:AF117" si="256">(AA117-MIN(AA$6:AA$236))/(MAX(AA$6:AA$236)-MIN(AA$6:AA$236))</f>
        <v>0</v>
      </c>
      <c r="AE117" s="31">
        <f t="shared" si="256"/>
        <v>0.2</v>
      </c>
      <c r="AF117" s="31">
        <f t="shared" si="256"/>
        <v>0</v>
      </c>
      <c r="AG117" s="32">
        <f t="shared" si="4"/>
        <v>0.2</v>
      </c>
    </row>
    <row r="118" spans="1:33" ht="15.75" customHeight="1" x14ac:dyDescent="0.3">
      <c r="A118" s="6" t="s">
        <v>50</v>
      </c>
      <c r="B118" s="6" t="s">
        <v>194</v>
      </c>
      <c r="C118" s="6" t="s">
        <v>470</v>
      </c>
      <c r="D118" s="8" t="s">
        <v>471</v>
      </c>
      <c r="E118" s="19">
        <v>1</v>
      </c>
      <c r="F118" s="19">
        <v>7</v>
      </c>
      <c r="G118" s="19">
        <v>0</v>
      </c>
      <c r="H118" s="19">
        <v>0</v>
      </c>
      <c r="I118" s="19">
        <v>0</v>
      </c>
      <c r="J118" s="20">
        <v>0</v>
      </c>
      <c r="K118" s="19">
        <v>0</v>
      </c>
      <c r="L118" s="19">
        <v>0</v>
      </c>
      <c r="M118" s="20">
        <v>1</v>
      </c>
      <c r="N118" s="21">
        <v>8</v>
      </c>
      <c r="O118" s="20">
        <v>1.2999999999999999E-3</v>
      </c>
      <c r="P118" s="19">
        <v>4</v>
      </c>
      <c r="Q118" s="19">
        <v>4</v>
      </c>
      <c r="R118" s="20">
        <v>8</v>
      </c>
      <c r="S118" s="20">
        <v>1</v>
      </c>
      <c r="T118" s="19">
        <v>0</v>
      </c>
      <c r="U118" s="20">
        <v>75.241600000000005</v>
      </c>
      <c r="V118" s="19">
        <v>0</v>
      </c>
      <c r="W118" s="19">
        <v>1</v>
      </c>
      <c r="X118" s="19">
        <v>0</v>
      </c>
      <c r="Z118" s="6" t="str">
        <f t="shared" ref="Z118:AA118" si="257">D232</f>
        <v>IShip.shoot</v>
      </c>
      <c r="AA118" s="27">
        <f t="shared" si="257"/>
        <v>1</v>
      </c>
      <c r="AB118" s="27">
        <f t="shared" si="254"/>
        <v>1</v>
      </c>
      <c r="AC118" s="27">
        <f t="shared" si="255"/>
        <v>0</v>
      </c>
      <c r="AD118" s="28">
        <f t="shared" ref="AD118:AF118" si="258">(AA118-MIN(AA$6:AA$236))/(MAX(AA$6:AA$236)-MIN(AA$6:AA$236))</f>
        <v>0</v>
      </c>
      <c r="AE118" s="28">
        <f t="shared" si="258"/>
        <v>0.2</v>
      </c>
      <c r="AF118" s="28">
        <f t="shared" si="258"/>
        <v>0</v>
      </c>
      <c r="AG118" s="29">
        <f t="shared" si="4"/>
        <v>0.2</v>
      </c>
    </row>
    <row r="119" spans="1:33" ht="15.75" customHeight="1" x14ac:dyDescent="0.3">
      <c r="A119" s="12" t="s">
        <v>95</v>
      </c>
      <c r="B119" s="12" t="s">
        <v>210</v>
      </c>
      <c r="C119" s="12" t="s">
        <v>472</v>
      </c>
      <c r="D119" s="14" t="s">
        <v>473</v>
      </c>
      <c r="E119" s="23">
        <v>1</v>
      </c>
      <c r="F119" s="23">
        <v>7</v>
      </c>
      <c r="G119" s="23">
        <v>3</v>
      </c>
      <c r="H119" s="23">
        <v>0</v>
      </c>
      <c r="I119" s="23">
        <v>0</v>
      </c>
      <c r="J119" s="22">
        <v>0</v>
      </c>
      <c r="K119" s="23">
        <v>0</v>
      </c>
      <c r="L119" s="23">
        <v>0</v>
      </c>
      <c r="M119" s="22">
        <v>1</v>
      </c>
      <c r="N119" s="24">
        <v>30</v>
      </c>
      <c r="O119" s="22">
        <v>3.2000000000000002E-3</v>
      </c>
      <c r="P119" s="23">
        <v>10</v>
      </c>
      <c r="Q119" s="23">
        <v>8</v>
      </c>
      <c r="R119" s="22">
        <v>30</v>
      </c>
      <c r="S119" s="22">
        <v>1</v>
      </c>
      <c r="T119" s="23">
        <v>0</v>
      </c>
      <c r="U119" s="22">
        <v>71.222200000000001</v>
      </c>
      <c r="V119" s="23">
        <v>0</v>
      </c>
      <c r="W119" s="23">
        <v>6</v>
      </c>
      <c r="X119" s="23">
        <v>0</v>
      </c>
      <c r="Z119" s="12" t="str">
        <f t="shared" ref="Z119:AA119" si="259">D235</f>
        <v>IShip.tooCloseTo</v>
      </c>
      <c r="AA119" s="30">
        <f t="shared" si="259"/>
        <v>1</v>
      </c>
      <c r="AB119" s="30">
        <f t="shared" ref="AB119:AB120" si="260">G235</f>
        <v>1</v>
      </c>
      <c r="AC119" s="30">
        <f t="shared" ref="AC119:AC120" si="261">F235</f>
        <v>0</v>
      </c>
      <c r="AD119" s="31">
        <f t="shared" ref="AD119:AF119" si="262">(AA119-MIN(AA$6:AA$236))/(MAX(AA$6:AA$236)-MIN(AA$6:AA$236))</f>
        <v>0</v>
      </c>
      <c r="AE119" s="31">
        <f t="shared" si="262"/>
        <v>0.2</v>
      </c>
      <c r="AF119" s="31">
        <f t="shared" si="262"/>
        <v>0</v>
      </c>
      <c r="AG119" s="32">
        <f t="shared" si="4"/>
        <v>0.2</v>
      </c>
    </row>
    <row r="120" spans="1:33" ht="15.75" customHeight="1" x14ac:dyDescent="0.3">
      <c r="A120" s="6" t="s">
        <v>95</v>
      </c>
      <c r="B120" s="6" t="s">
        <v>211</v>
      </c>
      <c r="C120" s="6" t="s">
        <v>474</v>
      </c>
      <c r="D120" s="8" t="s">
        <v>475</v>
      </c>
      <c r="E120" s="19">
        <v>1</v>
      </c>
      <c r="F120" s="19">
        <v>7</v>
      </c>
      <c r="G120" s="19">
        <v>2</v>
      </c>
      <c r="H120" s="19">
        <v>0</v>
      </c>
      <c r="I120" s="19">
        <v>0</v>
      </c>
      <c r="J120" s="20">
        <v>0.66669999999999996</v>
      </c>
      <c r="K120" s="19">
        <v>3</v>
      </c>
      <c r="L120" s="19">
        <v>0</v>
      </c>
      <c r="M120" s="20">
        <v>4.2</v>
      </c>
      <c r="N120" s="21">
        <v>188.88499999999999</v>
      </c>
      <c r="O120" s="20">
        <v>1.0999999999999999E-2</v>
      </c>
      <c r="P120" s="19">
        <v>13</v>
      </c>
      <c r="Q120" s="19">
        <v>11</v>
      </c>
      <c r="R120" s="20">
        <v>44.9726</v>
      </c>
      <c r="S120" s="20">
        <v>1</v>
      </c>
      <c r="T120" s="19">
        <v>0</v>
      </c>
      <c r="U120" s="20">
        <v>70.057599999999994</v>
      </c>
      <c r="V120" s="19">
        <v>0</v>
      </c>
      <c r="W120" s="19">
        <v>5</v>
      </c>
      <c r="X120" s="19">
        <v>0</v>
      </c>
      <c r="Z120" s="6" t="str">
        <f t="shared" ref="Z120:AA120" si="263">D236</f>
        <v>IShip.tooCloseTo</v>
      </c>
      <c r="AA120" s="27">
        <f t="shared" si="263"/>
        <v>1</v>
      </c>
      <c r="AB120" s="27">
        <f t="shared" si="260"/>
        <v>1</v>
      </c>
      <c r="AC120" s="27">
        <f t="shared" si="261"/>
        <v>0</v>
      </c>
      <c r="AD120" s="28">
        <f t="shared" ref="AD120:AF120" si="264">(AA120-MIN(AA$6:AA$236))/(MAX(AA$6:AA$236)-MIN(AA$6:AA$236))</f>
        <v>0</v>
      </c>
      <c r="AE120" s="28">
        <f t="shared" si="264"/>
        <v>0.2</v>
      </c>
      <c r="AF120" s="28">
        <f t="shared" si="264"/>
        <v>0</v>
      </c>
      <c r="AG120" s="29">
        <f t="shared" si="4"/>
        <v>0.2</v>
      </c>
    </row>
    <row r="121" spans="1:33" ht="15.75" customHeight="1" x14ac:dyDescent="0.3">
      <c r="A121" s="12" t="s">
        <v>50</v>
      </c>
      <c r="B121" s="12" t="s">
        <v>172</v>
      </c>
      <c r="C121" s="12" t="s">
        <v>220</v>
      </c>
      <c r="D121" s="14" t="s">
        <v>476</v>
      </c>
      <c r="E121" s="23">
        <v>1</v>
      </c>
      <c r="F121" s="23">
        <v>6</v>
      </c>
      <c r="G121" s="23">
        <v>0</v>
      </c>
      <c r="H121" s="23">
        <v>0</v>
      </c>
      <c r="I121" s="23">
        <v>0</v>
      </c>
      <c r="J121" s="22">
        <v>0</v>
      </c>
      <c r="K121" s="23">
        <v>0</v>
      </c>
      <c r="L121" s="23">
        <v>0</v>
      </c>
      <c r="M121" s="22">
        <v>1.5</v>
      </c>
      <c r="N121" s="24">
        <v>12</v>
      </c>
      <c r="O121" s="22">
        <v>1.6999999999999999E-3</v>
      </c>
      <c r="P121" s="23">
        <v>4</v>
      </c>
      <c r="Q121" s="23">
        <v>4</v>
      </c>
      <c r="R121" s="22">
        <v>8</v>
      </c>
      <c r="S121" s="22">
        <v>1</v>
      </c>
      <c r="T121" s="23">
        <v>0</v>
      </c>
      <c r="U121" s="22">
        <v>76.701999999999998</v>
      </c>
      <c r="V121" s="23">
        <v>0</v>
      </c>
      <c r="W121" s="23">
        <v>1</v>
      </c>
      <c r="X121" s="23">
        <v>0</v>
      </c>
      <c r="Z121" s="12" t="str">
        <f t="shared" ref="Z121:AA121" si="265">D59</f>
        <v>Ship.stillFloating</v>
      </c>
      <c r="AA121" s="30">
        <f t="shared" si="265"/>
        <v>3</v>
      </c>
      <c r="AB121" s="30">
        <f>G59</f>
        <v>0</v>
      </c>
      <c r="AC121" s="30">
        <f>F59</f>
        <v>18</v>
      </c>
      <c r="AD121" s="31">
        <f t="shared" ref="AD121:AF121" si="266">(AA121-MIN(AA$6:AA$236))/(MAX(AA$6:AA$236)-MIN(AA$6:AA$236))</f>
        <v>5.5555555555555552E-2</v>
      </c>
      <c r="AE121" s="31">
        <f t="shared" si="266"/>
        <v>0</v>
      </c>
      <c r="AF121" s="31">
        <f t="shared" si="266"/>
        <v>0.13846153846153847</v>
      </c>
      <c r="AG121" s="32">
        <f t="shared" si="4"/>
        <v>0.19401709401709402</v>
      </c>
    </row>
    <row r="122" spans="1:33" ht="15.75" customHeight="1" x14ac:dyDescent="0.3">
      <c r="A122" s="6" t="s">
        <v>50</v>
      </c>
      <c r="B122" s="6" t="s">
        <v>178</v>
      </c>
      <c r="C122" s="6" t="s">
        <v>336</v>
      </c>
      <c r="D122" s="8" t="s">
        <v>477</v>
      </c>
      <c r="E122" s="19">
        <v>1</v>
      </c>
      <c r="F122" s="19">
        <v>6</v>
      </c>
      <c r="G122" s="19">
        <v>0</v>
      </c>
      <c r="H122" s="19">
        <v>0</v>
      </c>
      <c r="I122" s="19">
        <v>0</v>
      </c>
      <c r="J122" s="20">
        <v>1</v>
      </c>
      <c r="K122" s="19">
        <v>2</v>
      </c>
      <c r="L122" s="19">
        <v>0</v>
      </c>
      <c r="M122" s="20">
        <v>2.5</v>
      </c>
      <c r="N122" s="21">
        <v>49.128700000000002</v>
      </c>
      <c r="O122" s="20">
        <v>4.4999999999999997E-3</v>
      </c>
      <c r="P122" s="19">
        <v>7</v>
      </c>
      <c r="Q122" s="19">
        <v>7</v>
      </c>
      <c r="R122" s="20">
        <v>19.651499999999999</v>
      </c>
      <c r="S122" s="20">
        <v>1</v>
      </c>
      <c r="T122" s="19">
        <v>0</v>
      </c>
      <c r="U122" s="20">
        <v>74.071600000000004</v>
      </c>
      <c r="V122" s="19">
        <v>0</v>
      </c>
      <c r="W122" s="19">
        <v>2</v>
      </c>
      <c r="X122" s="19">
        <v>0</v>
      </c>
      <c r="Z122" s="6" t="str">
        <f t="shared" ref="Z122:AA122" si="267">D41</f>
        <v>Position.isInside</v>
      </c>
      <c r="AA122" s="27">
        <f t="shared" si="267"/>
        <v>4</v>
      </c>
      <c r="AB122" s="27">
        <f>G41</f>
        <v>0</v>
      </c>
      <c r="AC122" s="27">
        <f>F41</f>
        <v>10</v>
      </c>
      <c r="AD122" s="28">
        <f t="shared" ref="AD122:AF122" si="268">(AA122-MIN(AA$6:AA$236))/(MAX(AA$6:AA$236)-MIN(AA$6:AA$236))</f>
        <v>8.3333333333333329E-2</v>
      </c>
      <c r="AE122" s="28">
        <f t="shared" si="268"/>
        <v>0</v>
      </c>
      <c r="AF122" s="28">
        <f t="shared" si="268"/>
        <v>7.6923076923076927E-2</v>
      </c>
      <c r="AG122" s="29">
        <f t="shared" si="4"/>
        <v>0.16025641025641024</v>
      </c>
    </row>
    <row r="123" spans="1:33" ht="15.75" customHeight="1" x14ac:dyDescent="0.3">
      <c r="A123" s="12" t="s">
        <v>50</v>
      </c>
      <c r="B123" s="12" t="s">
        <v>178</v>
      </c>
      <c r="C123" s="12" t="s">
        <v>347</v>
      </c>
      <c r="D123" s="14" t="s">
        <v>478</v>
      </c>
      <c r="E123" s="23">
        <v>1</v>
      </c>
      <c r="F123" s="23">
        <v>6</v>
      </c>
      <c r="G123" s="23">
        <v>0</v>
      </c>
      <c r="H123" s="23">
        <v>0</v>
      </c>
      <c r="I123" s="23">
        <v>0</v>
      </c>
      <c r="J123" s="22">
        <v>0.5</v>
      </c>
      <c r="K123" s="23">
        <v>2</v>
      </c>
      <c r="L123" s="23">
        <v>1</v>
      </c>
      <c r="M123" s="22">
        <v>4.6666999999999996</v>
      </c>
      <c r="N123" s="24">
        <v>170.31290000000001</v>
      </c>
      <c r="O123" s="22">
        <v>1.0200000000000001E-2</v>
      </c>
      <c r="P123" s="23">
        <v>13</v>
      </c>
      <c r="Q123" s="23">
        <v>7</v>
      </c>
      <c r="R123" s="22">
        <v>36.495600000000003</v>
      </c>
      <c r="S123" s="22">
        <v>0</v>
      </c>
      <c r="T123" s="23">
        <v>0</v>
      </c>
      <c r="U123" s="22">
        <v>72.128200000000007</v>
      </c>
      <c r="V123" s="23">
        <v>0</v>
      </c>
      <c r="W123" s="23">
        <v>1</v>
      </c>
      <c r="X123" s="23">
        <v>0</v>
      </c>
      <c r="Z123" s="12" t="str">
        <f t="shared" ref="Z123:AA123" si="269">D79</f>
        <v>GameWindow.GameWindow</v>
      </c>
      <c r="AA123" s="30">
        <f t="shared" si="269"/>
        <v>1</v>
      </c>
      <c r="AB123" s="30">
        <f>G79</f>
        <v>0</v>
      </c>
      <c r="AC123" s="30">
        <f>F79</f>
        <v>20</v>
      </c>
      <c r="AD123" s="31">
        <f t="shared" ref="AD123:AF123" si="270">(AA123-MIN(AA$6:AA$236))/(MAX(AA$6:AA$236)-MIN(AA$6:AA$236))</f>
        <v>0</v>
      </c>
      <c r="AE123" s="31">
        <f t="shared" si="270"/>
        <v>0</v>
      </c>
      <c r="AF123" s="31">
        <f t="shared" si="270"/>
        <v>0.15384615384615385</v>
      </c>
      <c r="AG123" s="32">
        <f t="shared" si="4"/>
        <v>0.15384615384615385</v>
      </c>
    </row>
    <row r="124" spans="1:33" ht="15.75" customHeight="1" x14ac:dyDescent="0.3">
      <c r="A124" s="6" t="s">
        <v>50</v>
      </c>
      <c r="B124" s="6" t="s">
        <v>181</v>
      </c>
      <c r="C124" s="6" t="s">
        <v>382</v>
      </c>
      <c r="D124" s="8" t="s">
        <v>479</v>
      </c>
      <c r="E124" s="19">
        <v>1</v>
      </c>
      <c r="F124" s="19">
        <v>6</v>
      </c>
      <c r="G124" s="19">
        <v>2</v>
      </c>
      <c r="H124" s="19">
        <v>0</v>
      </c>
      <c r="I124" s="19">
        <v>0</v>
      </c>
      <c r="J124" s="20">
        <v>1</v>
      </c>
      <c r="K124" s="19">
        <v>1</v>
      </c>
      <c r="L124" s="19">
        <v>1</v>
      </c>
      <c r="M124" s="20">
        <v>3.2143000000000002</v>
      </c>
      <c r="N124" s="21">
        <v>184.36949999999999</v>
      </c>
      <c r="O124" s="20">
        <v>1.0800000000000001E-2</v>
      </c>
      <c r="P124" s="19">
        <v>16</v>
      </c>
      <c r="Q124" s="19">
        <v>12</v>
      </c>
      <c r="R124" s="20">
        <v>57.359400000000001</v>
      </c>
      <c r="S124" s="20">
        <v>0</v>
      </c>
      <c r="T124" s="19">
        <v>0</v>
      </c>
      <c r="U124" s="20">
        <v>70.730800000000002</v>
      </c>
      <c r="V124" s="19">
        <v>0</v>
      </c>
      <c r="W124" s="19">
        <v>5</v>
      </c>
      <c r="X124" s="19">
        <v>0</v>
      </c>
      <c r="Z124" s="6" t="str">
        <f t="shared" ref="Z124:AA124" si="271">D81</f>
        <v>Tasks.menuHelp</v>
      </c>
      <c r="AA124" s="27">
        <f t="shared" si="271"/>
        <v>1</v>
      </c>
      <c r="AB124" s="27">
        <f>G81</f>
        <v>0</v>
      </c>
      <c r="AC124" s="27">
        <f>F81</f>
        <v>19</v>
      </c>
      <c r="AD124" s="28">
        <f t="shared" ref="AD124:AF124" si="272">(AA124-MIN(AA$6:AA$236))/(MAX(AA$6:AA$236)-MIN(AA$6:AA$236))</f>
        <v>0</v>
      </c>
      <c r="AE124" s="28">
        <f t="shared" si="272"/>
        <v>0</v>
      </c>
      <c r="AF124" s="28">
        <f t="shared" si="272"/>
        <v>0.14615384615384616</v>
      </c>
      <c r="AG124" s="29">
        <f t="shared" si="4"/>
        <v>0.14615384615384616</v>
      </c>
    </row>
    <row r="125" spans="1:33" ht="15.75" customHeight="1" x14ac:dyDescent="0.3">
      <c r="A125" s="12" t="s">
        <v>50</v>
      </c>
      <c r="B125" s="12" t="s">
        <v>182</v>
      </c>
      <c r="C125" s="12" t="s">
        <v>402</v>
      </c>
      <c r="D125" s="14" t="s">
        <v>480</v>
      </c>
      <c r="E125" s="23">
        <v>1</v>
      </c>
      <c r="F125" s="23">
        <v>6</v>
      </c>
      <c r="G125" s="23">
        <v>4</v>
      </c>
      <c r="H125" s="23">
        <v>0</v>
      </c>
      <c r="I125" s="23">
        <v>0</v>
      </c>
      <c r="J125" s="22">
        <v>0.66669999999999996</v>
      </c>
      <c r="K125" s="23">
        <v>3</v>
      </c>
      <c r="L125" s="23">
        <v>1</v>
      </c>
      <c r="M125" s="22">
        <v>7</v>
      </c>
      <c r="N125" s="24">
        <v>612.98410000000001</v>
      </c>
      <c r="O125" s="22">
        <v>2.41E-2</v>
      </c>
      <c r="P125" s="23">
        <v>23</v>
      </c>
      <c r="Q125" s="23">
        <v>14</v>
      </c>
      <c r="R125" s="22">
        <v>87.569199999999995</v>
      </c>
      <c r="S125" s="22">
        <v>0.66669999999999996</v>
      </c>
      <c r="T125" s="23">
        <v>0</v>
      </c>
      <c r="U125" s="22">
        <v>69.444900000000004</v>
      </c>
      <c r="V125" s="23">
        <v>0</v>
      </c>
      <c r="W125" s="23">
        <v>6</v>
      </c>
      <c r="X125" s="23">
        <v>0</v>
      </c>
      <c r="Z125" s="12" t="str">
        <f t="shared" ref="Z125:AA125" si="273">D42</f>
        <v>Ship.isInsideBoard</v>
      </c>
      <c r="AA125" s="30">
        <f t="shared" si="273"/>
        <v>4</v>
      </c>
      <c r="AB125" s="30">
        <f>G42</f>
        <v>0</v>
      </c>
      <c r="AC125" s="30">
        <f>F42</f>
        <v>6</v>
      </c>
      <c r="AD125" s="31">
        <f t="shared" ref="AD125:AF125" si="274">(AA125-MIN(AA$6:AA$236))/(MAX(AA$6:AA$236)-MIN(AA$6:AA$236))</f>
        <v>8.3333333333333329E-2</v>
      </c>
      <c r="AE125" s="31">
        <f t="shared" si="274"/>
        <v>0</v>
      </c>
      <c r="AF125" s="31">
        <f t="shared" si="274"/>
        <v>4.6153846153846156E-2</v>
      </c>
      <c r="AG125" s="32">
        <f t="shared" si="4"/>
        <v>0.12948717948717947</v>
      </c>
    </row>
    <row r="126" spans="1:33" ht="15.75" customHeight="1" x14ac:dyDescent="0.3">
      <c r="A126" s="6" t="s">
        <v>50</v>
      </c>
      <c r="B126" s="6" t="s">
        <v>183</v>
      </c>
      <c r="C126" s="6" t="s">
        <v>413</v>
      </c>
      <c r="D126" s="8" t="s">
        <v>481</v>
      </c>
      <c r="E126" s="19">
        <v>1</v>
      </c>
      <c r="F126" s="19">
        <v>6</v>
      </c>
      <c r="G126" s="19">
        <v>0</v>
      </c>
      <c r="H126" s="19">
        <v>0</v>
      </c>
      <c r="I126" s="19">
        <v>0</v>
      </c>
      <c r="J126" s="20">
        <v>1</v>
      </c>
      <c r="K126" s="19">
        <v>1</v>
      </c>
      <c r="L126" s="19">
        <v>0</v>
      </c>
      <c r="M126" s="20">
        <v>2</v>
      </c>
      <c r="N126" s="21">
        <v>23.2193</v>
      </c>
      <c r="O126" s="20">
        <v>2.7000000000000001E-3</v>
      </c>
      <c r="P126" s="19">
        <v>5</v>
      </c>
      <c r="Q126" s="19">
        <v>5</v>
      </c>
      <c r="R126" s="20">
        <v>11.6096</v>
      </c>
      <c r="S126" s="20">
        <v>1</v>
      </c>
      <c r="T126" s="19">
        <v>0</v>
      </c>
      <c r="U126" s="20">
        <v>75.733599999999996</v>
      </c>
      <c r="V126" s="19">
        <v>0</v>
      </c>
      <c r="W126" s="19">
        <v>1</v>
      </c>
      <c r="X126" s="19">
        <v>0</v>
      </c>
      <c r="Z126" s="6" t="str">
        <f t="shared" ref="Z126:AA126" si="275">D66</f>
        <v>Ship.sink</v>
      </c>
      <c r="AA126" s="27">
        <f t="shared" si="275"/>
        <v>2</v>
      </c>
      <c r="AB126" s="27">
        <f>G66</f>
        <v>0</v>
      </c>
      <c r="AC126" s="27">
        <f>F66</f>
        <v>13</v>
      </c>
      <c r="AD126" s="28">
        <f t="shared" ref="AD126:AF126" si="276">(AA126-MIN(AA$6:AA$236))/(MAX(AA$6:AA$236)-MIN(AA$6:AA$236))</f>
        <v>2.7777777777777776E-2</v>
      </c>
      <c r="AE126" s="28">
        <f t="shared" si="276"/>
        <v>0</v>
      </c>
      <c r="AF126" s="28">
        <f t="shared" si="276"/>
        <v>0.1</v>
      </c>
      <c r="AG126" s="29">
        <f t="shared" si="4"/>
        <v>0.12777777777777777</v>
      </c>
    </row>
    <row r="127" spans="1:33" ht="15.75" customHeight="1" x14ac:dyDescent="0.3">
      <c r="A127" s="12" t="s">
        <v>50</v>
      </c>
      <c r="B127" s="12" t="s">
        <v>192</v>
      </c>
      <c r="C127" s="12" t="s">
        <v>482</v>
      </c>
      <c r="D127" s="14" t="s">
        <v>483</v>
      </c>
      <c r="E127" s="23">
        <v>1</v>
      </c>
      <c r="F127" s="23">
        <v>6</v>
      </c>
      <c r="G127" s="23">
        <v>3</v>
      </c>
      <c r="H127" s="23">
        <v>0</v>
      </c>
      <c r="I127" s="23">
        <v>0</v>
      </c>
      <c r="J127" s="22">
        <v>0</v>
      </c>
      <c r="K127" s="23">
        <v>0</v>
      </c>
      <c r="L127" s="23">
        <v>0</v>
      </c>
      <c r="M127" s="22">
        <v>1.5</v>
      </c>
      <c r="N127" s="24">
        <v>52.303800000000003</v>
      </c>
      <c r="O127" s="22">
        <v>4.7000000000000002E-3</v>
      </c>
      <c r="P127" s="23">
        <v>11</v>
      </c>
      <c r="Q127" s="23">
        <v>9</v>
      </c>
      <c r="R127" s="22">
        <v>34.869199999999999</v>
      </c>
      <c r="S127" s="22">
        <v>1</v>
      </c>
      <c r="T127" s="23">
        <v>0</v>
      </c>
      <c r="U127" s="22">
        <v>72.302000000000007</v>
      </c>
      <c r="V127" s="23">
        <v>0</v>
      </c>
      <c r="W127" s="23">
        <v>6</v>
      </c>
      <c r="X127" s="23">
        <v>0</v>
      </c>
      <c r="Z127" s="12" t="str">
        <f t="shared" ref="Z127:AA127" si="277">D82</f>
        <v>Ship.getBearing</v>
      </c>
      <c r="AA127" s="30">
        <f t="shared" si="277"/>
        <v>1</v>
      </c>
      <c r="AB127" s="30">
        <f t="shared" ref="AB127:AB129" si="278">G82</f>
        <v>0</v>
      </c>
      <c r="AC127" s="30">
        <f t="shared" ref="AC127:AC129" si="279">F82</f>
        <v>15</v>
      </c>
      <c r="AD127" s="31">
        <f t="shared" ref="AD127:AF127" si="280">(AA127-MIN(AA$6:AA$236))/(MAX(AA$6:AA$236)-MIN(AA$6:AA$236))</f>
        <v>0</v>
      </c>
      <c r="AE127" s="31">
        <f t="shared" si="280"/>
        <v>0</v>
      </c>
      <c r="AF127" s="31">
        <f t="shared" si="280"/>
        <v>0.11538461538461539</v>
      </c>
      <c r="AG127" s="32">
        <f t="shared" si="4"/>
        <v>0.11538461538461539</v>
      </c>
    </row>
    <row r="128" spans="1:33" ht="15.75" customHeight="1" x14ac:dyDescent="0.3">
      <c r="A128" s="6" t="s">
        <v>50</v>
      </c>
      <c r="B128" s="6" t="s">
        <v>196</v>
      </c>
      <c r="C128" s="6" t="s">
        <v>484</v>
      </c>
      <c r="D128" s="8" t="s">
        <v>485</v>
      </c>
      <c r="E128" s="19">
        <v>1</v>
      </c>
      <c r="F128" s="19">
        <v>6</v>
      </c>
      <c r="G128" s="19">
        <v>1</v>
      </c>
      <c r="H128" s="19">
        <v>0</v>
      </c>
      <c r="I128" s="19">
        <v>0</v>
      </c>
      <c r="J128" s="20">
        <v>1</v>
      </c>
      <c r="K128" s="19">
        <v>1</v>
      </c>
      <c r="L128" s="19">
        <v>0</v>
      </c>
      <c r="M128" s="20">
        <v>6</v>
      </c>
      <c r="N128" s="21">
        <v>344.15640000000002</v>
      </c>
      <c r="O128" s="20">
        <v>1.6400000000000001E-2</v>
      </c>
      <c r="P128" s="19">
        <v>16</v>
      </c>
      <c r="Q128" s="19">
        <v>12</v>
      </c>
      <c r="R128" s="20">
        <v>57.359400000000001</v>
      </c>
      <c r="S128" s="20">
        <v>0</v>
      </c>
      <c r="T128" s="19">
        <v>0</v>
      </c>
      <c r="U128" s="20">
        <v>70.730800000000002</v>
      </c>
      <c r="V128" s="19">
        <v>0</v>
      </c>
      <c r="W128" s="19">
        <v>3</v>
      </c>
      <c r="X128" s="19">
        <v>0</v>
      </c>
      <c r="Z128" s="6" t="str">
        <f t="shared" ref="Z128:AA128" si="281">D83</f>
        <v>Ship.getCategory</v>
      </c>
      <c r="AA128" s="27">
        <f t="shared" si="281"/>
        <v>1</v>
      </c>
      <c r="AB128" s="27">
        <f t="shared" si="278"/>
        <v>0</v>
      </c>
      <c r="AC128" s="27">
        <f t="shared" si="279"/>
        <v>15</v>
      </c>
      <c r="AD128" s="28">
        <f t="shared" ref="AD128:AF128" si="282">(AA128-MIN(AA$6:AA$236))/(MAX(AA$6:AA$236)-MIN(AA$6:AA$236))</f>
        <v>0</v>
      </c>
      <c r="AE128" s="28">
        <f t="shared" si="282"/>
        <v>0</v>
      </c>
      <c r="AF128" s="28">
        <f t="shared" si="282"/>
        <v>0.11538461538461539</v>
      </c>
      <c r="AG128" s="29">
        <f t="shared" si="4"/>
        <v>0.11538461538461539</v>
      </c>
    </row>
    <row r="129" spans="1:33" ht="15.75" customHeight="1" x14ac:dyDescent="0.3">
      <c r="A129" s="12" t="s">
        <v>95</v>
      </c>
      <c r="B129" s="12" t="s">
        <v>199</v>
      </c>
      <c r="C129" s="12" t="s">
        <v>486</v>
      </c>
      <c r="D129" s="14" t="s">
        <v>487</v>
      </c>
      <c r="E129" s="23">
        <v>1</v>
      </c>
      <c r="F129" s="23">
        <v>6</v>
      </c>
      <c r="G129" s="23">
        <v>0</v>
      </c>
      <c r="H129" s="23">
        <v>0</v>
      </c>
      <c r="I129" s="23">
        <v>0</v>
      </c>
      <c r="J129" s="22">
        <v>0.75</v>
      </c>
      <c r="K129" s="23">
        <v>4</v>
      </c>
      <c r="L129" s="23">
        <v>0</v>
      </c>
      <c r="M129" s="22">
        <v>3.5</v>
      </c>
      <c r="N129" s="24">
        <v>127.8942</v>
      </c>
      <c r="O129" s="22">
        <v>8.5000000000000006E-3</v>
      </c>
      <c r="P129" s="23">
        <v>11</v>
      </c>
      <c r="Q129" s="23">
        <v>10</v>
      </c>
      <c r="R129" s="22">
        <v>36.541200000000003</v>
      </c>
      <c r="S129" s="22">
        <v>1</v>
      </c>
      <c r="T129" s="23">
        <v>0</v>
      </c>
      <c r="U129" s="22">
        <v>72.128200000000007</v>
      </c>
      <c r="V129" s="23">
        <v>0</v>
      </c>
      <c r="W129" s="23">
        <v>2</v>
      </c>
      <c r="X129" s="23">
        <v>0</v>
      </c>
      <c r="Z129" s="12" t="str">
        <f t="shared" ref="Z129:AA129" si="283">D84</f>
        <v>Ship.getPosition</v>
      </c>
      <c r="AA129" s="30">
        <f t="shared" si="283"/>
        <v>1</v>
      </c>
      <c r="AB129" s="30">
        <f t="shared" si="278"/>
        <v>0</v>
      </c>
      <c r="AC129" s="30">
        <f t="shared" si="279"/>
        <v>15</v>
      </c>
      <c r="AD129" s="31">
        <f t="shared" ref="AD129:AF129" si="284">(AA129-MIN(AA$6:AA$236))/(MAX(AA$6:AA$236)-MIN(AA$6:AA$236))</f>
        <v>0</v>
      </c>
      <c r="AE129" s="31">
        <f t="shared" si="284"/>
        <v>0</v>
      </c>
      <c r="AF129" s="31">
        <f t="shared" si="284"/>
        <v>0.11538461538461539</v>
      </c>
      <c r="AG129" s="32">
        <f t="shared" si="4"/>
        <v>0.11538461538461539</v>
      </c>
    </row>
    <row r="130" spans="1:33" ht="15.75" customHeight="1" x14ac:dyDescent="0.3">
      <c r="A130" s="6" t="s">
        <v>50</v>
      </c>
      <c r="B130" s="6" t="s">
        <v>178</v>
      </c>
      <c r="C130" s="6" t="s">
        <v>315</v>
      </c>
      <c r="D130" s="8" t="s">
        <v>488</v>
      </c>
      <c r="E130" s="19">
        <v>1</v>
      </c>
      <c r="F130" s="19">
        <v>5</v>
      </c>
      <c r="G130" s="19">
        <v>0</v>
      </c>
      <c r="H130" s="19">
        <v>0</v>
      </c>
      <c r="I130" s="19">
        <v>0</v>
      </c>
      <c r="J130" s="20">
        <v>0</v>
      </c>
      <c r="K130" s="19">
        <v>0</v>
      </c>
      <c r="L130" s="19">
        <v>0</v>
      </c>
      <c r="M130" s="20">
        <v>1</v>
      </c>
      <c r="N130" s="21">
        <v>4.7549000000000001</v>
      </c>
      <c r="O130" s="20">
        <v>8.9999999999999998E-4</v>
      </c>
      <c r="P130" s="19">
        <v>3</v>
      </c>
      <c r="Q130" s="19">
        <v>3</v>
      </c>
      <c r="R130" s="20">
        <v>4.7549000000000001</v>
      </c>
      <c r="S130" s="20">
        <v>1</v>
      </c>
      <c r="T130" s="19">
        <v>0</v>
      </c>
      <c r="U130" s="20">
        <v>80.537099999999995</v>
      </c>
      <c r="V130" s="19">
        <v>0</v>
      </c>
      <c r="W130" s="19">
        <v>1</v>
      </c>
      <c r="X130" s="19">
        <v>0</v>
      </c>
      <c r="Z130" s="6" t="str">
        <f t="shared" ref="Z130:AA130" si="285">D71</f>
        <v>GameWindow.close</v>
      </c>
      <c r="AA130" s="27">
        <f t="shared" si="285"/>
        <v>2</v>
      </c>
      <c r="AB130" s="27">
        <f>G71</f>
        <v>0</v>
      </c>
      <c r="AC130" s="27">
        <f>F71</f>
        <v>11</v>
      </c>
      <c r="AD130" s="28">
        <f t="shared" ref="AD130:AF130" si="286">(AA130-MIN(AA$6:AA$236))/(MAX(AA$6:AA$236)-MIN(AA$6:AA$236))</f>
        <v>2.7777777777777776E-2</v>
      </c>
      <c r="AE130" s="28">
        <f t="shared" si="286"/>
        <v>0</v>
      </c>
      <c r="AF130" s="28">
        <f t="shared" si="286"/>
        <v>8.461538461538462E-2</v>
      </c>
      <c r="AG130" s="29">
        <f t="shared" si="4"/>
        <v>0.1123931623931624</v>
      </c>
    </row>
    <row r="131" spans="1:33" ht="15.75" customHeight="1" x14ac:dyDescent="0.3">
      <c r="A131" s="12" t="s">
        <v>50</v>
      </c>
      <c r="B131" s="12" t="s">
        <v>178</v>
      </c>
      <c r="C131" s="12" t="s">
        <v>319</v>
      </c>
      <c r="D131" s="14" t="s">
        <v>489</v>
      </c>
      <c r="E131" s="23">
        <v>1</v>
      </c>
      <c r="F131" s="23">
        <v>5</v>
      </c>
      <c r="G131" s="23">
        <v>0</v>
      </c>
      <c r="H131" s="23">
        <v>0</v>
      </c>
      <c r="I131" s="23">
        <v>0</v>
      </c>
      <c r="J131" s="22">
        <v>0</v>
      </c>
      <c r="K131" s="23">
        <v>0</v>
      </c>
      <c r="L131" s="23">
        <v>0</v>
      </c>
      <c r="M131" s="22">
        <v>1</v>
      </c>
      <c r="N131" s="24">
        <v>4.7549000000000001</v>
      </c>
      <c r="O131" s="22">
        <v>8.9999999999999998E-4</v>
      </c>
      <c r="P131" s="23">
        <v>3</v>
      </c>
      <c r="Q131" s="23">
        <v>3</v>
      </c>
      <c r="R131" s="22">
        <v>4.7549000000000001</v>
      </c>
      <c r="S131" s="22">
        <v>1</v>
      </c>
      <c r="T131" s="23">
        <v>0</v>
      </c>
      <c r="U131" s="22">
        <v>80.537099999999995</v>
      </c>
      <c r="V131" s="23">
        <v>0</v>
      </c>
      <c r="W131" s="23">
        <v>1</v>
      </c>
      <c r="X131" s="23">
        <v>0</v>
      </c>
      <c r="Z131" s="12" t="str">
        <f t="shared" ref="Z131:AA131" si="287">D85</f>
        <v>Fleet.printStatus</v>
      </c>
      <c r="AA131" s="30">
        <f t="shared" si="287"/>
        <v>1</v>
      </c>
      <c r="AB131" s="30">
        <f>G85</f>
        <v>0</v>
      </c>
      <c r="AC131" s="30">
        <f>F85</f>
        <v>14</v>
      </c>
      <c r="AD131" s="31">
        <f t="shared" ref="AD131:AF131" si="288">(AA131-MIN(AA$6:AA$236))/(MAX(AA$6:AA$236)-MIN(AA$6:AA$236))</f>
        <v>0</v>
      </c>
      <c r="AE131" s="31">
        <f t="shared" si="288"/>
        <v>0</v>
      </c>
      <c r="AF131" s="31">
        <f t="shared" si="288"/>
        <v>0.1076923076923077</v>
      </c>
      <c r="AG131" s="32">
        <f t="shared" si="4"/>
        <v>0.1076923076923077</v>
      </c>
    </row>
    <row r="132" spans="1:33" ht="15.75" customHeight="1" x14ac:dyDescent="0.3">
      <c r="A132" s="6" t="s">
        <v>50</v>
      </c>
      <c r="B132" s="6" t="s">
        <v>178</v>
      </c>
      <c r="C132" s="6" t="s">
        <v>322</v>
      </c>
      <c r="D132" s="8" t="s">
        <v>490</v>
      </c>
      <c r="E132" s="19">
        <v>1</v>
      </c>
      <c r="F132" s="19">
        <v>5</v>
      </c>
      <c r="G132" s="19">
        <v>0</v>
      </c>
      <c r="H132" s="19">
        <v>0</v>
      </c>
      <c r="I132" s="19">
        <v>0</v>
      </c>
      <c r="J132" s="20">
        <v>0</v>
      </c>
      <c r="K132" s="19">
        <v>0</v>
      </c>
      <c r="L132" s="19">
        <v>0</v>
      </c>
      <c r="M132" s="20">
        <v>2</v>
      </c>
      <c r="N132" s="21">
        <v>23.2193</v>
      </c>
      <c r="O132" s="20">
        <v>2.7000000000000001E-3</v>
      </c>
      <c r="P132" s="19">
        <v>5</v>
      </c>
      <c r="Q132" s="19">
        <v>5</v>
      </c>
      <c r="R132" s="20">
        <v>11.6096</v>
      </c>
      <c r="S132" s="20">
        <v>1</v>
      </c>
      <c r="T132" s="19">
        <v>0</v>
      </c>
      <c r="U132" s="20">
        <v>77.460800000000006</v>
      </c>
      <c r="V132" s="19">
        <v>0</v>
      </c>
      <c r="W132" s="19">
        <v>1</v>
      </c>
      <c r="X132" s="19">
        <v>0</v>
      </c>
      <c r="Z132" s="6" t="str">
        <f t="shared" ref="Z132:AA132" si="289">D87</f>
        <v>GameWindow.updateTexts</v>
      </c>
      <c r="AA132" s="27">
        <f t="shared" si="289"/>
        <v>1</v>
      </c>
      <c r="AB132" s="27">
        <f>G87</f>
        <v>0</v>
      </c>
      <c r="AC132" s="27">
        <f>F87</f>
        <v>13</v>
      </c>
      <c r="AD132" s="28">
        <f t="shared" ref="AD132:AF132" si="290">(AA132-MIN(AA$6:AA$236))/(MAX(AA$6:AA$236)-MIN(AA$6:AA$236))</f>
        <v>0</v>
      </c>
      <c r="AE132" s="28">
        <f t="shared" si="290"/>
        <v>0</v>
      </c>
      <c r="AF132" s="28">
        <f t="shared" si="290"/>
        <v>0.1</v>
      </c>
      <c r="AG132" s="29">
        <f t="shared" si="4"/>
        <v>0.1</v>
      </c>
    </row>
    <row r="133" spans="1:33" ht="15.75" customHeight="1" x14ac:dyDescent="0.3">
      <c r="A133" s="12" t="s">
        <v>50</v>
      </c>
      <c r="B133" s="12" t="s">
        <v>178</v>
      </c>
      <c r="C133" s="12" t="s">
        <v>327</v>
      </c>
      <c r="D133" s="14" t="s">
        <v>491</v>
      </c>
      <c r="E133" s="23">
        <v>1</v>
      </c>
      <c r="F133" s="23">
        <v>5</v>
      </c>
      <c r="G133" s="23">
        <v>0</v>
      </c>
      <c r="H133" s="23">
        <v>0</v>
      </c>
      <c r="I133" s="23">
        <v>0</v>
      </c>
      <c r="J133" s="22">
        <v>0</v>
      </c>
      <c r="K133" s="23">
        <v>0</v>
      </c>
      <c r="L133" s="23">
        <v>0</v>
      </c>
      <c r="M133" s="22">
        <v>2</v>
      </c>
      <c r="N133" s="24">
        <v>23.2193</v>
      </c>
      <c r="O133" s="22">
        <v>2.7000000000000001E-3</v>
      </c>
      <c r="P133" s="23">
        <v>5</v>
      </c>
      <c r="Q133" s="23">
        <v>5</v>
      </c>
      <c r="R133" s="22">
        <v>11.6096</v>
      </c>
      <c r="S133" s="22">
        <v>1</v>
      </c>
      <c r="T133" s="23">
        <v>0</v>
      </c>
      <c r="U133" s="22">
        <v>77.460800000000006</v>
      </c>
      <c r="V133" s="23">
        <v>0</v>
      </c>
      <c r="W133" s="23">
        <v>1</v>
      </c>
      <c r="X133" s="23">
        <v>0</v>
      </c>
      <c r="Z133" s="12" t="str">
        <f t="shared" ref="Z133:AA133" si="291">D75</f>
        <v>BoardPanel.BoardPanel</v>
      </c>
      <c r="AA133" s="30">
        <f t="shared" si="291"/>
        <v>2</v>
      </c>
      <c r="AB133" s="30">
        <f>G75</f>
        <v>0</v>
      </c>
      <c r="AC133" s="30">
        <f>F75</f>
        <v>8</v>
      </c>
      <c r="AD133" s="31">
        <f t="shared" ref="AD133:AF133" si="292">(AA133-MIN(AA$6:AA$236))/(MAX(AA$6:AA$236)-MIN(AA$6:AA$236))</f>
        <v>2.7777777777777776E-2</v>
      </c>
      <c r="AE133" s="31">
        <f t="shared" si="292"/>
        <v>0</v>
      </c>
      <c r="AF133" s="31">
        <f t="shared" si="292"/>
        <v>6.1538461538461542E-2</v>
      </c>
      <c r="AG133" s="32">
        <f t="shared" si="4"/>
        <v>8.9316239316239318E-2</v>
      </c>
    </row>
    <row r="134" spans="1:33" ht="15.75" customHeight="1" x14ac:dyDescent="0.3">
      <c r="A134" s="6" t="s">
        <v>50</v>
      </c>
      <c r="B134" s="6" t="s">
        <v>178</v>
      </c>
      <c r="C134" s="6" t="s">
        <v>330</v>
      </c>
      <c r="D134" s="8" t="s">
        <v>492</v>
      </c>
      <c r="E134" s="19">
        <v>1</v>
      </c>
      <c r="F134" s="19">
        <v>5</v>
      </c>
      <c r="G134" s="19">
        <v>0</v>
      </c>
      <c r="H134" s="19">
        <v>0</v>
      </c>
      <c r="I134" s="19">
        <v>0</v>
      </c>
      <c r="J134" s="20">
        <v>0</v>
      </c>
      <c r="K134" s="19">
        <v>0</v>
      </c>
      <c r="L134" s="19">
        <v>0</v>
      </c>
      <c r="M134" s="20">
        <v>1</v>
      </c>
      <c r="N134" s="21">
        <v>4.7549000000000001</v>
      </c>
      <c r="O134" s="20">
        <v>8.9999999999999998E-4</v>
      </c>
      <c r="P134" s="19">
        <v>3</v>
      </c>
      <c r="Q134" s="19">
        <v>3</v>
      </c>
      <c r="R134" s="20">
        <v>4.7549000000000001</v>
      </c>
      <c r="S134" s="20">
        <v>1</v>
      </c>
      <c r="T134" s="19">
        <v>0</v>
      </c>
      <c r="U134" s="20">
        <v>80.537099999999995</v>
      </c>
      <c r="V134" s="19">
        <v>0</v>
      </c>
      <c r="W134" s="19">
        <v>1</v>
      </c>
      <c r="X134" s="19">
        <v>0</v>
      </c>
      <c r="Z134" s="6" t="str">
        <f t="shared" ref="Z134:AA134" si="293">D92</f>
        <v>Position.toString</v>
      </c>
      <c r="AA134" s="27">
        <f t="shared" si="293"/>
        <v>1</v>
      </c>
      <c r="AB134" s="27">
        <f>G92</f>
        <v>0</v>
      </c>
      <c r="AC134" s="27">
        <f>F92</f>
        <v>11</v>
      </c>
      <c r="AD134" s="28">
        <f t="shared" ref="AD134:AF134" si="294">(AA134-MIN(AA$6:AA$236))/(MAX(AA$6:AA$236)-MIN(AA$6:AA$236))</f>
        <v>0</v>
      </c>
      <c r="AE134" s="28">
        <f t="shared" si="294"/>
        <v>0</v>
      </c>
      <c r="AF134" s="28">
        <f t="shared" si="294"/>
        <v>8.461538461538462E-2</v>
      </c>
      <c r="AG134" s="29">
        <f t="shared" si="4"/>
        <v>8.461538461538462E-2</v>
      </c>
    </row>
    <row r="135" spans="1:33" ht="15.75" customHeight="1" x14ac:dyDescent="0.3">
      <c r="A135" s="12" t="s">
        <v>50</v>
      </c>
      <c r="B135" s="12" t="s">
        <v>178</v>
      </c>
      <c r="C135" s="12" t="s">
        <v>334</v>
      </c>
      <c r="D135" s="14" t="s">
        <v>493</v>
      </c>
      <c r="E135" s="23">
        <v>1</v>
      </c>
      <c r="F135" s="23">
        <v>5</v>
      </c>
      <c r="G135" s="23">
        <v>0</v>
      </c>
      <c r="H135" s="23">
        <v>0</v>
      </c>
      <c r="I135" s="23">
        <v>0</v>
      </c>
      <c r="J135" s="22">
        <v>0</v>
      </c>
      <c r="K135" s="23">
        <v>0</v>
      </c>
      <c r="L135" s="23">
        <v>0</v>
      </c>
      <c r="M135" s="22">
        <v>1</v>
      </c>
      <c r="N135" s="24">
        <v>4.7549000000000001</v>
      </c>
      <c r="O135" s="22">
        <v>8.9999999999999998E-4</v>
      </c>
      <c r="P135" s="23">
        <v>3</v>
      </c>
      <c r="Q135" s="23">
        <v>3</v>
      </c>
      <c r="R135" s="22">
        <v>4.7549000000000001</v>
      </c>
      <c r="S135" s="22">
        <v>1</v>
      </c>
      <c r="T135" s="23">
        <v>0</v>
      </c>
      <c r="U135" s="22">
        <v>80.537099999999995</v>
      </c>
      <c r="V135" s="23">
        <v>0</v>
      </c>
      <c r="W135" s="23">
        <v>1</v>
      </c>
      <c r="X135" s="23">
        <v>0</v>
      </c>
      <c r="Z135" s="12" t="str">
        <f t="shared" ref="Z135:AA135" si="295">D94</f>
        <v>Compass.randomBearing</v>
      </c>
      <c r="AA135" s="30">
        <f t="shared" si="295"/>
        <v>1</v>
      </c>
      <c r="AB135" s="30">
        <f t="shared" ref="AB135:AB137" si="296">G94</f>
        <v>0</v>
      </c>
      <c r="AC135" s="30">
        <f t="shared" ref="AC135:AC137" si="297">F94</f>
        <v>10</v>
      </c>
      <c r="AD135" s="31">
        <f t="shared" ref="AD135:AF135" si="298">(AA135-MIN(AA$6:AA$236))/(MAX(AA$6:AA$236)-MIN(AA$6:AA$236))</f>
        <v>0</v>
      </c>
      <c r="AE135" s="31">
        <f t="shared" si="298"/>
        <v>0</v>
      </c>
      <c r="AF135" s="31">
        <f t="shared" si="298"/>
        <v>7.6923076923076927E-2</v>
      </c>
      <c r="AG135" s="32">
        <f t="shared" si="4"/>
        <v>7.6923076923076927E-2</v>
      </c>
    </row>
    <row r="136" spans="1:33" ht="15.75" customHeight="1" x14ac:dyDescent="0.3">
      <c r="A136" s="6" t="s">
        <v>50</v>
      </c>
      <c r="B136" s="6" t="s">
        <v>178</v>
      </c>
      <c r="C136" s="6" t="s">
        <v>341</v>
      </c>
      <c r="D136" s="8" t="s">
        <v>494</v>
      </c>
      <c r="E136" s="19">
        <v>1</v>
      </c>
      <c r="F136" s="19">
        <v>5</v>
      </c>
      <c r="G136" s="19">
        <v>0</v>
      </c>
      <c r="H136" s="19">
        <v>0</v>
      </c>
      <c r="I136" s="19">
        <v>0</v>
      </c>
      <c r="J136" s="20">
        <v>0</v>
      </c>
      <c r="K136" s="19">
        <v>0</v>
      </c>
      <c r="L136" s="19">
        <v>0</v>
      </c>
      <c r="M136" s="20">
        <v>2</v>
      </c>
      <c r="N136" s="21">
        <v>23.2193</v>
      </c>
      <c r="O136" s="20">
        <v>2.7000000000000001E-3</v>
      </c>
      <c r="P136" s="19">
        <v>5</v>
      </c>
      <c r="Q136" s="19">
        <v>5</v>
      </c>
      <c r="R136" s="20">
        <v>11.6096</v>
      </c>
      <c r="S136" s="20">
        <v>1</v>
      </c>
      <c r="T136" s="19">
        <v>0</v>
      </c>
      <c r="U136" s="20">
        <v>77.460800000000006</v>
      </c>
      <c r="V136" s="19">
        <v>0</v>
      </c>
      <c r="W136" s="19">
        <v>1</v>
      </c>
      <c r="X136" s="19">
        <v>0</v>
      </c>
      <c r="Z136" s="6" t="str">
        <f t="shared" ref="Z136:AA136" si="299">D95</f>
        <v>Compass.toString</v>
      </c>
      <c r="AA136" s="27">
        <f t="shared" si="299"/>
        <v>1</v>
      </c>
      <c r="AB136" s="27">
        <f t="shared" si="296"/>
        <v>0</v>
      </c>
      <c r="AC136" s="27">
        <f t="shared" si="297"/>
        <v>10</v>
      </c>
      <c r="AD136" s="28">
        <f t="shared" ref="AD136:AF136" si="300">(AA136-MIN(AA$6:AA$236))/(MAX(AA$6:AA$236)-MIN(AA$6:AA$236))</f>
        <v>0</v>
      </c>
      <c r="AE136" s="28">
        <f t="shared" si="300"/>
        <v>0</v>
      </c>
      <c r="AF136" s="28">
        <f t="shared" si="300"/>
        <v>7.6923076923076927E-2</v>
      </c>
      <c r="AG136" s="29">
        <f t="shared" si="4"/>
        <v>7.6923076923076927E-2</v>
      </c>
    </row>
    <row r="137" spans="1:33" ht="15.75" customHeight="1" x14ac:dyDescent="0.3">
      <c r="A137" s="12" t="s">
        <v>50</v>
      </c>
      <c r="B137" s="12" t="s">
        <v>178</v>
      </c>
      <c r="C137" s="12" t="s">
        <v>260</v>
      </c>
      <c r="D137" s="14" t="s">
        <v>495</v>
      </c>
      <c r="E137" s="23">
        <v>1</v>
      </c>
      <c r="F137" s="23">
        <v>5</v>
      </c>
      <c r="G137" s="23">
        <v>0</v>
      </c>
      <c r="H137" s="23">
        <v>0</v>
      </c>
      <c r="I137" s="23">
        <v>0</v>
      </c>
      <c r="J137" s="22">
        <v>0</v>
      </c>
      <c r="K137" s="23">
        <v>0</v>
      </c>
      <c r="L137" s="23">
        <v>0</v>
      </c>
      <c r="M137" s="22">
        <v>2</v>
      </c>
      <c r="N137" s="24">
        <v>23.2193</v>
      </c>
      <c r="O137" s="22">
        <v>2.7000000000000001E-3</v>
      </c>
      <c r="P137" s="23">
        <v>5</v>
      </c>
      <c r="Q137" s="23">
        <v>5</v>
      </c>
      <c r="R137" s="22">
        <v>11.6096</v>
      </c>
      <c r="S137" s="22">
        <v>1</v>
      </c>
      <c r="T137" s="23">
        <v>0</v>
      </c>
      <c r="U137" s="22">
        <v>77.460800000000006</v>
      </c>
      <c r="V137" s="23">
        <v>0</v>
      </c>
      <c r="W137" s="23">
        <v>1</v>
      </c>
      <c r="X137" s="23">
        <v>0</v>
      </c>
      <c r="Z137" s="12" t="str">
        <f t="shared" ref="Z137:AA137" si="301">D96</f>
        <v>Fleet.getShips</v>
      </c>
      <c r="AA137" s="30">
        <f t="shared" si="301"/>
        <v>1</v>
      </c>
      <c r="AB137" s="30">
        <f t="shared" si="296"/>
        <v>0</v>
      </c>
      <c r="AC137" s="30">
        <f t="shared" si="297"/>
        <v>10</v>
      </c>
      <c r="AD137" s="31">
        <f t="shared" ref="AD137:AF137" si="302">(AA137-MIN(AA$6:AA$236))/(MAX(AA$6:AA$236)-MIN(AA$6:AA$236))</f>
        <v>0</v>
      </c>
      <c r="AE137" s="31">
        <f t="shared" si="302"/>
        <v>0</v>
      </c>
      <c r="AF137" s="31">
        <f t="shared" si="302"/>
        <v>7.6923076923076927E-2</v>
      </c>
      <c r="AG137" s="32">
        <f t="shared" si="4"/>
        <v>7.6923076923076927E-2</v>
      </c>
    </row>
    <row r="138" spans="1:33" ht="15.75" customHeight="1" x14ac:dyDescent="0.3">
      <c r="A138" s="6" t="s">
        <v>50</v>
      </c>
      <c r="B138" s="6" t="s">
        <v>180</v>
      </c>
      <c r="C138" s="6" t="s">
        <v>378</v>
      </c>
      <c r="D138" s="8" t="s">
        <v>496</v>
      </c>
      <c r="E138" s="19">
        <v>1</v>
      </c>
      <c r="F138" s="19">
        <v>5</v>
      </c>
      <c r="G138" s="19">
        <v>1</v>
      </c>
      <c r="H138" s="19">
        <v>0</v>
      </c>
      <c r="I138" s="19">
        <v>0</v>
      </c>
      <c r="J138" s="20">
        <v>1</v>
      </c>
      <c r="K138" s="19">
        <v>2</v>
      </c>
      <c r="L138" s="19">
        <v>1</v>
      </c>
      <c r="M138" s="20">
        <v>2.5</v>
      </c>
      <c r="N138" s="21">
        <v>116.51130000000001</v>
      </c>
      <c r="O138" s="20">
        <v>8.0000000000000002E-3</v>
      </c>
      <c r="P138" s="19">
        <v>13</v>
      </c>
      <c r="Q138" s="19">
        <v>12</v>
      </c>
      <c r="R138" s="20">
        <v>46.604500000000002</v>
      </c>
      <c r="S138" s="20">
        <v>0</v>
      </c>
      <c r="T138" s="19">
        <v>0</v>
      </c>
      <c r="U138" s="20">
        <v>73.11</v>
      </c>
      <c r="V138" s="19">
        <v>0</v>
      </c>
      <c r="W138" s="19">
        <v>3</v>
      </c>
      <c r="X138" s="19">
        <v>0</v>
      </c>
      <c r="Z138" s="6" t="str">
        <f t="shared" ref="Z138:AA138" si="303">D98</f>
        <v>Ship.toString</v>
      </c>
      <c r="AA138" s="27">
        <f t="shared" si="303"/>
        <v>1</v>
      </c>
      <c r="AB138" s="27">
        <f>G98</f>
        <v>0</v>
      </c>
      <c r="AC138" s="27">
        <f>F98</f>
        <v>10</v>
      </c>
      <c r="AD138" s="28">
        <f t="shared" ref="AD138:AF138" si="304">(AA138-MIN(AA$6:AA$236))/(MAX(AA$6:AA$236)-MIN(AA$6:AA$236))</f>
        <v>0</v>
      </c>
      <c r="AE138" s="28">
        <f t="shared" si="304"/>
        <v>0</v>
      </c>
      <c r="AF138" s="28">
        <f t="shared" si="304"/>
        <v>7.6923076923076927E-2</v>
      </c>
      <c r="AG138" s="29">
        <f t="shared" si="4"/>
        <v>7.6923076923076927E-2</v>
      </c>
    </row>
    <row r="139" spans="1:33" ht="15.75" customHeight="1" x14ac:dyDescent="0.3">
      <c r="A139" s="12" t="s">
        <v>50</v>
      </c>
      <c r="B139" s="12" t="s">
        <v>181</v>
      </c>
      <c r="C139" s="12" t="s">
        <v>389</v>
      </c>
      <c r="D139" s="14" t="s">
        <v>497</v>
      </c>
      <c r="E139" s="23">
        <v>1</v>
      </c>
      <c r="F139" s="23">
        <v>5</v>
      </c>
      <c r="G139" s="23">
        <v>2</v>
      </c>
      <c r="H139" s="23">
        <v>0</v>
      </c>
      <c r="I139" s="23">
        <v>0</v>
      </c>
      <c r="J139" s="22">
        <v>1</v>
      </c>
      <c r="K139" s="23">
        <v>2</v>
      </c>
      <c r="L139" s="23">
        <v>1</v>
      </c>
      <c r="M139" s="22">
        <v>3.6</v>
      </c>
      <c r="N139" s="24">
        <v>161.9014</v>
      </c>
      <c r="O139" s="22">
        <v>9.9000000000000008E-3</v>
      </c>
      <c r="P139" s="23">
        <v>13</v>
      </c>
      <c r="Q139" s="23">
        <v>11</v>
      </c>
      <c r="R139" s="22">
        <v>44.9726</v>
      </c>
      <c r="S139" s="22">
        <v>0</v>
      </c>
      <c r="T139" s="23">
        <v>0</v>
      </c>
      <c r="U139" s="22">
        <v>73.245199999999997</v>
      </c>
      <c r="V139" s="23">
        <v>0</v>
      </c>
      <c r="W139" s="23">
        <v>4</v>
      </c>
      <c r="X139" s="23">
        <v>0</v>
      </c>
      <c r="Z139" s="12" t="str">
        <f t="shared" ref="Z139:AA139" si="305">D76</f>
        <v>BoardState.emptyBoard</v>
      </c>
      <c r="AA139" s="30">
        <f t="shared" si="305"/>
        <v>2</v>
      </c>
      <c r="AB139" s="30">
        <f>G76</f>
        <v>0</v>
      </c>
      <c r="AC139" s="30">
        <f>F76</f>
        <v>6</v>
      </c>
      <c r="AD139" s="31">
        <f t="shared" ref="AD139:AF139" si="306">(AA139-MIN(AA$6:AA$236))/(MAX(AA$6:AA$236)-MIN(AA$6:AA$236))</f>
        <v>2.7777777777777776E-2</v>
      </c>
      <c r="AE139" s="31">
        <f t="shared" si="306"/>
        <v>0</v>
      </c>
      <c r="AF139" s="31">
        <f t="shared" si="306"/>
        <v>4.6153846153846156E-2</v>
      </c>
      <c r="AG139" s="32">
        <f t="shared" si="4"/>
        <v>7.3931623931623933E-2</v>
      </c>
    </row>
    <row r="140" spans="1:33" ht="15.75" customHeight="1" x14ac:dyDescent="0.3">
      <c r="A140" s="6" t="s">
        <v>50</v>
      </c>
      <c r="B140" s="6" t="s">
        <v>181</v>
      </c>
      <c r="C140" s="6" t="s">
        <v>391</v>
      </c>
      <c r="D140" s="8" t="s">
        <v>498</v>
      </c>
      <c r="E140" s="19">
        <v>1</v>
      </c>
      <c r="F140" s="19">
        <v>5</v>
      </c>
      <c r="G140" s="19">
        <v>0</v>
      </c>
      <c r="H140" s="19">
        <v>0</v>
      </c>
      <c r="I140" s="19">
        <v>0</v>
      </c>
      <c r="J140" s="20">
        <v>1</v>
      </c>
      <c r="K140" s="19">
        <v>3</v>
      </c>
      <c r="L140" s="19">
        <v>2</v>
      </c>
      <c r="M140" s="20">
        <v>4.9000000000000004</v>
      </c>
      <c r="N140" s="21">
        <v>245.92840000000001</v>
      </c>
      <c r="O140" s="20">
        <v>1.3100000000000001E-2</v>
      </c>
      <c r="P140" s="19">
        <v>14</v>
      </c>
      <c r="Q140" s="19">
        <v>12</v>
      </c>
      <c r="R140" s="20">
        <v>50.189500000000002</v>
      </c>
      <c r="S140" s="20">
        <v>0</v>
      </c>
      <c r="T140" s="19">
        <v>0</v>
      </c>
      <c r="U140" s="20">
        <v>72.856499999999997</v>
      </c>
      <c r="V140" s="19">
        <v>0</v>
      </c>
      <c r="W140" s="19">
        <v>3</v>
      </c>
      <c r="X140" s="19">
        <v>0</v>
      </c>
      <c r="Z140" s="6" t="str">
        <f t="shared" ref="Z140:AA140" si="307">D100</f>
        <v>Compass.getDirection</v>
      </c>
      <c r="AA140" s="27">
        <f t="shared" si="307"/>
        <v>1</v>
      </c>
      <c r="AB140" s="27">
        <f t="shared" ref="AB140:AB147" si="308">G100</f>
        <v>0</v>
      </c>
      <c r="AC140" s="27">
        <f t="shared" ref="AC140:AC147" si="309">F100</f>
        <v>9</v>
      </c>
      <c r="AD140" s="28">
        <f t="shared" ref="AD140:AF140" si="310">(AA140-MIN(AA$6:AA$236))/(MAX(AA$6:AA$236)-MIN(AA$6:AA$236))</f>
        <v>0</v>
      </c>
      <c r="AE140" s="28">
        <f t="shared" si="310"/>
        <v>0</v>
      </c>
      <c r="AF140" s="28">
        <f t="shared" si="310"/>
        <v>6.9230769230769235E-2</v>
      </c>
      <c r="AG140" s="29">
        <f t="shared" si="4"/>
        <v>6.9230769230769235E-2</v>
      </c>
    </row>
    <row r="141" spans="1:33" ht="15.75" customHeight="1" x14ac:dyDescent="0.3">
      <c r="A141" s="12" t="s">
        <v>50</v>
      </c>
      <c r="B141" s="12" t="s">
        <v>196</v>
      </c>
      <c r="C141" s="12" t="s">
        <v>499</v>
      </c>
      <c r="D141" s="14" t="s">
        <v>500</v>
      </c>
      <c r="E141" s="23">
        <v>1</v>
      </c>
      <c r="F141" s="23">
        <v>5</v>
      </c>
      <c r="G141" s="23">
        <v>1</v>
      </c>
      <c r="H141" s="23">
        <v>0</v>
      </c>
      <c r="I141" s="23">
        <v>0</v>
      </c>
      <c r="J141" s="22">
        <v>0.66669999999999996</v>
      </c>
      <c r="K141" s="23">
        <v>3</v>
      </c>
      <c r="L141" s="23">
        <v>1</v>
      </c>
      <c r="M141" s="22">
        <v>4.8</v>
      </c>
      <c r="N141" s="24">
        <v>248.6695</v>
      </c>
      <c r="O141" s="22">
        <v>1.32E-2</v>
      </c>
      <c r="P141" s="23">
        <v>14</v>
      </c>
      <c r="Q141" s="23">
        <v>13</v>
      </c>
      <c r="R141" s="22">
        <v>51.806199999999997</v>
      </c>
      <c r="S141" s="22">
        <v>0</v>
      </c>
      <c r="T141" s="23">
        <v>0</v>
      </c>
      <c r="U141" s="22">
        <v>72.796300000000002</v>
      </c>
      <c r="V141" s="23">
        <v>0</v>
      </c>
      <c r="W141" s="23">
        <v>3</v>
      </c>
      <c r="X141" s="23">
        <v>0</v>
      </c>
      <c r="Z141" s="12" t="str">
        <f t="shared" ref="Z141:AA141" si="311">D101</f>
        <v>Position.getColumn</v>
      </c>
      <c r="AA141" s="30">
        <f t="shared" si="311"/>
        <v>1</v>
      </c>
      <c r="AB141" s="30">
        <f t="shared" si="308"/>
        <v>0</v>
      </c>
      <c r="AC141" s="30">
        <f t="shared" si="309"/>
        <v>9</v>
      </c>
      <c r="AD141" s="31">
        <f t="shared" ref="AD141:AF141" si="312">(AA141-MIN(AA$6:AA$236))/(MAX(AA$6:AA$236)-MIN(AA$6:AA$236))</f>
        <v>0</v>
      </c>
      <c r="AE141" s="31">
        <f t="shared" si="312"/>
        <v>0</v>
      </c>
      <c r="AF141" s="31">
        <f t="shared" si="312"/>
        <v>6.9230769230769235E-2</v>
      </c>
      <c r="AG141" s="32">
        <f t="shared" si="4"/>
        <v>6.9230769230769235E-2</v>
      </c>
    </row>
    <row r="142" spans="1:33" ht="15.75" customHeight="1" x14ac:dyDescent="0.3">
      <c r="A142" s="6" t="s">
        <v>50</v>
      </c>
      <c r="B142" s="6" t="s">
        <v>178</v>
      </c>
      <c r="C142" s="6" t="s">
        <v>349</v>
      </c>
      <c r="D142" s="8" t="s">
        <v>501</v>
      </c>
      <c r="E142" s="19">
        <v>1</v>
      </c>
      <c r="F142" s="19">
        <v>4</v>
      </c>
      <c r="G142" s="19">
        <v>2</v>
      </c>
      <c r="H142" s="19">
        <v>0</v>
      </c>
      <c r="I142" s="19">
        <v>0</v>
      </c>
      <c r="J142" s="20">
        <v>0</v>
      </c>
      <c r="K142" s="19">
        <v>0</v>
      </c>
      <c r="L142" s="19">
        <v>0</v>
      </c>
      <c r="M142" s="20">
        <v>2.5</v>
      </c>
      <c r="N142" s="21">
        <v>87.172899999999998</v>
      </c>
      <c r="O142" s="20">
        <v>6.6E-3</v>
      </c>
      <c r="P142" s="19">
        <v>11</v>
      </c>
      <c r="Q142" s="19">
        <v>9</v>
      </c>
      <c r="R142" s="20">
        <v>34.869199999999999</v>
      </c>
      <c r="S142" s="20">
        <v>1</v>
      </c>
      <c r="T142" s="19">
        <v>0</v>
      </c>
      <c r="U142" s="20">
        <v>76.143199999999993</v>
      </c>
      <c r="V142" s="19">
        <v>0</v>
      </c>
      <c r="W142" s="19">
        <v>4</v>
      </c>
      <c r="X142" s="19">
        <v>0</v>
      </c>
      <c r="Z142" s="6" t="str">
        <f t="shared" ref="Z142:AA142" si="313">D102</f>
        <v>Position.getRow</v>
      </c>
      <c r="AA142" s="27">
        <f t="shared" si="313"/>
        <v>1</v>
      </c>
      <c r="AB142" s="27">
        <f t="shared" si="308"/>
        <v>0</v>
      </c>
      <c r="AC142" s="27">
        <f t="shared" si="309"/>
        <v>9</v>
      </c>
      <c r="AD142" s="28">
        <f t="shared" ref="AD142:AF142" si="314">(AA142-MIN(AA$6:AA$236))/(MAX(AA$6:AA$236)-MIN(AA$6:AA$236))</f>
        <v>0</v>
      </c>
      <c r="AE142" s="28">
        <f t="shared" si="314"/>
        <v>0</v>
      </c>
      <c r="AF142" s="28">
        <f t="shared" si="314"/>
        <v>6.9230769230769235E-2</v>
      </c>
      <c r="AG142" s="29">
        <f t="shared" si="4"/>
        <v>6.9230769230769235E-2</v>
      </c>
    </row>
    <row r="143" spans="1:33" ht="15.75" customHeight="1" x14ac:dyDescent="0.3">
      <c r="A143" s="12" t="s">
        <v>50</v>
      </c>
      <c r="B143" s="12" t="s">
        <v>178</v>
      </c>
      <c r="C143" s="12" t="s">
        <v>358</v>
      </c>
      <c r="D143" s="14" t="s">
        <v>502</v>
      </c>
      <c r="E143" s="23">
        <v>1</v>
      </c>
      <c r="F143" s="23">
        <v>4</v>
      </c>
      <c r="G143" s="23">
        <v>2</v>
      </c>
      <c r="H143" s="23">
        <v>0</v>
      </c>
      <c r="I143" s="23">
        <v>0</v>
      </c>
      <c r="J143" s="22">
        <v>0</v>
      </c>
      <c r="K143" s="23">
        <v>0</v>
      </c>
      <c r="L143" s="23">
        <v>0</v>
      </c>
      <c r="M143" s="22">
        <v>2.5</v>
      </c>
      <c r="N143" s="24">
        <v>87.172899999999998</v>
      </c>
      <c r="O143" s="22">
        <v>6.6E-3</v>
      </c>
      <c r="P143" s="23">
        <v>11</v>
      </c>
      <c r="Q143" s="23">
        <v>9</v>
      </c>
      <c r="R143" s="22">
        <v>34.869199999999999</v>
      </c>
      <c r="S143" s="22">
        <v>1</v>
      </c>
      <c r="T143" s="23">
        <v>0</v>
      </c>
      <c r="U143" s="22">
        <v>76.143199999999993</v>
      </c>
      <c r="V143" s="23">
        <v>0</v>
      </c>
      <c r="W143" s="23">
        <v>4</v>
      </c>
      <c r="X143" s="23">
        <v>0</v>
      </c>
      <c r="Z143" s="12" t="str">
        <f t="shared" ref="Z143:AA143" si="315">D103</f>
        <v>Position.hashCode</v>
      </c>
      <c r="AA143" s="30">
        <f t="shared" si="315"/>
        <v>1</v>
      </c>
      <c r="AB143" s="30">
        <f t="shared" si="308"/>
        <v>0</v>
      </c>
      <c r="AC143" s="30">
        <f t="shared" si="309"/>
        <v>9</v>
      </c>
      <c r="AD143" s="31">
        <f t="shared" ref="AD143:AF143" si="316">(AA143-MIN(AA$6:AA$236))/(MAX(AA$6:AA$236)-MIN(AA$6:AA$236))</f>
        <v>0</v>
      </c>
      <c r="AE143" s="31">
        <f t="shared" si="316"/>
        <v>0</v>
      </c>
      <c r="AF143" s="31">
        <f t="shared" si="316"/>
        <v>6.9230769230769235E-2</v>
      </c>
      <c r="AG143" s="32">
        <f t="shared" si="4"/>
        <v>6.9230769230769235E-2</v>
      </c>
    </row>
    <row r="144" spans="1:33" ht="15.75" customHeight="1" x14ac:dyDescent="0.3">
      <c r="A144" s="6" t="s">
        <v>50</v>
      </c>
      <c r="B144" s="6" t="s">
        <v>182</v>
      </c>
      <c r="C144" s="6" t="s">
        <v>397</v>
      </c>
      <c r="D144" s="8" t="s">
        <v>503</v>
      </c>
      <c r="E144" s="19">
        <v>1</v>
      </c>
      <c r="F144" s="19">
        <v>4</v>
      </c>
      <c r="G144" s="19">
        <v>0</v>
      </c>
      <c r="H144" s="19">
        <v>0</v>
      </c>
      <c r="I144" s="19">
        <v>0</v>
      </c>
      <c r="J144" s="20">
        <v>0</v>
      </c>
      <c r="K144" s="19">
        <v>0</v>
      </c>
      <c r="L144" s="19">
        <v>0</v>
      </c>
      <c r="M144" s="20">
        <v>1.5</v>
      </c>
      <c r="N144" s="21">
        <v>12</v>
      </c>
      <c r="O144" s="20">
        <v>1.6999999999999999E-3</v>
      </c>
      <c r="P144" s="19">
        <v>4</v>
      </c>
      <c r="Q144" s="19">
        <v>4</v>
      </c>
      <c r="R144" s="20">
        <v>8</v>
      </c>
      <c r="S144" s="20">
        <v>1</v>
      </c>
      <c r="T144" s="19">
        <v>0</v>
      </c>
      <c r="U144" s="20">
        <v>80.543199999999999</v>
      </c>
      <c r="V144" s="19">
        <v>0</v>
      </c>
      <c r="W144" s="19">
        <v>1</v>
      </c>
      <c r="X144" s="19">
        <v>0</v>
      </c>
      <c r="Z144" s="6" t="str">
        <f t="shared" ref="Z144:AA144" si="317">D104</f>
        <v>Position.isHit</v>
      </c>
      <c r="AA144" s="27">
        <f t="shared" si="317"/>
        <v>1</v>
      </c>
      <c r="AB144" s="27">
        <f t="shared" si="308"/>
        <v>0</v>
      </c>
      <c r="AC144" s="27">
        <f t="shared" si="309"/>
        <v>9</v>
      </c>
      <c r="AD144" s="28">
        <f t="shared" ref="AD144:AF144" si="318">(AA144-MIN(AA$6:AA$236))/(MAX(AA$6:AA$236)-MIN(AA$6:AA$236))</f>
        <v>0</v>
      </c>
      <c r="AE144" s="28">
        <f t="shared" si="318"/>
        <v>0</v>
      </c>
      <c r="AF144" s="28">
        <f t="shared" si="318"/>
        <v>6.9230769230769235E-2</v>
      </c>
      <c r="AG144" s="29">
        <f t="shared" si="4"/>
        <v>6.9230769230769235E-2</v>
      </c>
    </row>
    <row r="145" spans="1:33" ht="15.75" customHeight="1" x14ac:dyDescent="0.3">
      <c r="A145" s="12" t="s">
        <v>50</v>
      </c>
      <c r="B145" s="12" t="s">
        <v>182</v>
      </c>
      <c r="C145" s="12" t="s">
        <v>399</v>
      </c>
      <c r="D145" s="14" t="s">
        <v>504</v>
      </c>
      <c r="E145" s="23">
        <v>1</v>
      </c>
      <c r="F145" s="23">
        <v>4</v>
      </c>
      <c r="G145" s="23">
        <v>0</v>
      </c>
      <c r="H145" s="23">
        <v>0</v>
      </c>
      <c r="I145" s="23">
        <v>0</v>
      </c>
      <c r="J145" s="22">
        <v>0</v>
      </c>
      <c r="K145" s="23">
        <v>0</v>
      </c>
      <c r="L145" s="23">
        <v>0</v>
      </c>
      <c r="M145" s="22">
        <v>1.5</v>
      </c>
      <c r="N145" s="24">
        <v>12</v>
      </c>
      <c r="O145" s="22">
        <v>1.6999999999999999E-3</v>
      </c>
      <c r="P145" s="23">
        <v>4</v>
      </c>
      <c r="Q145" s="23">
        <v>4</v>
      </c>
      <c r="R145" s="22">
        <v>8</v>
      </c>
      <c r="S145" s="22">
        <v>1</v>
      </c>
      <c r="T145" s="23">
        <v>0</v>
      </c>
      <c r="U145" s="22">
        <v>80.543199999999999</v>
      </c>
      <c r="V145" s="23">
        <v>0</v>
      </c>
      <c r="W145" s="23">
        <v>1</v>
      </c>
      <c r="X145" s="23">
        <v>0</v>
      </c>
      <c r="Z145" s="12" t="str">
        <f t="shared" ref="Z145:AA145" si="319">D105</f>
        <v>Position.isOccupied</v>
      </c>
      <c r="AA145" s="30">
        <f t="shared" si="319"/>
        <v>1</v>
      </c>
      <c r="AB145" s="30">
        <f t="shared" si="308"/>
        <v>0</v>
      </c>
      <c r="AC145" s="30">
        <f t="shared" si="309"/>
        <v>9</v>
      </c>
      <c r="AD145" s="31">
        <f t="shared" ref="AD145:AF145" si="320">(AA145-MIN(AA$6:AA$236))/(MAX(AA$6:AA$236)-MIN(AA$6:AA$236))</f>
        <v>0</v>
      </c>
      <c r="AE145" s="31">
        <f t="shared" si="320"/>
        <v>0</v>
      </c>
      <c r="AF145" s="31">
        <f t="shared" si="320"/>
        <v>6.9230769230769235E-2</v>
      </c>
      <c r="AG145" s="32">
        <f t="shared" si="4"/>
        <v>6.9230769230769235E-2</v>
      </c>
    </row>
    <row r="146" spans="1:33" ht="15.75" customHeight="1" x14ac:dyDescent="0.3">
      <c r="A146" s="6" t="s">
        <v>50</v>
      </c>
      <c r="B146" s="6" t="s">
        <v>187</v>
      </c>
      <c r="C146" s="6" t="s">
        <v>446</v>
      </c>
      <c r="D146" s="8" t="s">
        <v>505</v>
      </c>
      <c r="E146" s="19">
        <v>1</v>
      </c>
      <c r="F146" s="19">
        <v>4</v>
      </c>
      <c r="G146" s="19">
        <v>4</v>
      </c>
      <c r="H146" s="19">
        <v>0</v>
      </c>
      <c r="I146" s="19">
        <v>0</v>
      </c>
      <c r="J146" s="20">
        <v>0</v>
      </c>
      <c r="K146" s="19">
        <v>0</v>
      </c>
      <c r="L146" s="19">
        <v>0</v>
      </c>
      <c r="M146" s="20">
        <v>0</v>
      </c>
      <c r="N146" s="25" t="s">
        <v>222</v>
      </c>
      <c r="O146" s="25" t="s">
        <v>222</v>
      </c>
      <c r="P146" s="19">
        <v>0</v>
      </c>
      <c r="Q146" s="19">
        <v>0</v>
      </c>
      <c r="R146" s="25" t="s">
        <v>222</v>
      </c>
      <c r="S146" s="20">
        <v>0</v>
      </c>
      <c r="T146" s="19">
        <v>0</v>
      </c>
      <c r="U146" s="25" t="s">
        <v>173</v>
      </c>
      <c r="V146" s="19">
        <v>-1</v>
      </c>
      <c r="W146" s="19">
        <v>0</v>
      </c>
      <c r="X146" s="19">
        <v>0</v>
      </c>
      <c r="Z146" s="6" t="str">
        <f t="shared" ref="Z146:AA146" si="321">D106</f>
        <v>Ship.getPositions</v>
      </c>
      <c r="AA146" s="27">
        <f t="shared" si="321"/>
        <v>1</v>
      </c>
      <c r="AB146" s="27">
        <f t="shared" si="308"/>
        <v>0</v>
      </c>
      <c r="AC146" s="27">
        <f t="shared" si="309"/>
        <v>9</v>
      </c>
      <c r="AD146" s="28">
        <f t="shared" ref="AD146:AF146" si="322">(AA146-MIN(AA$6:AA$236))/(MAX(AA$6:AA$236)-MIN(AA$6:AA$236))</f>
        <v>0</v>
      </c>
      <c r="AE146" s="28">
        <f t="shared" si="322"/>
        <v>0</v>
      </c>
      <c r="AF146" s="28">
        <f t="shared" si="322"/>
        <v>6.9230769230769235E-2</v>
      </c>
      <c r="AG146" s="29">
        <f t="shared" si="4"/>
        <v>6.9230769230769235E-2</v>
      </c>
    </row>
    <row r="147" spans="1:33" ht="15.75" customHeight="1" x14ac:dyDescent="0.3">
      <c r="A147" s="12" t="s">
        <v>50</v>
      </c>
      <c r="B147" s="12" t="s">
        <v>192</v>
      </c>
      <c r="C147" s="12" t="s">
        <v>458</v>
      </c>
      <c r="D147" s="14" t="s">
        <v>506</v>
      </c>
      <c r="E147" s="23">
        <v>1</v>
      </c>
      <c r="F147" s="23">
        <v>4</v>
      </c>
      <c r="G147" s="23">
        <v>0</v>
      </c>
      <c r="H147" s="23">
        <v>0</v>
      </c>
      <c r="I147" s="23">
        <v>0</v>
      </c>
      <c r="J147" s="22">
        <v>0</v>
      </c>
      <c r="K147" s="23">
        <v>0</v>
      </c>
      <c r="L147" s="23">
        <v>0</v>
      </c>
      <c r="M147" s="22">
        <v>2</v>
      </c>
      <c r="N147" s="24">
        <v>23.2193</v>
      </c>
      <c r="O147" s="22">
        <v>2.7000000000000001E-3</v>
      </c>
      <c r="P147" s="23">
        <v>5</v>
      </c>
      <c r="Q147" s="23">
        <v>5</v>
      </c>
      <c r="R147" s="22">
        <v>11.6096</v>
      </c>
      <c r="S147" s="22">
        <v>1</v>
      </c>
      <c r="T147" s="23">
        <v>0</v>
      </c>
      <c r="U147" s="22">
        <v>79.574799999999996</v>
      </c>
      <c r="V147" s="23">
        <v>0</v>
      </c>
      <c r="W147" s="23">
        <v>1</v>
      </c>
      <c r="X147" s="23">
        <v>0</v>
      </c>
      <c r="Z147" s="12" t="str">
        <f t="shared" ref="Z147:AA147" si="323">D107</f>
        <v>Ship.getSize</v>
      </c>
      <c r="AA147" s="30">
        <f t="shared" si="323"/>
        <v>1</v>
      </c>
      <c r="AB147" s="30">
        <f t="shared" si="308"/>
        <v>0</v>
      </c>
      <c r="AC147" s="30">
        <f t="shared" si="309"/>
        <v>9</v>
      </c>
      <c r="AD147" s="31">
        <f t="shared" ref="AD147:AF147" si="324">(AA147-MIN(AA$6:AA$236))/(MAX(AA$6:AA$236)-MIN(AA$6:AA$236))</f>
        <v>0</v>
      </c>
      <c r="AE147" s="31">
        <f t="shared" si="324"/>
        <v>0</v>
      </c>
      <c r="AF147" s="31">
        <f t="shared" si="324"/>
        <v>6.9230769230769235E-2</v>
      </c>
      <c r="AG147" s="32">
        <f t="shared" si="4"/>
        <v>6.9230769230769235E-2</v>
      </c>
    </row>
    <row r="148" spans="1:33" ht="15.75" customHeight="1" x14ac:dyDescent="0.3">
      <c r="A148" s="6" t="s">
        <v>50</v>
      </c>
      <c r="B148" s="6" t="s">
        <v>192</v>
      </c>
      <c r="C148" s="6" t="s">
        <v>461</v>
      </c>
      <c r="D148" s="8" t="s">
        <v>507</v>
      </c>
      <c r="E148" s="19">
        <v>1</v>
      </c>
      <c r="F148" s="19">
        <v>4</v>
      </c>
      <c r="G148" s="19">
        <v>0</v>
      </c>
      <c r="H148" s="19">
        <v>0</v>
      </c>
      <c r="I148" s="19">
        <v>0</v>
      </c>
      <c r="J148" s="20">
        <v>0</v>
      </c>
      <c r="K148" s="19">
        <v>0</v>
      </c>
      <c r="L148" s="19">
        <v>0</v>
      </c>
      <c r="M148" s="20">
        <v>1.5</v>
      </c>
      <c r="N148" s="21">
        <v>12</v>
      </c>
      <c r="O148" s="20">
        <v>1.6999999999999999E-3</v>
      </c>
      <c r="P148" s="19">
        <v>4</v>
      </c>
      <c r="Q148" s="19">
        <v>4</v>
      </c>
      <c r="R148" s="20">
        <v>8</v>
      </c>
      <c r="S148" s="20">
        <v>1</v>
      </c>
      <c r="T148" s="19">
        <v>0</v>
      </c>
      <c r="U148" s="20">
        <v>80.543199999999999</v>
      </c>
      <c r="V148" s="19">
        <v>0</v>
      </c>
      <c r="W148" s="19">
        <v>1</v>
      </c>
      <c r="X148" s="19">
        <v>0</v>
      </c>
      <c r="Z148" s="6" t="str">
        <f t="shared" ref="Z148:AA148" si="325">D109</f>
        <v>Move.toString</v>
      </c>
      <c r="AA148" s="27">
        <f t="shared" si="325"/>
        <v>1</v>
      </c>
      <c r="AB148" s="27">
        <f t="shared" ref="AB148:AB150" si="326">G109</f>
        <v>0</v>
      </c>
      <c r="AC148" s="27">
        <f t="shared" ref="AC148:AC150" si="327">F109</f>
        <v>8</v>
      </c>
      <c r="AD148" s="28">
        <f t="shared" ref="AD148:AF148" si="328">(AA148-MIN(AA$6:AA$236))/(MAX(AA$6:AA$236)-MIN(AA$6:AA$236))</f>
        <v>0</v>
      </c>
      <c r="AE148" s="28">
        <f t="shared" si="328"/>
        <v>0</v>
      </c>
      <c r="AF148" s="28">
        <f t="shared" si="328"/>
        <v>6.1538461538461542E-2</v>
      </c>
      <c r="AG148" s="29">
        <f t="shared" si="4"/>
        <v>6.1538461538461542E-2</v>
      </c>
    </row>
    <row r="149" spans="1:33" ht="15.75" customHeight="1" x14ac:dyDescent="0.3">
      <c r="A149" s="12" t="s">
        <v>50</v>
      </c>
      <c r="B149" s="12" t="s">
        <v>192</v>
      </c>
      <c r="C149" s="12" t="s">
        <v>463</v>
      </c>
      <c r="D149" s="14" t="s">
        <v>508</v>
      </c>
      <c r="E149" s="23">
        <v>1</v>
      </c>
      <c r="F149" s="23">
        <v>4</v>
      </c>
      <c r="G149" s="23">
        <v>0</v>
      </c>
      <c r="H149" s="23">
        <v>0</v>
      </c>
      <c r="I149" s="23">
        <v>0</v>
      </c>
      <c r="J149" s="22">
        <v>0</v>
      </c>
      <c r="K149" s="23">
        <v>0</v>
      </c>
      <c r="L149" s="23">
        <v>0</v>
      </c>
      <c r="M149" s="22">
        <v>1.5</v>
      </c>
      <c r="N149" s="24">
        <v>12</v>
      </c>
      <c r="O149" s="22">
        <v>1.6999999999999999E-3</v>
      </c>
      <c r="P149" s="23">
        <v>4</v>
      </c>
      <c r="Q149" s="23">
        <v>4</v>
      </c>
      <c r="R149" s="22">
        <v>8</v>
      </c>
      <c r="S149" s="22">
        <v>1</v>
      </c>
      <c r="T149" s="23">
        <v>0</v>
      </c>
      <c r="U149" s="22">
        <v>80.543199999999999</v>
      </c>
      <c r="V149" s="23">
        <v>0</v>
      </c>
      <c r="W149" s="23">
        <v>1</v>
      </c>
      <c r="X149" s="23">
        <v>0</v>
      </c>
      <c r="Z149" s="12" t="str">
        <f t="shared" ref="Z149:AA149" si="329">D110</f>
        <v>Position.getClassicColumn</v>
      </c>
      <c r="AA149" s="30">
        <f t="shared" si="329"/>
        <v>1</v>
      </c>
      <c r="AB149" s="30">
        <f t="shared" si="326"/>
        <v>0</v>
      </c>
      <c r="AC149" s="30">
        <f t="shared" si="327"/>
        <v>8</v>
      </c>
      <c r="AD149" s="31">
        <f t="shared" ref="AD149:AF149" si="330">(AA149-MIN(AA$6:AA$236))/(MAX(AA$6:AA$236)-MIN(AA$6:AA$236))</f>
        <v>0</v>
      </c>
      <c r="AE149" s="31">
        <f t="shared" si="330"/>
        <v>0</v>
      </c>
      <c r="AF149" s="31">
        <f t="shared" si="330"/>
        <v>6.1538461538461542E-2</v>
      </c>
      <c r="AG149" s="32">
        <f t="shared" si="4"/>
        <v>6.1538461538461542E-2</v>
      </c>
    </row>
    <row r="150" spans="1:33" ht="15.75" customHeight="1" x14ac:dyDescent="0.3">
      <c r="A150" s="6" t="s">
        <v>95</v>
      </c>
      <c r="B150" s="6" t="s">
        <v>210</v>
      </c>
      <c r="C150" s="6" t="s">
        <v>509</v>
      </c>
      <c r="D150" s="8" t="s">
        <v>510</v>
      </c>
      <c r="E150" s="19">
        <v>1</v>
      </c>
      <c r="F150" s="19">
        <v>4</v>
      </c>
      <c r="G150" s="19">
        <v>2</v>
      </c>
      <c r="H150" s="19">
        <v>0</v>
      </c>
      <c r="I150" s="19">
        <v>0</v>
      </c>
      <c r="J150" s="20">
        <v>1</v>
      </c>
      <c r="K150" s="19">
        <v>2</v>
      </c>
      <c r="L150" s="19">
        <v>0</v>
      </c>
      <c r="M150" s="20">
        <v>2.5</v>
      </c>
      <c r="N150" s="21">
        <v>49.128700000000002</v>
      </c>
      <c r="O150" s="20">
        <v>4.4999999999999997E-3</v>
      </c>
      <c r="P150" s="19">
        <v>7</v>
      </c>
      <c r="Q150" s="19">
        <v>7</v>
      </c>
      <c r="R150" s="20">
        <v>19.651499999999999</v>
      </c>
      <c r="S150" s="20">
        <v>0</v>
      </c>
      <c r="T150" s="19">
        <v>0</v>
      </c>
      <c r="U150" s="20">
        <v>77.912800000000004</v>
      </c>
      <c r="V150" s="19">
        <v>0</v>
      </c>
      <c r="W150" s="19">
        <v>2</v>
      </c>
      <c r="X150" s="19">
        <v>0</v>
      </c>
      <c r="Z150" s="6" t="str">
        <f t="shared" ref="Z150:AA150" si="331">D111</f>
        <v>Position.getClassicRow</v>
      </c>
      <c r="AA150" s="27">
        <f t="shared" si="331"/>
        <v>1</v>
      </c>
      <c r="AB150" s="27">
        <f t="shared" si="326"/>
        <v>0</v>
      </c>
      <c r="AC150" s="27">
        <f t="shared" si="327"/>
        <v>8</v>
      </c>
      <c r="AD150" s="28">
        <f t="shared" ref="AD150:AF150" si="332">(AA150-MIN(AA$6:AA$236))/(MAX(AA$6:AA$236)-MIN(AA$6:AA$236))</f>
        <v>0</v>
      </c>
      <c r="AE150" s="28">
        <f t="shared" si="332"/>
        <v>0</v>
      </c>
      <c r="AF150" s="28">
        <f t="shared" si="332"/>
        <v>6.1538461538461542E-2</v>
      </c>
      <c r="AG150" s="29">
        <f t="shared" si="4"/>
        <v>6.1538461538461542E-2</v>
      </c>
    </row>
    <row r="151" spans="1:33" ht="15.75" customHeight="1" x14ac:dyDescent="0.3">
      <c r="A151" s="12" t="s">
        <v>95</v>
      </c>
      <c r="B151" s="12" t="s">
        <v>211</v>
      </c>
      <c r="C151" s="12" t="s">
        <v>511</v>
      </c>
      <c r="D151" s="14" t="s">
        <v>512</v>
      </c>
      <c r="E151" s="23">
        <v>1</v>
      </c>
      <c r="F151" s="23">
        <v>4</v>
      </c>
      <c r="G151" s="23">
        <v>1</v>
      </c>
      <c r="H151" s="23">
        <v>0</v>
      </c>
      <c r="I151" s="23">
        <v>0</v>
      </c>
      <c r="J151" s="22">
        <v>1</v>
      </c>
      <c r="K151" s="23">
        <v>1</v>
      </c>
      <c r="L151" s="23">
        <v>0</v>
      </c>
      <c r="M151" s="22">
        <v>1.5</v>
      </c>
      <c r="N151" s="24">
        <v>17.4145</v>
      </c>
      <c r="O151" s="22">
        <v>2.2000000000000001E-3</v>
      </c>
      <c r="P151" s="23">
        <v>5</v>
      </c>
      <c r="Q151" s="23">
        <v>5</v>
      </c>
      <c r="R151" s="22">
        <v>11.6096</v>
      </c>
      <c r="S151" s="22">
        <v>1</v>
      </c>
      <c r="T151" s="23">
        <v>0</v>
      </c>
      <c r="U151" s="22">
        <v>79.574799999999996</v>
      </c>
      <c r="V151" s="23">
        <v>0</v>
      </c>
      <c r="W151" s="23">
        <v>2</v>
      </c>
      <c r="X151" s="23">
        <v>0</v>
      </c>
      <c r="Z151" s="12" t="str">
        <f t="shared" ref="Z151:AA151" si="333">D113</f>
        <v>Fleet.Fleet</v>
      </c>
      <c r="AA151" s="30">
        <f t="shared" si="333"/>
        <v>1</v>
      </c>
      <c r="AB151" s="30">
        <f t="shared" ref="AB151:AB156" si="334">G113</f>
        <v>0</v>
      </c>
      <c r="AC151" s="30">
        <f t="shared" ref="AC151:AC156" si="335">F113</f>
        <v>7</v>
      </c>
      <c r="AD151" s="31">
        <f t="shared" ref="AD151:AF151" si="336">(AA151-MIN(AA$6:AA$236))/(MAX(AA$6:AA$236)-MIN(AA$6:AA$236))</f>
        <v>0</v>
      </c>
      <c r="AE151" s="31">
        <f t="shared" si="336"/>
        <v>0</v>
      </c>
      <c r="AF151" s="31">
        <f t="shared" si="336"/>
        <v>5.3846153846153849E-2</v>
      </c>
      <c r="AG151" s="32">
        <f t="shared" si="4"/>
        <v>5.3846153846153849E-2</v>
      </c>
    </row>
    <row r="152" spans="1:33" ht="15.75" customHeight="1" x14ac:dyDescent="0.3">
      <c r="A152" s="6" t="s">
        <v>95</v>
      </c>
      <c r="B152" s="6" t="s">
        <v>211</v>
      </c>
      <c r="C152" s="6" t="s">
        <v>513</v>
      </c>
      <c r="D152" s="8" t="s">
        <v>514</v>
      </c>
      <c r="E152" s="19">
        <v>1</v>
      </c>
      <c r="F152" s="19">
        <v>4</v>
      </c>
      <c r="G152" s="19">
        <v>1</v>
      </c>
      <c r="H152" s="19">
        <v>0</v>
      </c>
      <c r="I152" s="19">
        <v>0</v>
      </c>
      <c r="J152" s="20">
        <v>1</v>
      </c>
      <c r="K152" s="19">
        <v>1</v>
      </c>
      <c r="L152" s="19">
        <v>0</v>
      </c>
      <c r="M152" s="20">
        <v>1.5</v>
      </c>
      <c r="N152" s="21">
        <v>17.4145</v>
      </c>
      <c r="O152" s="20">
        <v>2.2000000000000001E-3</v>
      </c>
      <c r="P152" s="19">
        <v>5</v>
      </c>
      <c r="Q152" s="19">
        <v>5</v>
      </c>
      <c r="R152" s="20">
        <v>11.6096</v>
      </c>
      <c r="S152" s="20">
        <v>1</v>
      </c>
      <c r="T152" s="19">
        <v>0</v>
      </c>
      <c r="U152" s="20">
        <v>79.574799999999996</v>
      </c>
      <c r="V152" s="19">
        <v>0</v>
      </c>
      <c r="W152" s="19">
        <v>2</v>
      </c>
      <c r="X152" s="19">
        <v>0</v>
      </c>
      <c r="Z152" s="6" t="str">
        <f t="shared" ref="Z152:AA152" si="337">D114</f>
        <v>Fleet.printAllShips</v>
      </c>
      <c r="AA152" s="27">
        <f t="shared" si="337"/>
        <v>1</v>
      </c>
      <c r="AB152" s="27">
        <f t="shared" si="334"/>
        <v>0</v>
      </c>
      <c r="AC152" s="27">
        <f t="shared" si="335"/>
        <v>7</v>
      </c>
      <c r="AD152" s="28">
        <f t="shared" ref="AD152:AF152" si="338">(AA152-MIN(AA$6:AA$236))/(MAX(AA$6:AA$236)-MIN(AA$6:AA$236))</f>
        <v>0</v>
      </c>
      <c r="AE152" s="28">
        <f t="shared" si="338"/>
        <v>0</v>
      </c>
      <c r="AF152" s="28">
        <f t="shared" si="338"/>
        <v>5.3846153846153849E-2</v>
      </c>
      <c r="AG152" s="29">
        <f t="shared" si="4"/>
        <v>5.3846153846153849E-2</v>
      </c>
    </row>
    <row r="153" spans="1:33" ht="15.75" customHeight="1" x14ac:dyDescent="0.3">
      <c r="A153" s="12" t="s">
        <v>95</v>
      </c>
      <c r="B153" s="12" t="s">
        <v>212</v>
      </c>
      <c r="C153" s="12" t="s">
        <v>515</v>
      </c>
      <c r="D153" s="14" t="s">
        <v>516</v>
      </c>
      <c r="E153" s="23">
        <v>1</v>
      </c>
      <c r="F153" s="23">
        <v>4</v>
      </c>
      <c r="G153" s="23">
        <v>0</v>
      </c>
      <c r="H153" s="23">
        <v>0</v>
      </c>
      <c r="I153" s="23">
        <v>0</v>
      </c>
      <c r="J153" s="22">
        <v>0</v>
      </c>
      <c r="K153" s="23">
        <v>0</v>
      </c>
      <c r="L153" s="23">
        <v>0</v>
      </c>
      <c r="M153" s="22">
        <v>1.5</v>
      </c>
      <c r="N153" s="24">
        <v>33.688299999999998</v>
      </c>
      <c r="O153" s="22">
        <v>3.5000000000000001E-3</v>
      </c>
      <c r="P153" s="23">
        <v>8</v>
      </c>
      <c r="Q153" s="23">
        <v>7</v>
      </c>
      <c r="R153" s="22">
        <v>22.4588</v>
      </c>
      <c r="S153" s="22">
        <v>1</v>
      </c>
      <c r="T153" s="23">
        <v>0</v>
      </c>
      <c r="U153" s="22">
        <v>77.466999999999999</v>
      </c>
      <c r="V153" s="23">
        <v>0</v>
      </c>
      <c r="W153" s="23">
        <v>2</v>
      </c>
      <c r="X153" s="23">
        <v>0</v>
      </c>
      <c r="Z153" s="12" t="str">
        <f t="shared" ref="Z153:AA153" si="339">D115</f>
        <v>Fleet.printFloatingShips</v>
      </c>
      <c r="AA153" s="30">
        <f t="shared" si="339"/>
        <v>1</v>
      </c>
      <c r="AB153" s="30">
        <f t="shared" si="334"/>
        <v>0</v>
      </c>
      <c r="AC153" s="30">
        <f t="shared" si="335"/>
        <v>7</v>
      </c>
      <c r="AD153" s="31">
        <f t="shared" ref="AD153:AF153" si="340">(AA153-MIN(AA$6:AA$236))/(MAX(AA$6:AA$236)-MIN(AA$6:AA$236))</f>
        <v>0</v>
      </c>
      <c r="AE153" s="31">
        <f t="shared" si="340"/>
        <v>0</v>
      </c>
      <c r="AF153" s="31">
        <f t="shared" si="340"/>
        <v>5.3846153846153849E-2</v>
      </c>
      <c r="AG153" s="32">
        <f t="shared" si="4"/>
        <v>5.3846153846153849E-2</v>
      </c>
    </row>
    <row r="154" spans="1:33" ht="15.75" customHeight="1" x14ac:dyDescent="0.3">
      <c r="A154" s="6" t="s">
        <v>95</v>
      </c>
      <c r="B154" s="6" t="s">
        <v>212</v>
      </c>
      <c r="C154" s="6" t="s">
        <v>517</v>
      </c>
      <c r="D154" s="8" t="s">
        <v>518</v>
      </c>
      <c r="E154" s="19">
        <v>1</v>
      </c>
      <c r="F154" s="19">
        <v>4</v>
      </c>
      <c r="G154" s="19">
        <v>0</v>
      </c>
      <c r="H154" s="19">
        <v>0</v>
      </c>
      <c r="I154" s="19">
        <v>0</v>
      </c>
      <c r="J154" s="20">
        <v>0</v>
      </c>
      <c r="K154" s="19">
        <v>0</v>
      </c>
      <c r="L154" s="19">
        <v>0</v>
      </c>
      <c r="M154" s="20">
        <v>1.5</v>
      </c>
      <c r="N154" s="21">
        <v>33.688299999999998</v>
      </c>
      <c r="O154" s="20">
        <v>3.5000000000000001E-3</v>
      </c>
      <c r="P154" s="19">
        <v>8</v>
      </c>
      <c r="Q154" s="19">
        <v>7</v>
      </c>
      <c r="R154" s="20">
        <v>22.4588</v>
      </c>
      <c r="S154" s="20">
        <v>1</v>
      </c>
      <c r="T154" s="19">
        <v>0</v>
      </c>
      <c r="U154" s="20">
        <v>77.466999999999999</v>
      </c>
      <c r="V154" s="19">
        <v>0</v>
      </c>
      <c r="W154" s="19">
        <v>2</v>
      </c>
      <c r="X154" s="19">
        <v>0</v>
      </c>
      <c r="Z154" s="6" t="str">
        <f t="shared" ref="Z154:AA154" si="341">D116</f>
        <v>Position.occupy</v>
      </c>
      <c r="AA154" s="27">
        <f t="shared" si="341"/>
        <v>1</v>
      </c>
      <c r="AB154" s="27">
        <f t="shared" si="334"/>
        <v>0</v>
      </c>
      <c r="AC154" s="27">
        <f t="shared" si="335"/>
        <v>7</v>
      </c>
      <c r="AD154" s="28">
        <f t="shared" ref="AD154:AF154" si="342">(AA154-MIN(AA$6:AA$236))/(MAX(AA$6:AA$236)-MIN(AA$6:AA$236))</f>
        <v>0</v>
      </c>
      <c r="AE154" s="28">
        <f t="shared" si="342"/>
        <v>0</v>
      </c>
      <c r="AF154" s="28">
        <f t="shared" si="342"/>
        <v>5.3846153846153849E-2</v>
      </c>
      <c r="AG154" s="29">
        <f t="shared" si="4"/>
        <v>5.3846153846153849E-2</v>
      </c>
    </row>
    <row r="155" spans="1:33" ht="15.75" customHeight="1" x14ac:dyDescent="0.3">
      <c r="A155" s="12" t="s">
        <v>50</v>
      </c>
      <c r="B155" s="12" t="s">
        <v>168</v>
      </c>
      <c r="C155" s="12" t="s">
        <v>207</v>
      </c>
      <c r="D155" s="14" t="s">
        <v>519</v>
      </c>
      <c r="E155" s="23">
        <v>1</v>
      </c>
      <c r="F155" s="23">
        <v>3</v>
      </c>
      <c r="G155" s="23">
        <v>0</v>
      </c>
      <c r="H155" s="23">
        <v>0</v>
      </c>
      <c r="I155" s="23">
        <v>0</v>
      </c>
      <c r="J155" s="22">
        <v>0</v>
      </c>
      <c r="K155" s="23">
        <v>0</v>
      </c>
      <c r="L155" s="23">
        <v>0</v>
      </c>
      <c r="M155" s="22">
        <v>0</v>
      </c>
      <c r="N155" s="24">
        <v>0</v>
      </c>
      <c r="O155" s="22">
        <v>0</v>
      </c>
      <c r="P155" s="23">
        <v>1</v>
      </c>
      <c r="Q155" s="23">
        <v>1</v>
      </c>
      <c r="R155" s="22">
        <v>0</v>
      </c>
      <c r="S155" s="22">
        <v>0</v>
      </c>
      <c r="T155" s="23">
        <v>0</v>
      </c>
      <c r="U155" s="26" t="s">
        <v>173</v>
      </c>
      <c r="V155" s="23">
        <v>0</v>
      </c>
      <c r="W155" s="23">
        <v>0</v>
      </c>
      <c r="X155" s="23">
        <v>0</v>
      </c>
      <c r="Z155" s="12" t="str">
        <f t="shared" ref="Z155:AA155" si="343">D117</f>
        <v>Position.randomPosition</v>
      </c>
      <c r="AA155" s="30">
        <f t="shared" si="343"/>
        <v>1</v>
      </c>
      <c r="AB155" s="30">
        <f t="shared" si="334"/>
        <v>0</v>
      </c>
      <c r="AC155" s="30">
        <f t="shared" si="335"/>
        <v>7</v>
      </c>
      <c r="AD155" s="31">
        <f t="shared" ref="AD155:AF155" si="344">(AA155-MIN(AA$6:AA$236))/(MAX(AA$6:AA$236)-MIN(AA$6:AA$236))</f>
        <v>0</v>
      </c>
      <c r="AE155" s="31">
        <f t="shared" si="344"/>
        <v>0</v>
      </c>
      <c r="AF155" s="31">
        <f t="shared" si="344"/>
        <v>5.3846153846153849E-2</v>
      </c>
      <c r="AG155" s="32">
        <f t="shared" si="4"/>
        <v>5.3846153846153849E-2</v>
      </c>
    </row>
    <row r="156" spans="1:33" ht="15.75" customHeight="1" x14ac:dyDescent="0.3">
      <c r="A156" s="6" t="s">
        <v>50</v>
      </c>
      <c r="B156" s="6" t="s">
        <v>172</v>
      </c>
      <c r="C156" s="6" t="s">
        <v>219</v>
      </c>
      <c r="D156" s="8" t="s">
        <v>520</v>
      </c>
      <c r="E156" s="19">
        <v>1</v>
      </c>
      <c r="F156" s="19">
        <v>3</v>
      </c>
      <c r="G156" s="19">
        <v>1</v>
      </c>
      <c r="H156" s="19">
        <v>0</v>
      </c>
      <c r="I156" s="19">
        <v>0</v>
      </c>
      <c r="J156" s="20">
        <v>0</v>
      </c>
      <c r="K156" s="19">
        <v>0</v>
      </c>
      <c r="L156" s="19">
        <v>0</v>
      </c>
      <c r="M156" s="20">
        <v>1</v>
      </c>
      <c r="N156" s="21">
        <v>8</v>
      </c>
      <c r="O156" s="20">
        <v>1.2999999999999999E-3</v>
      </c>
      <c r="P156" s="19">
        <v>4</v>
      </c>
      <c r="Q156" s="19">
        <v>4</v>
      </c>
      <c r="R156" s="20">
        <v>8</v>
      </c>
      <c r="S156" s="20">
        <v>1</v>
      </c>
      <c r="T156" s="19">
        <v>0</v>
      </c>
      <c r="U156" s="20">
        <v>83.268600000000006</v>
      </c>
      <c r="V156" s="19">
        <v>0</v>
      </c>
      <c r="W156" s="19">
        <v>2</v>
      </c>
      <c r="X156" s="19">
        <v>0</v>
      </c>
      <c r="Z156" s="6" t="str">
        <f t="shared" ref="Z156:AA156" si="345">D118</f>
        <v>Position.shoot</v>
      </c>
      <c r="AA156" s="27">
        <f t="shared" si="345"/>
        <v>1</v>
      </c>
      <c r="AB156" s="27">
        <f t="shared" si="334"/>
        <v>0</v>
      </c>
      <c r="AC156" s="27">
        <f t="shared" si="335"/>
        <v>7</v>
      </c>
      <c r="AD156" s="28">
        <f t="shared" ref="AD156:AF156" si="346">(AA156-MIN(AA$6:AA$236))/(MAX(AA$6:AA$236)-MIN(AA$6:AA$236))</f>
        <v>0</v>
      </c>
      <c r="AE156" s="28">
        <f t="shared" si="346"/>
        <v>0</v>
      </c>
      <c r="AF156" s="28">
        <f t="shared" si="346"/>
        <v>5.3846153846153849E-2</v>
      </c>
      <c r="AG156" s="29">
        <f t="shared" si="4"/>
        <v>5.3846153846153849E-2</v>
      </c>
    </row>
    <row r="157" spans="1:33" ht="15.75" customHeight="1" x14ac:dyDescent="0.3">
      <c r="A157" s="12" t="s">
        <v>50</v>
      </c>
      <c r="B157" s="12" t="s">
        <v>180</v>
      </c>
      <c r="C157" s="12" t="s">
        <v>375</v>
      </c>
      <c r="D157" s="14" t="s">
        <v>329</v>
      </c>
      <c r="E157" s="23">
        <v>1</v>
      </c>
      <c r="F157" s="23">
        <v>3</v>
      </c>
      <c r="G157" s="23">
        <v>2</v>
      </c>
      <c r="H157" s="23">
        <v>0</v>
      </c>
      <c r="I157" s="23">
        <v>0</v>
      </c>
      <c r="J157" s="22">
        <v>0.5</v>
      </c>
      <c r="K157" s="23">
        <v>1</v>
      </c>
      <c r="L157" s="23">
        <v>0</v>
      </c>
      <c r="M157" s="22">
        <v>3</v>
      </c>
      <c r="N157" s="24">
        <v>85.587999999999994</v>
      </c>
      <c r="O157" s="22">
        <v>6.4999999999999997E-3</v>
      </c>
      <c r="P157" s="23">
        <v>9</v>
      </c>
      <c r="Q157" s="23">
        <v>9</v>
      </c>
      <c r="R157" s="22">
        <v>28.529299999999999</v>
      </c>
      <c r="S157" s="22">
        <v>0</v>
      </c>
      <c r="T157" s="23">
        <v>0</v>
      </c>
      <c r="U157" s="22">
        <v>79.459100000000007</v>
      </c>
      <c r="V157" s="23">
        <v>0</v>
      </c>
      <c r="W157" s="23">
        <v>2</v>
      </c>
      <c r="X157" s="23">
        <v>0</v>
      </c>
      <c r="Z157" s="12" t="str">
        <f t="shared" ref="Z157:AA157" si="347">D121</f>
        <v>CellState.getSymbol</v>
      </c>
      <c r="AA157" s="30">
        <f t="shared" si="347"/>
        <v>1</v>
      </c>
      <c r="AB157" s="30">
        <f t="shared" ref="AB157:AB159" si="348">G121</f>
        <v>0</v>
      </c>
      <c r="AC157" s="30">
        <f t="shared" ref="AC157:AC159" si="349">F121</f>
        <v>6</v>
      </c>
      <c r="AD157" s="31">
        <f t="shared" ref="AD157:AF157" si="350">(AA157-MIN(AA$6:AA$236))/(MAX(AA$6:AA$236)-MIN(AA$6:AA$236))</f>
        <v>0</v>
      </c>
      <c r="AE157" s="31">
        <f t="shared" si="350"/>
        <v>0</v>
      </c>
      <c r="AF157" s="31">
        <f t="shared" si="350"/>
        <v>4.6153846153846156E-2</v>
      </c>
      <c r="AG157" s="32">
        <f t="shared" si="4"/>
        <v>4.6153846153846156E-2</v>
      </c>
    </row>
    <row r="158" spans="1:33" ht="15.75" customHeight="1" x14ac:dyDescent="0.3">
      <c r="A158" s="6" t="s">
        <v>50</v>
      </c>
      <c r="B158" s="6" t="s">
        <v>183</v>
      </c>
      <c r="C158" s="6" t="s">
        <v>408</v>
      </c>
      <c r="D158" s="8" t="s">
        <v>521</v>
      </c>
      <c r="E158" s="19">
        <v>1</v>
      </c>
      <c r="F158" s="19">
        <v>3</v>
      </c>
      <c r="G158" s="19">
        <v>0</v>
      </c>
      <c r="H158" s="19">
        <v>0</v>
      </c>
      <c r="I158" s="19">
        <v>0</v>
      </c>
      <c r="J158" s="20">
        <v>0</v>
      </c>
      <c r="K158" s="19">
        <v>0</v>
      </c>
      <c r="L158" s="19">
        <v>0</v>
      </c>
      <c r="M158" s="20">
        <v>0</v>
      </c>
      <c r="N158" s="21">
        <v>0</v>
      </c>
      <c r="O158" s="20">
        <v>0</v>
      </c>
      <c r="P158" s="19">
        <v>1</v>
      </c>
      <c r="Q158" s="19">
        <v>1</v>
      </c>
      <c r="R158" s="20">
        <v>0</v>
      </c>
      <c r="S158" s="20">
        <v>0</v>
      </c>
      <c r="T158" s="19">
        <v>0</v>
      </c>
      <c r="U158" s="25" t="s">
        <v>173</v>
      </c>
      <c r="V158" s="19">
        <v>0</v>
      </c>
      <c r="W158" s="19">
        <v>0</v>
      </c>
      <c r="X158" s="19">
        <v>0</v>
      </c>
      <c r="Z158" s="6" t="str">
        <f t="shared" ref="Z158:AA158" si="351">D122</f>
        <v>Game.getRemainingShips</v>
      </c>
      <c r="AA158" s="27">
        <f t="shared" si="351"/>
        <v>1</v>
      </c>
      <c r="AB158" s="27">
        <f t="shared" si="348"/>
        <v>0</v>
      </c>
      <c r="AC158" s="27">
        <f t="shared" si="349"/>
        <v>6</v>
      </c>
      <c r="AD158" s="28">
        <f t="shared" ref="AD158:AF158" si="352">(AA158-MIN(AA$6:AA$236))/(MAX(AA$6:AA$236)-MIN(AA$6:AA$236))</f>
        <v>0</v>
      </c>
      <c r="AE158" s="28">
        <f t="shared" si="352"/>
        <v>0</v>
      </c>
      <c r="AF158" s="28">
        <f t="shared" si="352"/>
        <v>4.6153846153846156E-2</v>
      </c>
      <c r="AG158" s="29">
        <f t="shared" si="4"/>
        <v>4.6153846153846156E-2</v>
      </c>
    </row>
    <row r="159" spans="1:33" ht="15.75" customHeight="1" x14ac:dyDescent="0.3">
      <c r="A159" s="12" t="s">
        <v>95</v>
      </c>
      <c r="B159" s="12" t="s">
        <v>198</v>
      </c>
      <c r="C159" s="12" t="s">
        <v>427</v>
      </c>
      <c r="D159" s="14" t="s">
        <v>522</v>
      </c>
      <c r="E159" s="23">
        <v>1</v>
      </c>
      <c r="F159" s="23">
        <v>3</v>
      </c>
      <c r="G159" s="23">
        <v>1</v>
      </c>
      <c r="H159" s="23">
        <v>0</v>
      </c>
      <c r="I159" s="23">
        <v>0</v>
      </c>
      <c r="J159" s="22">
        <v>1</v>
      </c>
      <c r="K159" s="23">
        <v>1</v>
      </c>
      <c r="L159" s="23">
        <v>0</v>
      </c>
      <c r="M159" s="22">
        <v>2.5</v>
      </c>
      <c r="N159" s="24">
        <v>38.7744</v>
      </c>
      <c r="O159" s="22">
        <v>3.8E-3</v>
      </c>
      <c r="P159" s="23">
        <v>6</v>
      </c>
      <c r="Q159" s="23">
        <v>6</v>
      </c>
      <c r="R159" s="22">
        <v>15.5098</v>
      </c>
      <c r="S159" s="22">
        <v>0</v>
      </c>
      <c r="T159" s="23">
        <v>0</v>
      </c>
      <c r="U159" s="22">
        <v>81.357100000000003</v>
      </c>
      <c r="V159" s="23">
        <v>0</v>
      </c>
      <c r="W159" s="23">
        <v>1</v>
      </c>
      <c r="X159" s="23">
        <v>0</v>
      </c>
      <c r="Z159" s="12" t="str">
        <f t="shared" ref="Z159:AA159" si="353">D123</f>
        <v>Game.over</v>
      </c>
      <c r="AA159" s="30">
        <f t="shared" si="353"/>
        <v>1</v>
      </c>
      <c r="AB159" s="30">
        <f t="shared" si="348"/>
        <v>0</v>
      </c>
      <c r="AC159" s="30">
        <f t="shared" si="349"/>
        <v>6</v>
      </c>
      <c r="AD159" s="31">
        <f t="shared" ref="AD159:AF159" si="354">(AA159-MIN(AA$6:AA$236))/(MAX(AA$6:AA$236)-MIN(AA$6:AA$236))</f>
        <v>0</v>
      </c>
      <c r="AE159" s="31">
        <f t="shared" si="354"/>
        <v>0</v>
      </c>
      <c r="AF159" s="31">
        <f t="shared" si="354"/>
        <v>4.6153846153846156E-2</v>
      </c>
      <c r="AG159" s="32">
        <f t="shared" si="4"/>
        <v>4.6153846153846156E-2</v>
      </c>
    </row>
    <row r="160" spans="1:33" ht="15.75" customHeight="1" x14ac:dyDescent="0.3">
      <c r="A160" s="6" t="s">
        <v>50</v>
      </c>
      <c r="B160" s="6" t="s">
        <v>180</v>
      </c>
      <c r="C160" s="6" t="s">
        <v>369</v>
      </c>
      <c r="D160" s="8" t="s">
        <v>523</v>
      </c>
      <c r="E160" s="19">
        <v>1</v>
      </c>
      <c r="F160" s="19">
        <v>1</v>
      </c>
      <c r="G160" s="19">
        <v>0</v>
      </c>
      <c r="H160" s="19">
        <v>0</v>
      </c>
      <c r="I160" s="19">
        <v>0</v>
      </c>
      <c r="J160" s="20">
        <v>0</v>
      </c>
      <c r="K160" s="19">
        <v>0</v>
      </c>
      <c r="L160" s="19">
        <v>0</v>
      </c>
      <c r="M160" s="20">
        <v>0</v>
      </c>
      <c r="N160" s="21">
        <v>0</v>
      </c>
      <c r="O160" s="20">
        <v>0</v>
      </c>
      <c r="P160" s="19">
        <v>1</v>
      </c>
      <c r="Q160" s="19">
        <v>1</v>
      </c>
      <c r="R160" s="20">
        <v>0</v>
      </c>
      <c r="S160" s="20">
        <v>0</v>
      </c>
      <c r="T160" s="19">
        <v>0</v>
      </c>
      <c r="U160" s="25" t="s">
        <v>173</v>
      </c>
      <c r="V160" s="19">
        <v>0</v>
      </c>
      <c r="W160" s="19">
        <v>0</v>
      </c>
      <c r="X160" s="19">
        <v>0</v>
      </c>
      <c r="Z160" s="6" t="str">
        <f t="shared" ref="Z160:AA160" si="355">D126</f>
        <v>I18n.getCurrentLanguage</v>
      </c>
      <c r="AA160" s="27">
        <f t="shared" si="355"/>
        <v>1</v>
      </c>
      <c r="AB160" s="27">
        <f>G126</f>
        <v>0</v>
      </c>
      <c r="AC160" s="27">
        <f>F126</f>
        <v>6</v>
      </c>
      <c r="AD160" s="28">
        <f t="shared" ref="AD160:AF160" si="356">(AA160-MIN(AA$6:AA$236))/(MAX(AA$6:AA$236)-MIN(AA$6:AA$236))</f>
        <v>0</v>
      </c>
      <c r="AE160" s="28">
        <f t="shared" si="356"/>
        <v>0</v>
      </c>
      <c r="AF160" s="28">
        <f t="shared" si="356"/>
        <v>4.6153846153846156E-2</v>
      </c>
      <c r="AG160" s="29">
        <f t="shared" si="4"/>
        <v>4.6153846153846156E-2</v>
      </c>
    </row>
    <row r="161" spans="1:33" ht="15.75" customHeight="1" x14ac:dyDescent="0.3">
      <c r="A161" s="12" t="s">
        <v>50</v>
      </c>
      <c r="B161" s="12" t="s">
        <v>182</v>
      </c>
      <c r="C161" s="12" t="s">
        <v>395</v>
      </c>
      <c r="D161" s="14" t="s">
        <v>524</v>
      </c>
      <c r="E161" s="23">
        <v>1</v>
      </c>
      <c r="F161" s="23">
        <v>1</v>
      </c>
      <c r="G161" s="23">
        <v>1</v>
      </c>
      <c r="H161" s="23">
        <v>0</v>
      </c>
      <c r="I161" s="23">
        <v>0</v>
      </c>
      <c r="J161" s="22">
        <v>0</v>
      </c>
      <c r="K161" s="23">
        <v>0</v>
      </c>
      <c r="L161" s="23">
        <v>0</v>
      </c>
      <c r="M161" s="22">
        <v>0</v>
      </c>
      <c r="N161" s="26" t="s">
        <v>222</v>
      </c>
      <c r="O161" s="26" t="s">
        <v>222</v>
      </c>
      <c r="P161" s="23">
        <v>0</v>
      </c>
      <c r="Q161" s="23">
        <v>0</v>
      </c>
      <c r="R161" s="26" t="s">
        <v>222</v>
      </c>
      <c r="S161" s="22">
        <v>0</v>
      </c>
      <c r="T161" s="23">
        <v>0</v>
      </c>
      <c r="U161" s="26" t="s">
        <v>173</v>
      </c>
      <c r="V161" s="23">
        <v>-1</v>
      </c>
      <c r="W161" s="23">
        <v>0</v>
      </c>
      <c r="X161" s="23">
        <v>0</v>
      </c>
      <c r="Z161" s="12" t="str">
        <f t="shared" ref="Z161:AA161" si="357">D129</f>
        <v>CallbackClient.CallbackClient</v>
      </c>
      <c r="AA161" s="30">
        <f t="shared" si="357"/>
        <v>1</v>
      </c>
      <c r="AB161" s="30">
        <f t="shared" ref="AB161:AB169" si="358">G129</f>
        <v>0</v>
      </c>
      <c r="AC161" s="30">
        <f t="shared" ref="AC161:AC169" si="359">F129</f>
        <v>6</v>
      </c>
      <c r="AD161" s="31">
        <f t="shared" ref="AD161:AF161" si="360">(AA161-MIN(AA$6:AA$236))/(MAX(AA$6:AA$236)-MIN(AA$6:AA$236))</f>
        <v>0</v>
      </c>
      <c r="AE161" s="31">
        <f t="shared" si="360"/>
        <v>0</v>
      </c>
      <c r="AF161" s="31">
        <f t="shared" si="360"/>
        <v>4.6153846153846156E-2</v>
      </c>
      <c r="AG161" s="32">
        <f t="shared" si="4"/>
        <v>4.6153846153846156E-2</v>
      </c>
    </row>
    <row r="162" spans="1:33" ht="15.75" customHeight="1" x14ac:dyDescent="0.3">
      <c r="A162" s="6" t="s">
        <v>50</v>
      </c>
      <c r="B162" s="6" t="s">
        <v>182</v>
      </c>
      <c r="C162" s="6" t="s">
        <v>405</v>
      </c>
      <c r="D162" s="8" t="s">
        <v>525</v>
      </c>
      <c r="E162" s="19">
        <v>1</v>
      </c>
      <c r="F162" s="19">
        <v>1</v>
      </c>
      <c r="G162" s="19">
        <v>0</v>
      </c>
      <c r="H162" s="19">
        <v>0</v>
      </c>
      <c r="I162" s="19">
        <v>0</v>
      </c>
      <c r="J162" s="20">
        <v>0</v>
      </c>
      <c r="K162" s="19">
        <v>0</v>
      </c>
      <c r="L162" s="19">
        <v>0</v>
      </c>
      <c r="M162" s="20">
        <v>0</v>
      </c>
      <c r="N162" s="25" t="s">
        <v>222</v>
      </c>
      <c r="O162" s="25" t="s">
        <v>222</v>
      </c>
      <c r="P162" s="19">
        <v>0</v>
      </c>
      <c r="Q162" s="19">
        <v>0</v>
      </c>
      <c r="R162" s="25" t="s">
        <v>222</v>
      </c>
      <c r="S162" s="20">
        <v>0</v>
      </c>
      <c r="T162" s="19">
        <v>0</v>
      </c>
      <c r="U162" s="25" t="s">
        <v>173</v>
      </c>
      <c r="V162" s="19">
        <v>-1</v>
      </c>
      <c r="W162" s="19">
        <v>0</v>
      </c>
      <c r="X162" s="19">
        <v>0</v>
      </c>
      <c r="Z162" s="6" t="str">
        <f t="shared" ref="Z162:AA162" si="361">D130</f>
        <v>Game.getAlienFleet</v>
      </c>
      <c r="AA162" s="27">
        <f t="shared" si="361"/>
        <v>1</v>
      </c>
      <c r="AB162" s="27">
        <f t="shared" si="358"/>
        <v>0</v>
      </c>
      <c r="AC162" s="27">
        <f t="shared" si="359"/>
        <v>5</v>
      </c>
      <c r="AD162" s="28">
        <f t="shared" ref="AD162:AF162" si="362">(AA162-MIN(AA$6:AA$236))/(MAX(AA$6:AA$236)-MIN(AA$6:AA$236))</f>
        <v>0</v>
      </c>
      <c r="AE162" s="28">
        <f t="shared" si="362"/>
        <v>0</v>
      </c>
      <c r="AF162" s="28">
        <f t="shared" si="362"/>
        <v>3.8461538461538464E-2</v>
      </c>
      <c r="AG162" s="29">
        <f t="shared" si="4"/>
        <v>3.8461538461538464E-2</v>
      </c>
    </row>
    <row r="163" spans="1:33" ht="15.75" customHeight="1" x14ac:dyDescent="0.3">
      <c r="A163" s="12" t="s">
        <v>50</v>
      </c>
      <c r="B163" s="12" t="s">
        <v>187</v>
      </c>
      <c r="C163" s="12" t="s">
        <v>449</v>
      </c>
      <c r="D163" s="14" t="s">
        <v>526</v>
      </c>
      <c r="E163" s="23">
        <v>1</v>
      </c>
      <c r="F163" s="23">
        <v>1</v>
      </c>
      <c r="G163" s="23">
        <v>0</v>
      </c>
      <c r="H163" s="23">
        <v>0</v>
      </c>
      <c r="I163" s="23">
        <v>0</v>
      </c>
      <c r="J163" s="22">
        <v>0</v>
      </c>
      <c r="K163" s="23">
        <v>0</v>
      </c>
      <c r="L163" s="23">
        <v>0</v>
      </c>
      <c r="M163" s="22">
        <v>0</v>
      </c>
      <c r="N163" s="26" t="s">
        <v>222</v>
      </c>
      <c r="O163" s="26" t="s">
        <v>222</v>
      </c>
      <c r="P163" s="23">
        <v>0</v>
      </c>
      <c r="Q163" s="23">
        <v>0</v>
      </c>
      <c r="R163" s="26" t="s">
        <v>222</v>
      </c>
      <c r="S163" s="22">
        <v>0</v>
      </c>
      <c r="T163" s="23">
        <v>0</v>
      </c>
      <c r="U163" s="26" t="s">
        <v>173</v>
      </c>
      <c r="V163" s="23">
        <v>-1</v>
      </c>
      <c r="W163" s="23">
        <v>0</v>
      </c>
      <c r="X163" s="23">
        <v>0</v>
      </c>
      <c r="Z163" s="12" t="str">
        <f t="shared" ref="Z163:AA163" si="363">D131</f>
        <v>Game.getAlienMoves</v>
      </c>
      <c r="AA163" s="30">
        <f t="shared" si="363"/>
        <v>1</v>
      </c>
      <c r="AB163" s="30">
        <f t="shared" si="358"/>
        <v>0</v>
      </c>
      <c r="AC163" s="30">
        <f t="shared" si="359"/>
        <v>5</v>
      </c>
      <c r="AD163" s="31">
        <f t="shared" ref="AD163:AF163" si="364">(AA163-MIN(AA$6:AA$236))/(MAX(AA$6:AA$236)-MIN(AA$6:AA$236))</f>
        <v>0</v>
      </c>
      <c r="AE163" s="31">
        <f t="shared" si="364"/>
        <v>0</v>
      </c>
      <c r="AF163" s="31">
        <f t="shared" si="364"/>
        <v>3.8461538461538464E-2</v>
      </c>
      <c r="AG163" s="32">
        <f t="shared" si="4"/>
        <v>3.8461538461538464E-2</v>
      </c>
    </row>
    <row r="164" spans="1:33" ht="15.75" customHeight="1" x14ac:dyDescent="0.3">
      <c r="A164" s="6" t="s">
        <v>50</v>
      </c>
      <c r="B164" s="6" t="s">
        <v>187</v>
      </c>
      <c r="C164" s="6" t="s">
        <v>451</v>
      </c>
      <c r="D164" s="8" t="s">
        <v>527</v>
      </c>
      <c r="E164" s="19">
        <v>1</v>
      </c>
      <c r="F164" s="19">
        <v>1</v>
      </c>
      <c r="G164" s="19">
        <v>0</v>
      </c>
      <c r="H164" s="19">
        <v>0</v>
      </c>
      <c r="I164" s="19">
        <v>0</v>
      </c>
      <c r="J164" s="20">
        <v>0</v>
      </c>
      <c r="K164" s="19">
        <v>0</v>
      </c>
      <c r="L164" s="19">
        <v>0</v>
      </c>
      <c r="M164" s="20">
        <v>0</v>
      </c>
      <c r="N164" s="25" t="s">
        <v>222</v>
      </c>
      <c r="O164" s="25" t="s">
        <v>222</v>
      </c>
      <c r="P164" s="19">
        <v>0</v>
      </c>
      <c r="Q164" s="19">
        <v>0</v>
      </c>
      <c r="R164" s="25" t="s">
        <v>222</v>
      </c>
      <c r="S164" s="20">
        <v>0</v>
      </c>
      <c r="T164" s="19">
        <v>0</v>
      </c>
      <c r="U164" s="25" t="s">
        <v>173</v>
      </c>
      <c r="V164" s="19">
        <v>-1</v>
      </c>
      <c r="W164" s="19">
        <v>0</v>
      </c>
      <c r="X164" s="19">
        <v>0</v>
      </c>
      <c r="Z164" s="6" t="str">
        <f t="shared" ref="Z164:AA164" si="365">D132</f>
        <v>Game.getHits</v>
      </c>
      <c r="AA164" s="27">
        <f t="shared" si="365"/>
        <v>1</v>
      </c>
      <c r="AB164" s="27">
        <f t="shared" si="358"/>
        <v>0</v>
      </c>
      <c r="AC164" s="27">
        <f t="shared" si="359"/>
        <v>5</v>
      </c>
      <c r="AD164" s="28">
        <f t="shared" ref="AD164:AF164" si="366">(AA164-MIN(AA$6:AA$236))/(MAX(AA$6:AA$236)-MIN(AA$6:AA$236))</f>
        <v>0</v>
      </c>
      <c r="AE164" s="28">
        <f t="shared" si="366"/>
        <v>0</v>
      </c>
      <c r="AF164" s="28">
        <f t="shared" si="366"/>
        <v>3.8461538461538464E-2</v>
      </c>
      <c r="AG164" s="29">
        <f t="shared" si="4"/>
        <v>3.8461538461538464E-2</v>
      </c>
    </row>
    <row r="165" spans="1:33" ht="15.75" customHeight="1" x14ac:dyDescent="0.3">
      <c r="A165" s="12" t="s">
        <v>50</v>
      </c>
      <c r="B165" s="12" t="s">
        <v>187</v>
      </c>
      <c r="C165" s="12" t="s">
        <v>452</v>
      </c>
      <c r="D165" s="14" t="s">
        <v>528</v>
      </c>
      <c r="E165" s="23">
        <v>1</v>
      </c>
      <c r="F165" s="23">
        <v>1</v>
      </c>
      <c r="G165" s="23">
        <v>0</v>
      </c>
      <c r="H165" s="23">
        <v>0</v>
      </c>
      <c r="I165" s="23">
        <v>0</v>
      </c>
      <c r="J165" s="22">
        <v>0</v>
      </c>
      <c r="K165" s="23">
        <v>0</v>
      </c>
      <c r="L165" s="23">
        <v>0</v>
      </c>
      <c r="M165" s="22">
        <v>0</v>
      </c>
      <c r="N165" s="26" t="s">
        <v>222</v>
      </c>
      <c r="O165" s="26" t="s">
        <v>222</v>
      </c>
      <c r="P165" s="23">
        <v>0</v>
      </c>
      <c r="Q165" s="23">
        <v>0</v>
      </c>
      <c r="R165" s="26" t="s">
        <v>222</v>
      </c>
      <c r="S165" s="22">
        <v>0</v>
      </c>
      <c r="T165" s="23">
        <v>0</v>
      </c>
      <c r="U165" s="26" t="s">
        <v>173</v>
      </c>
      <c r="V165" s="23">
        <v>-1</v>
      </c>
      <c r="W165" s="23">
        <v>0</v>
      </c>
      <c r="X165" s="23">
        <v>0</v>
      </c>
      <c r="Z165" s="12" t="str">
        <f t="shared" ref="Z165:AA165" si="367">D133</f>
        <v>Game.getInvalidShots</v>
      </c>
      <c r="AA165" s="30">
        <f t="shared" si="367"/>
        <v>1</v>
      </c>
      <c r="AB165" s="30">
        <f t="shared" si="358"/>
        <v>0</v>
      </c>
      <c r="AC165" s="30">
        <f t="shared" si="359"/>
        <v>5</v>
      </c>
      <c r="AD165" s="31">
        <f t="shared" ref="AD165:AF165" si="368">(AA165-MIN(AA$6:AA$236))/(MAX(AA$6:AA$236)-MIN(AA$6:AA$236))</f>
        <v>0</v>
      </c>
      <c r="AE165" s="31">
        <f t="shared" si="368"/>
        <v>0</v>
      </c>
      <c r="AF165" s="31">
        <f t="shared" si="368"/>
        <v>3.8461538461538464E-2</v>
      </c>
      <c r="AG165" s="32">
        <f t="shared" si="4"/>
        <v>3.8461538461538464E-2</v>
      </c>
    </row>
    <row r="166" spans="1:33" ht="15.75" customHeight="1" x14ac:dyDescent="0.3">
      <c r="A166" s="6" t="s">
        <v>50</v>
      </c>
      <c r="B166" s="6" t="s">
        <v>187</v>
      </c>
      <c r="C166" s="6" t="s">
        <v>455</v>
      </c>
      <c r="D166" s="8" t="s">
        <v>529</v>
      </c>
      <c r="E166" s="19">
        <v>1</v>
      </c>
      <c r="F166" s="19">
        <v>1</v>
      </c>
      <c r="G166" s="19">
        <v>0</v>
      </c>
      <c r="H166" s="19">
        <v>0</v>
      </c>
      <c r="I166" s="19">
        <v>0</v>
      </c>
      <c r="J166" s="20">
        <v>0</v>
      </c>
      <c r="K166" s="19">
        <v>0</v>
      </c>
      <c r="L166" s="19">
        <v>0</v>
      </c>
      <c r="M166" s="20">
        <v>0</v>
      </c>
      <c r="N166" s="25" t="s">
        <v>222</v>
      </c>
      <c r="O166" s="25" t="s">
        <v>222</v>
      </c>
      <c r="P166" s="19">
        <v>0</v>
      </c>
      <c r="Q166" s="19">
        <v>0</v>
      </c>
      <c r="R166" s="25" t="s">
        <v>222</v>
      </c>
      <c r="S166" s="20">
        <v>0</v>
      </c>
      <c r="T166" s="19">
        <v>0</v>
      </c>
      <c r="U166" s="25" t="s">
        <v>173</v>
      </c>
      <c r="V166" s="19">
        <v>-1</v>
      </c>
      <c r="W166" s="19">
        <v>0</v>
      </c>
      <c r="X166" s="19">
        <v>0</v>
      </c>
      <c r="Z166" s="6" t="str">
        <f t="shared" ref="Z166:AA166" si="369">D134</f>
        <v>Game.getMyFleet</v>
      </c>
      <c r="AA166" s="27">
        <f t="shared" si="369"/>
        <v>1</v>
      </c>
      <c r="AB166" s="27">
        <f t="shared" si="358"/>
        <v>0</v>
      </c>
      <c r="AC166" s="27">
        <f t="shared" si="359"/>
        <v>5</v>
      </c>
      <c r="AD166" s="28">
        <f t="shared" ref="AD166:AF166" si="370">(AA166-MIN(AA$6:AA$236))/(MAX(AA$6:AA$236)-MIN(AA$6:AA$236))</f>
        <v>0</v>
      </c>
      <c r="AE166" s="28">
        <f t="shared" si="370"/>
        <v>0</v>
      </c>
      <c r="AF166" s="28">
        <f t="shared" si="370"/>
        <v>3.8461538461538464E-2</v>
      </c>
      <c r="AG166" s="29">
        <f t="shared" si="4"/>
        <v>3.8461538461538464E-2</v>
      </c>
    </row>
    <row r="167" spans="1:33" ht="15.75" customHeight="1" x14ac:dyDescent="0.3">
      <c r="A167" s="12" t="s">
        <v>95</v>
      </c>
      <c r="B167" s="12" t="s">
        <v>202</v>
      </c>
      <c r="C167" s="12" t="s">
        <v>530</v>
      </c>
      <c r="D167" s="14" t="s">
        <v>531</v>
      </c>
      <c r="E167" s="23">
        <v>1</v>
      </c>
      <c r="F167" s="23">
        <v>1</v>
      </c>
      <c r="G167" s="23">
        <v>1</v>
      </c>
      <c r="H167" s="23">
        <v>0</v>
      </c>
      <c r="I167" s="23">
        <v>0</v>
      </c>
      <c r="J167" s="22">
        <v>0</v>
      </c>
      <c r="K167" s="23">
        <v>0</v>
      </c>
      <c r="L167" s="23">
        <v>0</v>
      </c>
      <c r="M167" s="22">
        <v>1</v>
      </c>
      <c r="N167" s="24">
        <v>8</v>
      </c>
      <c r="O167" s="22">
        <v>1.2999999999999999E-3</v>
      </c>
      <c r="P167" s="23">
        <v>4</v>
      </c>
      <c r="Q167" s="23">
        <v>4</v>
      </c>
      <c r="R167" s="22">
        <v>8</v>
      </c>
      <c r="S167" s="22">
        <v>1</v>
      </c>
      <c r="T167" s="23">
        <v>0</v>
      </c>
      <c r="U167" s="22">
        <v>93.676599999999993</v>
      </c>
      <c r="V167" s="23">
        <v>0</v>
      </c>
      <c r="W167" s="23">
        <v>2</v>
      </c>
      <c r="X167" s="23">
        <v>0</v>
      </c>
      <c r="Z167" s="12" t="str">
        <f t="shared" ref="Z167:AA167" si="371">D135</f>
        <v>Game.getMyMoves</v>
      </c>
      <c r="AA167" s="30">
        <f t="shared" si="371"/>
        <v>1</v>
      </c>
      <c r="AB167" s="30">
        <f t="shared" si="358"/>
        <v>0</v>
      </c>
      <c r="AC167" s="30">
        <f t="shared" si="359"/>
        <v>5</v>
      </c>
      <c r="AD167" s="31">
        <f t="shared" ref="AD167:AF167" si="372">(AA167-MIN(AA$6:AA$236))/(MAX(AA$6:AA$236)-MIN(AA$6:AA$236))</f>
        <v>0</v>
      </c>
      <c r="AE167" s="31">
        <f t="shared" si="372"/>
        <v>0</v>
      </c>
      <c r="AF167" s="31">
        <f t="shared" si="372"/>
        <v>3.8461538461538464E-2</v>
      </c>
      <c r="AG167" s="32">
        <f t="shared" si="4"/>
        <v>3.8461538461538464E-2</v>
      </c>
    </row>
    <row r="168" spans="1:33" ht="15.75" customHeight="1" x14ac:dyDescent="0.3">
      <c r="A168" s="6" t="s">
        <v>95</v>
      </c>
      <c r="B168" s="6" t="s">
        <v>212</v>
      </c>
      <c r="C168" s="6" t="s">
        <v>532</v>
      </c>
      <c r="D168" s="8" t="s">
        <v>533</v>
      </c>
      <c r="E168" s="19">
        <v>1</v>
      </c>
      <c r="F168" s="19">
        <v>1</v>
      </c>
      <c r="G168" s="19">
        <v>0</v>
      </c>
      <c r="H168" s="19">
        <v>0</v>
      </c>
      <c r="I168" s="19">
        <v>0</v>
      </c>
      <c r="J168" s="20">
        <v>0</v>
      </c>
      <c r="K168" s="19">
        <v>0</v>
      </c>
      <c r="L168" s="19">
        <v>0</v>
      </c>
      <c r="M168" s="20">
        <v>1</v>
      </c>
      <c r="N168" s="21">
        <v>4.7549000000000001</v>
      </c>
      <c r="O168" s="20">
        <v>8.9999999999999998E-4</v>
      </c>
      <c r="P168" s="19">
        <v>3</v>
      </c>
      <c r="Q168" s="19">
        <v>3</v>
      </c>
      <c r="R168" s="20">
        <v>4.7549000000000001</v>
      </c>
      <c r="S168" s="20">
        <v>1</v>
      </c>
      <c r="T168" s="19">
        <v>0</v>
      </c>
      <c r="U168" s="20">
        <v>95.784400000000005</v>
      </c>
      <c r="V168" s="19">
        <v>0</v>
      </c>
      <c r="W168" s="19">
        <v>1</v>
      </c>
      <c r="X168" s="19">
        <v>0</v>
      </c>
      <c r="Z168" s="6" t="str">
        <f t="shared" ref="Z168:AA168" si="373">D136</f>
        <v>Game.getRepeatedShots</v>
      </c>
      <c r="AA168" s="27">
        <f t="shared" si="373"/>
        <v>1</v>
      </c>
      <c r="AB168" s="27">
        <f t="shared" si="358"/>
        <v>0</v>
      </c>
      <c r="AC168" s="27">
        <f t="shared" si="359"/>
        <v>5</v>
      </c>
      <c r="AD168" s="28">
        <f t="shared" ref="AD168:AF168" si="374">(AA168-MIN(AA$6:AA$236))/(MAX(AA$6:AA$236)-MIN(AA$6:AA$236))</f>
        <v>0</v>
      </c>
      <c r="AE168" s="28">
        <f t="shared" si="374"/>
        <v>0</v>
      </c>
      <c r="AF168" s="28">
        <f t="shared" si="374"/>
        <v>3.8461538461538464E-2</v>
      </c>
      <c r="AG168" s="29">
        <f t="shared" si="4"/>
        <v>3.8461538461538464E-2</v>
      </c>
    </row>
    <row r="169" spans="1:33" ht="15.75" customHeight="1" x14ac:dyDescent="0.3">
      <c r="A169" s="12" t="s">
        <v>95</v>
      </c>
      <c r="B169" s="12" t="s">
        <v>212</v>
      </c>
      <c r="C169" s="12" t="s">
        <v>534</v>
      </c>
      <c r="D169" s="14" t="s">
        <v>535</v>
      </c>
      <c r="E169" s="23">
        <v>1</v>
      </c>
      <c r="F169" s="23">
        <v>1</v>
      </c>
      <c r="G169" s="23">
        <v>0</v>
      </c>
      <c r="H169" s="23">
        <v>0</v>
      </c>
      <c r="I169" s="23">
        <v>0</v>
      </c>
      <c r="J169" s="22">
        <v>0</v>
      </c>
      <c r="K169" s="23">
        <v>0</v>
      </c>
      <c r="L169" s="23">
        <v>0</v>
      </c>
      <c r="M169" s="22">
        <v>1</v>
      </c>
      <c r="N169" s="24">
        <v>4.7549000000000001</v>
      </c>
      <c r="O169" s="22">
        <v>8.9999999999999998E-4</v>
      </c>
      <c r="P169" s="23">
        <v>3</v>
      </c>
      <c r="Q169" s="23">
        <v>3</v>
      </c>
      <c r="R169" s="22">
        <v>4.7549000000000001</v>
      </c>
      <c r="S169" s="22">
        <v>1</v>
      </c>
      <c r="T169" s="23">
        <v>0</v>
      </c>
      <c r="U169" s="22">
        <v>95.784400000000005</v>
      </c>
      <c r="V169" s="23">
        <v>0</v>
      </c>
      <c r="W169" s="23">
        <v>1</v>
      </c>
      <c r="X169" s="23">
        <v>0</v>
      </c>
      <c r="Z169" s="12" t="str">
        <f t="shared" ref="Z169:AA169" si="375">D137</f>
        <v>Game.getSunkShips</v>
      </c>
      <c r="AA169" s="30">
        <f t="shared" si="375"/>
        <v>1</v>
      </c>
      <c r="AB169" s="30">
        <f t="shared" si="358"/>
        <v>0</v>
      </c>
      <c r="AC169" s="30">
        <f t="shared" si="359"/>
        <v>5</v>
      </c>
      <c r="AD169" s="31">
        <f t="shared" ref="AD169:AF169" si="376">(AA169-MIN(AA$6:AA$236))/(MAX(AA$6:AA$236)-MIN(AA$6:AA$236))</f>
        <v>0</v>
      </c>
      <c r="AE169" s="31">
        <f t="shared" si="376"/>
        <v>0</v>
      </c>
      <c r="AF169" s="31">
        <f t="shared" si="376"/>
        <v>3.8461538461538464E-2</v>
      </c>
      <c r="AG169" s="32">
        <f t="shared" si="4"/>
        <v>3.8461538461538464E-2</v>
      </c>
    </row>
    <row r="170" spans="1:33" ht="15.75" customHeight="1" x14ac:dyDescent="0.3">
      <c r="A170" s="6" t="s">
        <v>95</v>
      </c>
      <c r="B170" s="6" t="s">
        <v>212</v>
      </c>
      <c r="C170" s="6" t="s">
        <v>536</v>
      </c>
      <c r="D170" s="8" t="s">
        <v>537</v>
      </c>
      <c r="E170" s="19">
        <v>1</v>
      </c>
      <c r="F170" s="19">
        <v>1</v>
      </c>
      <c r="G170" s="19">
        <v>0</v>
      </c>
      <c r="H170" s="19">
        <v>0</v>
      </c>
      <c r="I170" s="19">
        <v>0</v>
      </c>
      <c r="J170" s="20">
        <v>0</v>
      </c>
      <c r="K170" s="19">
        <v>0</v>
      </c>
      <c r="L170" s="19">
        <v>0</v>
      </c>
      <c r="M170" s="20">
        <v>1</v>
      </c>
      <c r="N170" s="21">
        <v>4.7549000000000001</v>
      </c>
      <c r="O170" s="20">
        <v>8.9999999999999998E-4</v>
      </c>
      <c r="P170" s="19">
        <v>3</v>
      </c>
      <c r="Q170" s="19">
        <v>3</v>
      </c>
      <c r="R170" s="20">
        <v>4.7549000000000001</v>
      </c>
      <c r="S170" s="20">
        <v>1</v>
      </c>
      <c r="T170" s="19">
        <v>0</v>
      </c>
      <c r="U170" s="20">
        <v>95.784400000000005</v>
      </c>
      <c r="V170" s="19">
        <v>0</v>
      </c>
      <c r="W170" s="19">
        <v>1</v>
      </c>
      <c r="X170" s="19">
        <v>0</v>
      </c>
      <c r="Z170" s="6" t="str">
        <f t="shared" ref="Z170:AA170" si="377">D140</f>
        <v>GameWindow.title</v>
      </c>
      <c r="AA170" s="27">
        <f t="shared" si="377"/>
        <v>1</v>
      </c>
      <c r="AB170" s="27">
        <f>G140</f>
        <v>0</v>
      </c>
      <c r="AC170" s="27">
        <f>F140</f>
        <v>5</v>
      </c>
      <c r="AD170" s="28">
        <f t="shared" ref="AD170:AF170" si="378">(AA170-MIN(AA$6:AA$236))/(MAX(AA$6:AA$236)-MIN(AA$6:AA$236))</f>
        <v>0</v>
      </c>
      <c r="AE170" s="28">
        <f t="shared" si="378"/>
        <v>0</v>
      </c>
      <c r="AF170" s="28">
        <f t="shared" si="378"/>
        <v>3.8461538461538464E-2</v>
      </c>
      <c r="AG170" s="29">
        <f t="shared" si="4"/>
        <v>3.8461538461538464E-2</v>
      </c>
    </row>
    <row r="171" spans="1:33" ht="15.75" customHeight="1" x14ac:dyDescent="0.3">
      <c r="A171" s="12" t="s">
        <v>95</v>
      </c>
      <c r="B171" s="12" t="s">
        <v>212</v>
      </c>
      <c r="C171" s="12" t="s">
        <v>538</v>
      </c>
      <c r="D171" s="14" t="s">
        <v>539</v>
      </c>
      <c r="E171" s="23">
        <v>1</v>
      </c>
      <c r="F171" s="23">
        <v>1</v>
      </c>
      <c r="G171" s="23">
        <v>0</v>
      </c>
      <c r="H171" s="23">
        <v>0</v>
      </c>
      <c r="I171" s="23">
        <v>0</v>
      </c>
      <c r="J171" s="22">
        <v>0</v>
      </c>
      <c r="K171" s="23">
        <v>0</v>
      </c>
      <c r="L171" s="23">
        <v>0</v>
      </c>
      <c r="M171" s="22">
        <v>1</v>
      </c>
      <c r="N171" s="24">
        <v>4.7549000000000001</v>
      </c>
      <c r="O171" s="22">
        <v>8.9999999999999998E-4</v>
      </c>
      <c r="P171" s="23">
        <v>3</v>
      </c>
      <c r="Q171" s="23">
        <v>3</v>
      </c>
      <c r="R171" s="22">
        <v>4.7549000000000001</v>
      </c>
      <c r="S171" s="22">
        <v>1</v>
      </c>
      <c r="T171" s="23">
        <v>0</v>
      </c>
      <c r="U171" s="22">
        <v>95.784400000000005</v>
      </c>
      <c r="V171" s="23">
        <v>0</v>
      </c>
      <c r="W171" s="23">
        <v>1</v>
      </c>
      <c r="X171" s="23">
        <v>0</v>
      </c>
      <c r="Z171" s="12" t="str">
        <f t="shared" ref="Z171:AA171" si="379">D144</f>
        <v>CellIcon.getIconHeight</v>
      </c>
      <c r="AA171" s="30">
        <f t="shared" si="379"/>
        <v>1</v>
      </c>
      <c r="AB171" s="30">
        <f t="shared" ref="AB171:AB172" si="380">G144</f>
        <v>0</v>
      </c>
      <c r="AC171" s="30">
        <f t="shared" ref="AC171:AC172" si="381">F144</f>
        <v>4</v>
      </c>
      <c r="AD171" s="31">
        <f t="shared" ref="AD171:AF171" si="382">(AA171-MIN(AA$6:AA$236))/(MAX(AA$6:AA$236)-MIN(AA$6:AA$236))</f>
        <v>0</v>
      </c>
      <c r="AE171" s="31">
        <f t="shared" si="382"/>
        <v>0</v>
      </c>
      <c r="AF171" s="31">
        <f t="shared" si="382"/>
        <v>3.0769230769230771E-2</v>
      </c>
      <c r="AG171" s="32">
        <f t="shared" si="4"/>
        <v>3.0769230769230771E-2</v>
      </c>
    </row>
    <row r="172" spans="1:33" ht="15.75" customHeight="1" x14ac:dyDescent="0.3">
      <c r="A172" s="6" t="s">
        <v>95</v>
      </c>
      <c r="B172" s="6" t="s">
        <v>212</v>
      </c>
      <c r="C172" s="6" t="s">
        <v>540</v>
      </c>
      <c r="D172" s="8" t="s">
        <v>541</v>
      </c>
      <c r="E172" s="19">
        <v>1</v>
      </c>
      <c r="F172" s="19">
        <v>1</v>
      </c>
      <c r="G172" s="19">
        <v>0</v>
      </c>
      <c r="H172" s="19">
        <v>0</v>
      </c>
      <c r="I172" s="19">
        <v>0</v>
      </c>
      <c r="J172" s="20">
        <v>0</v>
      </c>
      <c r="K172" s="19">
        <v>0</v>
      </c>
      <c r="L172" s="19">
        <v>0</v>
      </c>
      <c r="M172" s="20">
        <v>1.5</v>
      </c>
      <c r="N172" s="21">
        <v>12</v>
      </c>
      <c r="O172" s="20">
        <v>1.6999999999999999E-3</v>
      </c>
      <c r="P172" s="19">
        <v>4</v>
      </c>
      <c r="Q172" s="19">
        <v>4</v>
      </c>
      <c r="R172" s="20">
        <v>8</v>
      </c>
      <c r="S172" s="20">
        <v>1</v>
      </c>
      <c r="T172" s="19">
        <v>0</v>
      </c>
      <c r="U172" s="20">
        <v>93.676599999999993</v>
      </c>
      <c r="V172" s="19">
        <v>0</v>
      </c>
      <c r="W172" s="19">
        <v>1</v>
      </c>
      <c r="X172" s="19">
        <v>0</v>
      </c>
      <c r="Z172" s="6" t="str">
        <f t="shared" ref="Z172:AA172" si="383">D145</f>
        <v>CellIcon.getIconWidth</v>
      </c>
      <c r="AA172" s="27">
        <f t="shared" si="383"/>
        <v>1</v>
      </c>
      <c r="AB172" s="27">
        <f t="shared" si="380"/>
        <v>0</v>
      </c>
      <c r="AC172" s="27">
        <f t="shared" si="381"/>
        <v>4</v>
      </c>
      <c r="AD172" s="28">
        <f t="shared" ref="AD172:AF172" si="384">(AA172-MIN(AA$6:AA$236))/(MAX(AA$6:AA$236)-MIN(AA$6:AA$236))</f>
        <v>0</v>
      </c>
      <c r="AE172" s="28">
        <f t="shared" si="384"/>
        <v>0</v>
      </c>
      <c r="AF172" s="28">
        <f t="shared" si="384"/>
        <v>3.0769230769230771E-2</v>
      </c>
      <c r="AG172" s="29">
        <f t="shared" si="4"/>
        <v>3.0769230769230771E-2</v>
      </c>
    </row>
    <row r="173" spans="1:33" ht="15.75" customHeight="1" x14ac:dyDescent="0.3">
      <c r="A173" s="12" t="s">
        <v>95</v>
      </c>
      <c r="B173" s="12" t="s">
        <v>212</v>
      </c>
      <c r="C173" s="12" t="s">
        <v>542</v>
      </c>
      <c r="D173" s="14" t="s">
        <v>543</v>
      </c>
      <c r="E173" s="23">
        <v>1</v>
      </c>
      <c r="F173" s="23">
        <v>1</v>
      </c>
      <c r="G173" s="23">
        <v>0</v>
      </c>
      <c r="H173" s="23">
        <v>0</v>
      </c>
      <c r="I173" s="23">
        <v>0</v>
      </c>
      <c r="J173" s="22">
        <v>0</v>
      </c>
      <c r="K173" s="23">
        <v>0</v>
      </c>
      <c r="L173" s="23">
        <v>0</v>
      </c>
      <c r="M173" s="22">
        <v>1</v>
      </c>
      <c r="N173" s="24">
        <v>4.7549000000000001</v>
      </c>
      <c r="O173" s="22">
        <v>8.9999999999999998E-4</v>
      </c>
      <c r="P173" s="23">
        <v>3</v>
      </c>
      <c r="Q173" s="23">
        <v>3</v>
      </c>
      <c r="R173" s="22">
        <v>4.7549000000000001</v>
      </c>
      <c r="S173" s="22">
        <v>1</v>
      </c>
      <c r="T173" s="23">
        <v>0</v>
      </c>
      <c r="U173" s="22">
        <v>95.784400000000005</v>
      </c>
      <c r="V173" s="23">
        <v>0</v>
      </c>
      <c r="W173" s="23">
        <v>1</v>
      </c>
      <c r="X173" s="23">
        <v>0</v>
      </c>
      <c r="Z173" s="12" t="str">
        <f t="shared" ref="Z173:AA173" si="385">D147</f>
        <v>Move.getNumber</v>
      </c>
      <c r="AA173" s="30">
        <f t="shared" si="385"/>
        <v>1</v>
      </c>
      <c r="AB173" s="30">
        <f t="shared" ref="AB173:AB175" si="386">G147</f>
        <v>0</v>
      </c>
      <c r="AC173" s="30">
        <f t="shared" ref="AC173:AC175" si="387">F147</f>
        <v>4</v>
      </c>
      <c r="AD173" s="31">
        <f t="shared" ref="AD173:AF173" si="388">(AA173-MIN(AA$6:AA$236))/(MAX(AA$6:AA$236)-MIN(AA$6:AA$236))</f>
        <v>0</v>
      </c>
      <c r="AE173" s="31">
        <f t="shared" si="388"/>
        <v>0</v>
      </c>
      <c r="AF173" s="31">
        <f t="shared" si="388"/>
        <v>3.0769230769230771E-2</v>
      </c>
      <c r="AG173" s="32">
        <f t="shared" si="4"/>
        <v>3.0769230769230771E-2</v>
      </c>
    </row>
    <row r="174" spans="1:33" ht="15.75" customHeight="1" x14ac:dyDescent="0.3">
      <c r="A174" s="6" t="s">
        <v>95</v>
      </c>
      <c r="B174" s="6" t="s">
        <v>212</v>
      </c>
      <c r="C174" s="6" t="s">
        <v>544</v>
      </c>
      <c r="D174" s="8" t="s">
        <v>545</v>
      </c>
      <c r="E174" s="19">
        <v>1</v>
      </c>
      <c r="F174" s="19">
        <v>1</v>
      </c>
      <c r="G174" s="19">
        <v>0</v>
      </c>
      <c r="H174" s="19">
        <v>0</v>
      </c>
      <c r="I174" s="19">
        <v>0</v>
      </c>
      <c r="J174" s="20">
        <v>0</v>
      </c>
      <c r="K174" s="19">
        <v>0</v>
      </c>
      <c r="L174" s="19">
        <v>0</v>
      </c>
      <c r="M174" s="20">
        <v>1.5</v>
      </c>
      <c r="N174" s="21">
        <v>12</v>
      </c>
      <c r="O174" s="20">
        <v>1.6999999999999999E-3</v>
      </c>
      <c r="P174" s="19">
        <v>4</v>
      </c>
      <c r="Q174" s="19">
        <v>4</v>
      </c>
      <c r="R174" s="20">
        <v>8</v>
      </c>
      <c r="S174" s="20">
        <v>1</v>
      </c>
      <c r="T174" s="19">
        <v>0</v>
      </c>
      <c r="U174" s="20">
        <v>93.676599999999993</v>
      </c>
      <c r="V174" s="19">
        <v>0</v>
      </c>
      <c r="W174" s="19">
        <v>1</v>
      </c>
      <c r="X174" s="19">
        <v>0</v>
      </c>
      <c r="Z174" s="6" t="str">
        <f t="shared" ref="Z174:AA174" si="389">D148</f>
        <v>Move.getShotResults</v>
      </c>
      <c r="AA174" s="27">
        <f t="shared" si="389"/>
        <v>1</v>
      </c>
      <c r="AB174" s="27">
        <f t="shared" si="386"/>
        <v>0</v>
      </c>
      <c r="AC174" s="27">
        <f t="shared" si="387"/>
        <v>4</v>
      </c>
      <c r="AD174" s="28">
        <f t="shared" ref="AD174:AF174" si="390">(AA174-MIN(AA$6:AA$236))/(MAX(AA$6:AA$236)-MIN(AA$6:AA$236))</f>
        <v>0</v>
      </c>
      <c r="AE174" s="28">
        <f t="shared" si="390"/>
        <v>0</v>
      </c>
      <c r="AF174" s="28">
        <f t="shared" si="390"/>
        <v>3.0769230769230771E-2</v>
      </c>
      <c r="AG174" s="29">
        <f t="shared" si="4"/>
        <v>3.0769230769230771E-2</v>
      </c>
    </row>
    <row r="175" spans="1:33" ht="15.75" customHeight="1" x14ac:dyDescent="0.3">
      <c r="A175" s="12" t="s">
        <v>50</v>
      </c>
      <c r="B175" s="12" t="s">
        <v>172</v>
      </c>
      <c r="C175" s="12" t="s">
        <v>221</v>
      </c>
      <c r="D175" s="14" t="s">
        <v>546</v>
      </c>
      <c r="E175" s="23">
        <v>1</v>
      </c>
      <c r="F175" s="23">
        <v>0</v>
      </c>
      <c r="G175" s="23">
        <v>1</v>
      </c>
      <c r="H175" s="23">
        <v>0</v>
      </c>
      <c r="I175" s="23">
        <v>0</v>
      </c>
      <c r="J175" s="22">
        <v>0</v>
      </c>
      <c r="K175" s="23">
        <v>0</v>
      </c>
      <c r="L175" s="23">
        <v>0</v>
      </c>
      <c r="M175" s="22">
        <v>0</v>
      </c>
      <c r="N175" s="26" t="s">
        <v>222</v>
      </c>
      <c r="O175" s="26" t="s">
        <v>222</v>
      </c>
      <c r="P175" s="23">
        <v>0</v>
      </c>
      <c r="Q175" s="23">
        <v>0</v>
      </c>
      <c r="R175" s="26" t="s">
        <v>222</v>
      </c>
      <c r="S175" s="22">
        <v>0</v>
      </c>
      <c r="T175" s="23">
        <v>0</v>
      </c>
      <c r="U175" s="22">
        <v>0</v>
      </c>
      <c r="V175" s="23">
        <v>-1</v>
      </c>
      <c r="W175" s="23">
        <v>0</v>
      </c>
      <c r="X175" s="23">
        <v>0</v>
      </c>
      <c r="Z175" s="12" t="str">
        <f t="shared" ref="Z175:AA175" si="391">D149</f>
        <v>Move.getShots</v>
      </c>
      <c r="AA175" s="30">
        <f t="shared" si="391"/>
        <v>1</v>
      </c>
      <c r="AB175" s="30">
        <f t="shared" si="386"/>
        <v>0</v>
      </c>
      <c r="AC175" s="30">
        <f t="shared" si="387"/>
        <v>4</v>
      </c>
      <c r="AD175" s="31">
        <f t="shared" ref="AD175:AF175" si="392">(AA175-MIN(AA$6:AA$236))/(MAX(AA$6:AA$236)-MIN(AA$6:AA$236))</f>
        <v>0</v>
      </c>
      <c r="AE175" s="31">
        <f t="shared" si="392"/>
        <v>0</v>
      </c>
      <c r="AF175" s="31">
        <f t="shared" si="392"/>
        <v>3.0769230769230771E-2</v>
      </c>
      <c r="AG175" s="32">
        <f t="shared" si="4"/>
        <v>3.0769230769230771E-2</v>
      </c>
    </row>
    <row r="176" spans="1:33" ht="15.75" customHeight="1" x14ac:dyDescent="0.3">
      <c r="A176" s="6" t="s">
        <v>50</v>
      </c>
      <c r="B176" s="6" t="s">
        <v>172</v>
      </c>
      <c r="C176" s="6" t="s">
        <v>223</v>
      </c>
      <c r="D176" s="8" t="s">
        <v>547</v>
      </c>
      <c r="E176" s="19">
        <v>1</v>
      </c>
      <c r="F176" s="19">
        <v>0</v>
      </c>
      <c r="G176" s="19">
        <v>0</v>
      </c>
      <c r="H176" s="19">
        <v>0</v>
      </c>
      <c r="I176" s="19">
        <v>0</v>
      </c>
      <c r="J176" s="20">
        <v>0</v>
      </c>
      <c r="K176" s="19">
        <v>0</v>
      </c>
      <c r="L176" s="19">
        <v>0</v>
      </c>
      <c r="M176" s="20">
        <v>0</v>
      </c>
      <c r="N176" s="25" t="s">
        <v>222</v>
      </c>
      <c r="O176" s="25" t="s">
        <v>222</v>
      </c>
      <c r="P176" s="19">
        <v>0</v>
      </c>
      <c r="Q176" s="19">
        <v>0</v>
      </c>
      <c r="R176" s="25" t="s">
        <v>222</v>
      </c>
      <c r="S176" s="20">
        <v>0</v>
      </c>
      <c r="T176" s="19">
        <v>0</v>
      </c>
      <c r="U176" s="20">
        <v>0</v>
      </c>
      <c r="V176" s="19">
        <v>-1</v>
      </c>
      <c r="W176" s="19">
        <v>0</v>
      </c>
      <c r="X176" s="19">
        <v>0</v>
      </c>
      <c r="Z176" s="6" t="str">
        <f t="shared" ref="Z176:AA176" si="393">D153</f>
        <v>GameSession.markAiWins</v>
      </c>
      <c r="AA176" s="27">
        <f t="shared" si="393"/>
        <v>1</v>
      </c>
      <c r="AB176" s="27">
        <f t="shared" ref="AB176:AB178" si="394">G153</f>
        <v>0</v>
      </c>
      <c r="AC176" s="27">
        <f t="shared" ref="AC176:AC178" si="395">F153</f>
        <v>4</v>
      </c>
      <c r="AD176" s="28">
        <f t="shared" ref="AD176:AF176" si="396">(AA176-MIN(AA$6:AA$236))/(MAX(AA$6:AA$236)-MIN(AA$6:AA$236))</f>
        <v>0</v>
      </c>
      <c r="AE176" s="28">
        <f t="shared" si="396"/>
        <v>0</v>
      </c>
      <c r="AF176" s="28">
        <f t="shared" si="396"/>
        <v>3.0769230769230771E-2</v>
      </c>
      <c r="AG176" s="29">
        <f t="shared" si="4"/>
        <v>3.0769230769230771E-2</v>
      </c>
    </row>
    <row r="177" spans="1:33" ht="15.75" customHeight="1" x14ac:dyDescent="0.3">
      <c r="A177" s="12" t="s">
        <v>50</v>
      </c>
      <c r="B177" s="12" t="s">
        <v>174</v>
      </c>
      <c r="C177" s="12" t="s">
        <v>221</v>
      </c>
      <c r="D177" s="14" t="s">
        <v>548</v>
      </c>
      <c r="E177" s="23">
        <v>1</v>
      </c>
      <c r="F177" s="23">
        <v>0</v>
      </c>
      <c r="G177" s="23">
        <v>1</v>
      </c>
      <c r="H177" s="23">
        <v>0</v>
      </c>
      <c r="I177" s="23">
        <v>0</v>
      </c>
      <c r="J177" s="22">
        <v>0</v>
      </c>
      <c r="K177" s="23">
        <v>0</v>
      </c>
      <c r="L177" s="23">
        <v>0</v>
      </c>
      <c r="M177" s="22">
        <v>0</v>
      </c>
      <c r="N177" s="26" t="s">
        <v>222</v>
      </c>
      <c r="O177" s="26" t="s">
        <v>222</v>
      </c>
      <c r="P177" s="23">
        <v>0</v>
      </c>
      <c r="Q177" s="23">
        <v>0</v>
      </c>
      <c r="R177" s="26" t="s">
        <v>222</v>
      </c>
      <c r="S177" s="22">
        <v>0</v>
      </c>
      <c r="T177" s="23">
        <v>0</v>
      </c>
      <c r="U177" s="22">
        <v>0</v>
      </c>
      <c r="V177" s="23">
        <v>-1</v>
      </c>
      <c r="W177" s="23">
        <v>0</v>
      </c>
      <c r="X177" s="23">
        <v>0</v>
      </c>
      <c r="Z177" s="12" t="str">
        <f t="shared" ref="Z177:AA177" si="397">D154</f>
        <v>GameSession.markStudentWins</v>
      </c>
      <c r="AA177" s="30">
        <f t="shared" si="397"/>
        <v>1</v>
      </c>
      <c r="AB177" s="30">
        <f t="shared" si="394"/>
        <v>0</v>
      </c>
      <c r="AC177" s="30">
        <f t="shared" si="395"/>
        <v>4</v>
      </c>
      <c r="AD177" s="31">
        <f t="shared" ref="AD177:AF177" si="398">(AA177-MIN(AA$6:AA$236))/(MAX(AA$6:AA$236)-MIN(AA$6:AA$236))</f>
        <v>0</v>
      </c>
      <c r="AE177" s="31">
        <f t="shared" si="398"/>
        <v>0</v>
      </c>
      <c r="AF177" s="31">
        <f t="shared" si="398"/>
        <v>3.0769230769230771E-2</v>
      </c>
      <c r="AG177" s="32">
        <f t="shared" si="4"/>
        <v>3.0769230769230771E-2</v>
      </c>
    </row>
    <row r="178" spans="1:33" ht="15.75" customHeight="1" x14ac:dyDescent="0.3">
      <c r="A178" s="6" t="s">
        <v>50</v>
      </c>
      <c r="B178" s="6" t="s">
        <v>174</v>
      </c>
      <c r="C178" s="6" t="s">
        <v>223</v>
      </c>
      <c r="D178" s="8" t="s">
        <v>549</v>
      </c>
      <c r="E178" s="19">
        <v>1</v>
      </c>
      <c r="F178" s="19">
        <v>0</v>
      </c>
      <c r="G178" s="19">
        <v>0</v>
      </c>
      <c r="H178" s="19">
        <v>0</v>
      </c>
      <c r="I178" s="19">
        <v>0</v>
      </c>
      <c r="J178" s="20">
        <v>0</v>
      </c>
      <c r="K178" s="19">
        <v>0</v>
      </c>
      <c r="L178" s="19">
        <v>0</v>
      </c>
      <c r="M178" s="20">
        <v>0</v>
      </c>
      <c r="N178" s="25" t="s">
        <v>222</v>
      </c>
      <c r="O178" s="25" t="s">
        <v>222</v>
      </c>
      <c r="P178" s="19">
        <v>0</v>
      </c>
      <c r="Q178" s="19">
        <v>0</v>
      </c>
      <c r="R178" s="25" t="s">
        <v>222</v>
      </c>
      <c r="S178" s="20">
        <v>0</v>
      </c>
      <c r="T178" s="19">
        <v>0</v>
      </c>
      <c r="U178" s="20">
        <v>0</v>
      </c>
      <c r="V178" s="19">
        <v>-1</v>
      </c>
      <c r="W178" s="19">
        <v>0</v>
      </c>
      <c r="X178" s="19">
        <v>0</v>
      </c>
      <c r="Z178" s="6" t="str">
        <f t="shared" ref="Z178:AA178" si="399">D155</f>
        <v>BoardState.BoardState</v>
      </c>
      <c r="AA178" s="27">
        <f t="shared" si="399"/>
        <v>1</v>
      </c>
      <c r="AB178" s="27">
        <f t="shared" si="394"/>
        <v>0</v>
      </c>
      <c r="AC178" s="27">
        <f t="shared" si="395"/>
        <v>3</v>
      </c>
      <c r="AD178" s="28">
        <f t="shared" ref="AD178:AF178" si="400">(AA178-MIN(AA$6:AA$236))/(MAX(AA$6:AA$236)-MIN(AA$6:AA$236))</f>
        <v>0</v>
      </c>
      <c r="AE178" s="28">
        <f t="shared" si="400"/>
        <v>0</v>
      </c>
      <c r="AF178" s="28">
        <f t="shared" si="400"/>
        <v>2.3076923076923078E-2</v>
      </c>
      <c r="AG178" s="29">
        <f t="shared" si="4"/>
        <v>2.3076923076923078E-2</v>
      </c>
    </row>
    <row r="179" spans="1:33" ht="15.75" customHeight="1" x14ac:dyDescent="0.3">
      <c r="A179" s="12" t="s">
        <v>50</v>
      </c>
      <c r="B179" s="12" t="s">
        <v>184</v>
      </c>
      <c r="C179" s="12" t="s">
        <v>241</v>
      </c>
      <c r="D179" s="14" t="s">
        <v>550</v>
      </c>
      <c r="E179" s="23">
        <v>1</v>
      </c>
      <c r="F179" s="23">
        <v>0</v>
      </c>
      <c r="G179" s="23">
        <v>1</v>
      </c>
      <c r="H179" s="23">
        <v>0</v>
      </c>
      <c r="I179" s="23">
        <v>0</v>
      </c>
      <c r="J179" s="22">
        <v>0</v>
      </c>
      <c r="K179" s="23">
        <v>0</v>
      </c>
      <c r="L179" s="23">
        <v>0</v>
      </c>
      <c r="M179" s="22">
        <v>0</v>
      </c>
      <c r="N179" s="24">
        <v>0</v>
      </c>
      <c r="O179" s="22">
        <v>0</v>
      </c>
      <c r="P179" s="23">
        <v>1</v>
      </c>
      <c r="Q179" s="23">
        <v>1</v>
      </c>
      <c r="R179" s="22">
        <v>0</v>
      </c>
      <c r="S179" s="22">
        <v>0</v>
      </c>
      <c r="T179" s="23">
        <v>0</v>
      </c>
      <c r="U179" s="22">
        <v>0</v>
      </c>
      <c r="V179" s="26" t="s">
        <v>169</v>
      </c>
      <c r="W179" s="26" t="s">
        <v>169</v>
      </c>
      <c r="X179" s="23">
        <v>0</v>
      </c>
      <c r="Z179" s="12" t="str">
        <f t="shared" ref="Z179:AA179" si="401">D158</f>
        <v>I18n.I18n</v>
      </c>
      <c r="AA179" s="30">
        <f t="shared" si="401"/>
        <v>1</v>
      </c>
      <c r="AB179" s="30">
        <f>G158</f>
        <v>0</v>
      </c>
      <c r="AC179" s="30">
        <f>F158</f>
        <v>3</v>
      </c>
      <c r="AD179" s="31">
        <f t="shared" ref="AD179:AF179" si="402">(AA179-MIN(AA$6:AA$236))/(MAX(AA$6:AA$236)-MIN(AA$6:AA$236))</f>
        <v>0</v>
      </c>
      <c r="AE179" s="31">
        <f t="shared" si="402"/>
        <v>0</v>
      </c>
      <c r="AF179" s="31">
        <f t="shared" si="402"/>
        <v>2.3076923076923078E-2</v>
      </c>
      <c r="AG179" s="32">
        <f t="shared" si="4"/>
        <v>2.3076923076923078E-2</v>
      </c>
    </row>
    <row r="180" spans="1:33" ht="15.75" customHeight="1" x14ac:dyDescent="0.3">
      <c r="A180" s="6" t="s">
        <v>50</v>
      </c>
      <c r="B180" s="6" t="s">
        <v>184</v>
      </c>
      <c r="C180" s="6" t="s">
        <v>251</v>
      </c>
      <c r="D180" s="8" t="s">
        <v>551</v>
      </c>
      <c r="E180" s="19">
        <v>1</v>
      </c>
      <c r="F180" s="19">
        <v>0</v>
      </c>
      <c r="G180" s="19">
        <v>0</v>
      </c>
      <c r="H180" s="19">
        <v>0</v>
      </c>
      <c r="I180" s="19">
        <v>0</v>
      </c>
      <c r="J180" s="20">
        <v>0</v>
      </c>
      <c r="K180" s="19">
        <v>0</v>
      </c>
      <c r="L180" s="19">
        <v>0</v>
      </c>
      <c r="M180" s="20">
        <v>0</v>
      </c>
      <c r="N180" s="25" t="s">
        <v>222</v>
      </c>
      <c r="O180" s="25" t="s">
        <v>222</v>
      </c>
      <c r="P180" s="19">
        <v>0</v>
      </c>
      <c r="Q180" s="19">
        <v>0</v>
      </c>
      <c r="R180" s="25" t="s">
        <v>222</v>
      </c>
      <c r="S180" s="20">
        <v>0</v>
      </c>
      <c r="T180" s="19">
        <v>0</v>
      </c>
      <c r="U180" s="20">
        <v>0</v>
      </c>
      <c r="V180" s="25" t="s">
        <v>169</v>
      </c>
      <c r="W180" s="25" t="s">
        <v>169</v>
      </c>
      <c r="X180" s="19">
        <v>0</v>
      </c>
      <c r="Z180" s="6" t="str">
        <f t="shared" ref="Z180:AA180" si="403">D160</f>
        <v>GamePDFExporter.GamePDFExporter</v>
      </c>
      <c r="AA180" s="27">
        <f t="shared" si="403"/>
        <v>1</v>
      </c>
      <c r="AB180" s="27">
        <f>G160</f>
        <v>0</v>
      </c>
      <c r="AC180" s="27">
        <f>F160</f>
        <v>1</v>
      </c>
      <c r="AD180" s="28">
        <f t="shared" ref="AD180:AF180" si="404">(AA180-MIN(AA$6:AA$236))/(MAX(AA$6:AA$236)-MIN(AA$6:AA$236))</f>
        <v>0</v>
      </c>
      <c r="AE180" s="28">
        <f t="shared" si="404"/>
        <v>0</v>
      </c>
      <c r="AF180" s="28">
        <f t="shared" si="404"/>
        <v>7.6923076923076927E-3</v>
      </c>
      <c r="AG180" s="29">
        <f t="shared" si="4"/>
        <v>7.6923076923076927E-3</v>
      </c>
    </row>
    <row r="181" spans="1:33" ht="15.75" customHeight="1" x14ac:dyDescent="0.3">
      <c r="A181" s="12" t="s">
        <v>50</v>
      </c>
      <c r="B181" s="12" t="s">
        <v>184</v>
      </c>
      <c r="C181" s="12" t="s">
        <v>253</v>
      </c>
      <c r="D181" s="14" t="s">
        <v>552</v>
      </c>
      <c r="E181" s="23">
        <v>1</v>
      </c>
      <c r="F181" s="23">
        <v>0</v>
      </c>
      <c r="G181" s="23">
        <v>0</v>
      </c>
      <c r="H181" s="23">
        <v>0</v>
      </c>
      <c r="I181" s="23">
        <v>0</v>
      </c>
      <c r="J181" s="22">
        <v>0</v>
      </c>
      <c r="K181" s="23">
        <v>0</v>
      </c>
      <c r="L181" s="23">
        <v>0</v>
      </c>
      <c r="M181" s="22">
        <v>0</v>
      </c>
      <c r="N181" s="26" t="s">
        <v>222</v>
      </c>
      <c r="O181" s="26" t="s">
        <v>222</v>
      </c>
      <c r="P181" s="23">
        <v>0</v>
      </c>
      <c r="Q181" s="23">
        <v>0</v>
      </c>
      <c r="R181" s="26" t="s">
        <v>222</v>
      </c>
      <c r="S181" s="22">
        <v>0</v>
      </c>
      <c r="T181" s="23">
        <v>0</v>
      </c>
      <c r="U181" s="22">
        <v>0</v>
      </c>
      <c r="V181" s="26" t="s">
        <v>169</v>
      </c>
      <c r="W181" s="26" t="s">
        <v>169</v>
      </c>
      <c r="X181" s="23">
        <v>0</v>
      </c>
      <c r="Z181" s="12" t="str">
        <f t="shared" ref="Z181:AA181" si="405">D162</f>
        <v>CellIcon.state</v>
      </c>
      <c r="AA181" s="30">
        <f t="shared" si="405"/>
        <v>1</v>
      </c>
      <c r="AB181" s="30">
        <f t="shared" ref="AB181:AB185" si="406">G162</f>
        <v>0</v>
      </c>
      <c r="AC181" s="30">
        <f t="shared" ref="AC181:AC185" si="407">F162</f>
        <v>1</v>
      </c>
      <c r="AD181" s="31">
        <f t="shared" ref="AD181:AF181" si="408">(AA181-MIN(AA$6:AA$236))/(MAX(AA$6:AA$236)-MIN(AA$6:AA$236))</f>
        <v>0</v>
      </c>
      <c r="AE181" s="31">
        <f t="shared" si="408"/>
        <v>0</v>
      </c>
      <c r="AF181" s="31">
        <f t="shared" si="408"/>
        <v>7.6923076923076927E-3</v>
      </c>
      <c r="AG181" s="32">
        <f t="shared" si="4"/>
        <v>7.6923076923076927E-3</v>
      </c>
    </row>
    <row r="182" spans="1:33" ht="15.75" customHeight="1" x14ac:dyDescent="0.3">
      <c r="A182" s="6" t="s">
        <v>50</v>
      </c>
      <c r="B182" s="6" t="s">
        <v>184</v>
      </c>
      <c r="C182" s="6" t="s">
        <v>256</v>
      </c>
      <c r="D182" s="8" t="s">
        <v>553</v>
      </c>
      <c r="E182" s="19">
        <v>1</v>
      </c>
      <c r="F182" s="19">
        <v>0</v>
      </c>
      <c r="G182" s="19">
        <v>1</v>
      </c>
      <c r="H182" s="19">
        <v>0</v>
      </c>
      <c r="I182" s="19">
        <v>0</v>
      </c>
      <c r="J182" s="20">
        <v>0</v>
      </c>
      <c r="K182" s="19">
        <v>0</v>
      </c>
      <c r="L182" s="19">
        <v>0</v>
      </c>
      <c r="M182" s="20">
        <v>0</v>
      </c>
      <c r="N182" s="25" t="s">
        <v>222</v>
      </c>
      <c r="O182" s="25" t="s">
        <v>222</v>
      </c>
      <c r="P182" s="19">
        <v>0</v>
      </c>
      <c r="Q182" s="19">
        <v>0</v>
      </c>
      <c r="R182" s="25" t="s">
        <v>222</v>
      </c>
      <c r="S182" s="20">
        <v>0</v>
      </c>
      <c r="T182" s="19">
        <v>0</v>
      </c>
      <c r="U182" s="20">
        <v>0</v>
      </c>
      <c r="V182" s="25" t="s">
        <v>169</v>
      </c>
      <c r="W182" s="25" t="s">
        <v>169</v>
      </c>
      <c r="X182" s="19">
        <v>0</v>
      </c>
      <c r="Z182" s="6" t="str">
        <f t="shared" ref="Z182:AA182" si="409">D163</f>
        <v>ShotResult.repeated</v>
      </c>
      <c r="AA182" s="27">
        <f t="shared" si="409"/>
        <v>1</v>
      </c>
      <c r="AB182" s="27">
        <f t="shared" si="406"/>
        <v>0</v>
      </c>
      <c r="AC182" s="27">
        <f t="shared" si="407"/>
        <v>1</v>
      </c>
      <c r="AD182" s="28">
        <f t="shared" ref="AD182:AF182" si="410">(AA182-MIN(AA$6:AA$236))/(MAX(AA$6:AA$236)-MIN(AA$6:AA$236))</f>
        <v>0</v>
      </c>
      <c r="AE182" s="28">
        <f t="shared" si="410"/>
        <v>0</v>
      </c>
      <c r="AF182" s="28">
        <f t="shared" si="410"/>
        <v>7.6923076923076927E-3</v>
      </c>
      <c r="AG182" s="29">
        <f t="shared" si="4"/>
        <v>7.6923076923076927E-3</v>
      </c>
    </row>
    <row r="183" spans="1:33" ht="15.75" customHeight="1" x14ac:dyDescent="0.3">
      <c r="A183" s="12" t="s">
        <v>50</v>
      </c>
      <c r="B183" s="12" t="s">
        <v>184</v>
      </c>
      <c r="C183" s="12" t="s">
        <v>260</v>
      </c>
      <c r="D183" s="14" t="s">
        <v>554</v>
      </c>
      <c r="E183" s="23">
        <v>1</v>
      </c>
      <c r="F183" s="23">
        <v>0</v>
      </c>
      <c r="G183" s="23">
        <v>0</v>
      </c>
      <c r="H183" s="23">
        <v>0</v>
      </c>
      <c r="I183" s="23">
        <v>0</v>
      </c>
      <c r="J183" s="22">
        <v>0</v>
      </c>
      <c r="K183" s="23">
        <v>0</v>
      </c>
      <c r="L183" s="23">
        <v>0</v>
      </c>
      <c r="M183" s="22">
        <v>0</v>
      </c>
      <c r="N183" s="26" t="s">
        <v>222</v>
      </c>
      <c r="O183" s="26" t="s">
        <v>222</v>
      </c>
      <c r="P183" s="23">
        <v>0</v>
      </c>
      <c r="Q183" s="23">
        <v>0</v>
      </c>
      <c r="R183" s="26" t="s">
        <v>222</v>
      </c>
      <c r="S183" s="22">
        <v>0</v>
      </c>
      <c r="T183" s="23">
        <v>0</v>
      </c>
      <c r="U183" s="22">
        <v>0</v>
      </c>
      <c r="V183" s="26" t="s">
        <v>169</v>
      </c>
      <c r="W183" s="26" t="s">
        <v>169</v>
      </c>
      <c r="X183" s="23">
        <v>0</v>
      </c>
      <c r="Z183" s="12" t="str">
        <f t="shared" ref="Z183:AA183" si="411">D164</f>
        <v>ShotResult.ship</v>
      </c>
      <c r="AA183" s="30">
        <f t="shared" si="411"/>
        <v>1</v>
      </c>
      <c r="AB183" s="30">
        <f t="shared" si="406"/>
        <v>0</v>
      </c>
      <c r="AC183" s="30">
        <f t="shared" si="407"/>
        <v>1</v>
      </c>
      <c r="AD183" s="31">
        <f t="shared" ref="AD183:AF183" si="412">(AA183-MIN(AA$6:AA$236))/(MAX(AA$6:AA$236)-MIN(AA$6:AA$236))</f>
        <v>0</v>
      </c>
      <c r="AE183" s="31">
        <f t="shared" si="412"/>
        <v>0</v>
      </c>
      <c r="AF183" s="31">
        <f t="shared" si="412"/>
        <v>7.6923076923076927E-3</v>
      </c>
      <c r="AG183" s="32">
        <f t="shared" si="4"/>
        <v>7.6923076923076927E-3</v>
      </c>
    </row>
    <row r="184" spans="1:33" ht="15.75" customHeight="1" x14ac:dyDescent="0.3">
      <c r="A184" s="6" t="s">
        <v>50</v>
      </c>
      <c r="B184" s="6" t="s">
        <v>184</v>
      </c>
      <c r="C184" s="6" t="s">
        <v>276</v>
      </c>
      <c r="D184" s="8" t="s">
        <v>555</v>
      </c>
      <c r="E184" s="19">
        <v>1</v>
      </c>
      <c r="F184" s="19">
        <v>0</v>
      </c>
      <c r="G184" s="19">
        <v>0</v>
      </c>
      <c r="H184" s="19">
        <v>0</v>
      </c>
      <c r="I184" s="19">
        <v>0</v>
      </c>
      <c r="J184" s="20">
        <v>0</v>
      </c>
      <c r="K184" s="19">
        <v>0</v>
      </c>
      <c r="L184" s="19">
        <v>0</v>
      </c>
      <c r="M184" s="20">
        <v>0</v>
      </c>
      <c r="N184" s="21">
        <v>0</v>
      </c>
      <c r="O184" s="20">
        <v>0</v>
      </c>
      <c r="P184" s="19">
        <v>1</v>
      </c>
      <c r="Q184" s="19">
        <v>1</v>
      </c>
      <c r="R184" s="20">
        <v>0</v>
      </c>
      <c r="S184" s="20">
        <v>0</v>
      </c>
      <c r="T184" s="19">
        <v>0</v>
      </c>
      <c r="U184" s="20">
        <v>0</v>
      </c>
      <c r="V184" s="25" t="s">
        <v>169</v>
      </c>
      <c r="W184" s="25" t="s">
        <v>169</v>
      </c>
      <c r="X184" s="19">
        <v>0</v>
      </c>
      <c r="Z184" s="6" t="str">
        <f t="shared" ref="Z184:AA184" si="413">D165</f>
        <v>ShotResult.sunk</v>
      </c>
      <c r="AA184" s="27">
        <f t="shared" si="413"/>
        <v>1</v>
      </c>
      <c r="AB184" s="27">
        <f t="shared" si="406"/>
        <v>0</v>
      </c>
      <c r="AC184" s="27">
        <f t="shared" si="407"/>
        <v>1</v>
      </c>
      <c r="AD184" s="28">
        <f t="shared" ref="AD184:AF184" si="414">(AA184-MIN(AA$6:AA$236))/(MAX(AA$6:AA$236)-MIN(AA$6:AA$236))</f>
        <v>0</v>
      </c>
      <c r="AE184" s="28">
        <f t="shared" si="414"/>
        <v>0</v>
      </c>
      <c r="AF184" s="28">
        <f t="shared" si="414"/>
        <v>7.6923076923076927E-3</v>
      </c>
      <c r="AG184" s="29">
        <f t="shared" si="4"/>
        <v>7.6923076923076927E-3</v>
      </c>
    </row>
    <row r="185" spans="1:33" ht="15.75" customHeight="1" x14ac:dyDescent="0.3">
      <c r="A185" s="12" t="s">
        <v>50</v>
      </c>
      <c r="B185" s="12" t="s">
        <v>184</v>
      </c>
      <c r="C185" s="12" t="s">
        <v>281</v>
      </c>
      <c r="D185" s="14" t="s">
        <v>556</v>
      </c>
      <c r="E185" s="23">
        <v>1</v>
      </c>
      <c r="F185" s="23">
        <v>0</v>
      </c>
      <c r="G185" s="23">
        <v>1</v>
      </c>
      <c r="H185" s="23">
        <v>0</v>
      </c>
      <c r="I185" s="23">
        <v>0</v>
      </c>
      <c r="J185" s="22">
        <v>0</v>
      </c>
      <c r="K185" s="23">
        <v>0</v>
      </c>
      <c r="L185" s="23">
        <v>0</v>
      </c>
      <c r="M185" s="22">
        <v>0</v>
      </c>
      <c r="N185" s="26" t="s">
        <v>222</v>
      </c>
      <c r="O185" s="26" t="s">
        <v>222</v>
      </c>
      <c r="P185" s="23">
        <v>0</v>
      </c>
      <c r="Q185" s="23">
        <v>0</v>
      </c>
      <c r="R185" s="26" t="s">
        <v>222</v>
      </c>
      <c r="S185" s="22">
        <v>0</v>
      </c>
      <c r="T185" s="23">
        <v>0</v>
      </c>
      <c r="U185" s="22">
        <v>0</v>
      </c>
      <c r="V185" s="26" t="s">
        <v>169</v>
      </c>
      <c r="W185" s="26" t="s">
        <v>169</v>
      </c>
      <c r="X185" s="23">
        <v>0</v>
      </c>
      <c r="Z185" s="12" t="str">
        <f t="shared" ref="Z185:AA185" si="415">D166</f>
        <v>ShotResult.valid</v>
      </c>
      <c r="AA185" s="30">
        <f t="shared" si="415"/>
        <v>1</v>
      </c>
      <c r="AB185" s="30">
        <f t="shared" si="406"/>
        <v>0</v>
      </c>
      <c r="AC185" s="30">
        <f t="shared" si="407"/>
        <v>1</v>
      </c>
      <c r="AD185" s="31">
        <f t="shared" ref="AD185:AF185" si="416">(AA185-MIN(AA$6:AA$236))/(MAX(AA$6:AA$236)-MIN(AA$6:AA$236))</f>
        <v>0</v>
      </c>
      <c r="AE185" s="31">
        <f t="shared" si="416"/>
        <v>0</v>
      </c>
      <c r="AF185" s="31">
        <f t="shared" si="416"/>
        <v>7.6923076923076927E-3</v>
      </c>
      <c r="AG185" s="32">
        <f t="shared" si="4"/>
        <v>7.6923076923076927E-3</v>
      </c>
    </row>
    <row r="186" spans="1:33" ht="15.75" customHeight="1" x14ac:dyDescent="0.3">
      <c r="A186" s="6" t="s">
        <v>50</v>
      </c>
      <c r="B186" s="6" t="s">
        <v>185</v>
      </c>
      <c r="C186" s="6" t="s">
        <v>310</v>
      </c>
      <c r="D186" s="8" t="s">
        <v>557</v>
      </c>
      <c r="E186" s="19">
        <v>1</v>
      </c>
      <c r="F186" s="19">
        <v>0</v>
      </c>
      <c r="G186" s="19">
        <v>1</v>
      </c>
      <c r="H186" s="19">
        <v>0</v>
      </c>
      <c r="I186" s="19">
        <v>0</v>
      </c>
      <c r="J186" s="20">
        <v>0</v>
      </c>
      <c r="K186" s="19">
        <v>0</v>
      </c>
      <c r="L186" s="19">
        <v>0</v>
      </c>
      <c r="M186" s="20">
        <v>0</v>
      </c>
      <c r="N186" s="21">
        <v>0</v>
      </c>
      <c r="O186" s="20">
        <v>0</v>
      </c>
      <c r="P186" s="19">
        <v>1</v>
      </c>
      <c r="Q186" s="19">
        <v>1</v>
      </c>
      <c r="R186" s="20">
        <v>0</v>
      </c>
      <c r="S186" s="20">
        <v>0</v>
      </c>
      <c r="T186" s="19">
        <v>1</v>
      </c>
      <c r="U186" s="20">
        <v>0</v>
      </c>
      <c r="V186" s="25" t="s">
        <v>169</v>
      </c>
      <c r="W186" s="25" t="s">
        <v>169</v>
      </c>
      <c r="X186" s="19">
        <v>1</v>
      </c>
      <c r="Z186" s="6" t="str">
        <f t="shared" ref="Z186:AA186" si="417">D168</f>
        <v>GameSession.getCallbackUrl</v>
      </c>
      <c r="AA186" s="27">
        <f t="shared" si="417"/>
        <v>1</v>
      </c>
      <c r="AB186" s="27">
        <f t="shared" ref="AB186:AB192" si="418">G168</f>
        <v>0</v>
      </c>
      <c r="AC186" s="27">
        <f t="shared" ref="AC186:AC192" si="419">F168</f>
        <v>1</v>
      </c>
      <c r="AD186" s="28">
        <f t="shared" ref="AD186:AF186" si="420">(AA186-MIN(AA$6:AA$236))/(MAX(AA$6:AA$236)-MIN(AA$6:AA$236))</f>
        <v>0</v>
      </c>
      <c r="AE186" s="28">
        <f t="shared" si="420"/>
        <v>0</v>
      </c>
      <c r="AF186" s="28">
        <f t="shared" si="420"/>
        <v>7.6923076923076927E-3</v>
      </c>
      <c r="AG186" s="29">
        <f t="shared" si="4"/>
        <v>7.6923076923076927E-3</v>
      </c>
    </row>
    <row r="187" spans="1:33" ht="15.75" customHeight="1" x14ac:dyDescent="0.3">
      <c r="A187" s="12" t="s">
        <v>50</v>
      </c>
      <c r="B187" s="12" t="s">
        <v>185</v>
      </c>
      <c r="C187" s="12" t="s">
        <v>279</v>
      </c>
      <c r="D187" s="14" t="s">
        <v>558</v>
      </c>
      <c r="E187" s="23">
        <v>1</v>
      </c>
      <c r="F187" s="23">
        <v>0</v>
      </c>
      <c r="G187" s="23">
        <v>2</v>
      </c>
      <c r="H187" s="23">
        <v>0</v>
      </c>
      <c r="I187" s="23">
        <v>0</v>
      </c>
      <c r="J187" s="22">
        <v>0</v>
      </c>
      <c r="K187" s="23">
        <v>0</v>
      </c>
      <c r="L187" s="23">
        <v>0</v>
      </c>
      <c r="M187" s="22">
        <v>0</v>
      </c>
      <c r="N187" s="24">
        <v>0</v>
      </c>
      <c r="O187" s="22">
        <v>0</v>
      </c>
      <c r="P187" s="23">
        <v>1</v>
      </c>
      <c r="Q187" s="23">
        <v>1</v>
      </c>
      <c r="R187" s="22">
        <v>0</v>
      </c>
      <c r="S187" s="22">
        <v>0</v>
      </c>
      <c r="T187" s="23">
        <v>1</v>
      </c>
      <c r="U187" s="22">
        <v>0</v>
      </c>
      <c r="V187" s="26" t="s">
        <v>169</v>
      </c>
      <c r="W187" s="26" t="s">
        <v>169</v>
      </c>
      <c r="X187" s="23">
        <v>1</v>
      </c>
      <c r="Z187" s="12" t="str">
        <f t="shared" ref="Z187:AA187" si="421">D169</f>
        <v>GameSession.getGame</v>
      </c>
      <c r="AA187" s="30">
        <f t="shared" si="421"/>
        <v>1</v>
      </c>
      <c r="AB187" s="30">
        <f t="shared" si="418"/>
        <v>0</v>
      </c>
      <c r="AC187" s="30">
        <f t="shared" si="419"/>
        <v>1</v>
      </c>
      <c r="AD187" s="31">
        <f t="shared" ref="AD187:AF187" si="422">(AA187-MIN(AA$6:AA$236))/(MAX(AA$6:AA$236)-MIN(AA$6:AA$236))</f>
        <v>0</v>
      </c>
      <c r="AE187" s="31">
        <f t="shared" si="422"/>
        <v>0</v>
      </c>
      <c r="AF187" s="31">
        <f t="shared" si="422"/>
        <v>7.6923076923076927E-3</v>
      </c>
      <c r="AG187" s="32">
        <f t="shared" si="4"/>
        <v>7.6923076923076927E-3</v>
      </c>
    </row>
    <row r="188" spans="1:33" ht="15.75" customHeight="1" x14ac:dyDescent="0.3">
      <c r="A188" s="6" t="s">
        <v>50</v>
      </c>
      <c r="B188" s="6" t="s">
        <v>185</v>
      </c>
      <c r="C188" s="6" t="s">
        <v>315</v>
      </c>
      <c r="D188" s="8" t="s">
        <v>559</v>
      </c>
      <c r="E188" s="19">
        <v>1</v>
      </c>
      <c r="F188" s="19">
        <v>0</v>
      </c>
      <c r="G188" s="19">
        <v>0</v>
      </c>
      <c r="H188" s="19">
        <v>0</v>
      </c>
      <c r="I188" s="19">
        <v>0</v>
      </c>
      <c r="J188" s="20">
        <v>0</v>
      </c>
      <c r="K188" s="19">
        <v>0</v>
      </c>
      <c r="L188" s="19">
        <v>0</v>
      </c>
      <c r="M188" s="20">
        <v>0</v>
      </c>
      <c r="N188" s="25" t="s">
        <v>222</v>
      </c>
      <c r="O188" s="25" t="s">
        <v>222</v>
      </c>
      <c r="P188" s="19">
        <v>0</v>
      </c>
      <c r="Q188" s="19">
        <v>0</v>
      </c>
      <c r="R188" s="25" t="s">
        <v>222</v>
      </c>
      <c r="S188" s="20">
        <v>0</v>
      </c>
      <c r="T188" s="19">
        <v>1</v>
      </c>
      <c r="U188" s="20">
        <v>0</v>
      </c>
      <c r="V188" s="25" t="s">
        <v>169</v>
      </c>
      <c r="W188" s="25" t="s">
        <v>169</v>
      </c>
      <c r="X188" s="19">
        <v>1</v>
      </c>
      <c r="Z188" s="6" t="str">
        <f t="shared" ref="Z188:AA188" si="423">D170</f>
        <v>GameSession.getGameId</v>
      </c>
      <c r="AA188" s="27">
        <f t="shared" si="423"/>
        <v>1</v>
      </c>
      <c r="AB188" s="27">
        <f t="shared" si="418"/>
        <v>0</v>
      </c>
      <c r="AC188" s="27">
        <f t="shared" si="419"/>
        <v>1</v>
      </c>
      <c r="AD188" s="28">
        <f t="shared" ref="AD188:AF188" si="424">(AA188-MIN(AA$6:AA$236))/(MAX(AA$6:AA$236)-MIN(AA$6:AA$236))</f>
        <v>0</v>
      </c>
      <c r="AE188" s="28">
        <f t="shared" si="424"/>
        <v>0</v>
      </c>
      <c r="AF188" s="28">
        <f t="shared" si="424"/>
        <v>7.6923076923076927E-3</v>
      </c>
      <c r="AG188" s="29">
        <f t="shared" si="4"/>
        <v>7.6923076923076927E-3</v>
      </c>
    </row>
    <row r="189" spans="1:33" ht="15.75" customHeight="1" x14ac:dyDescent="0.3">
      <c r="A189" s="12" t="s">
        <v>50</v>
      </c>
      <c r="B189" s="12" t="s">
        <v>185</v>
      </c>
      <c r="C189" s="12" t="s">
        <v>319</v>
      </c>
      <c r="D189" s="14" t="s">
        <v>560</v>
      </c>
      <c r="E189" s="23">
        <v>1</v>
      </c>
      <c r="F189" s="23">
        <v>0</v>
      </c>
      <c r="G189" s="23">
        <v>0</v>
      </c>
      <c r="H189" s="23">
        <v>0</v>
      </c>
      <c r="I189" s="23">
        <v>0</v>
      </c>
      <c r="J189" s="22">
        <v>0</v>
      </c>
      <c r="K189" s="23">
        <v>0</v>
      </c>
      <c r="L189" s="23">
        <v>0</v>
      </c>
      <c r="M189" s="22">
        <v>0</v>
      </c>
      <c r="N189" s="26" t="s">
        <v>222</v>
      </c>
      <c r="O189" s="26" t="s">
        <v>222</v>
      </c>
      <c r="P189" s="23">
        <v>0</v>
      </c>
      <c r="Q189" s="23">
        <v>0</v>
      </c>
      <c r="R189" s="26" t="s">
        <v>222</v>
      </c>
      <c r="S189" s="22">
        <v>0</v>
      </c>
      <c r="T189" s="23">
        <v>1</v>
      </c>
      <c r="U189" s="22">
        <v>0</v>
      </c>
      <c r="V189" s="26" t="s">
        <v>169</v>
      </c>
      <c r="W189" s="26" t="s">
        <v>169</v>
      </c>
      <c r="X189" s="23">
        <v>1</v>
      </c>
      <c r="Z189" s="12" t="str">
        <f t="shared" ref="Z189:AA189" si="425">D171</f>
        <v>GameSession.getPlayerName</v>
      </c>
      <c r="AA189" s="30">
        <f t="shared" si="425"/>
        <v>1</v>
      </c>
      <c r="AB189" s="30">
        <f t="shared" si="418"/>
        <v>0</v>
      </c>
      <c r="AC189" s="30">
        <f t="shared" si="419"/>
        <v>1</v>
      </c>
      <c r="AD189" s="31">
        <f t="shared" ref="AD189:AF189" si="426">(AA189-MIN(AA$6:AA$236))/(MAX(AA$6:AA$236)-MIN(AA$6:AA$236))</f>
        <v>0</v>
      </c>
      <c r="AE189" s="31">
        <f t="shared" si="426"/>
        <v>0</v>
      </c>
      <c r="AF189" s="31">
        <f t="shared" si="426"/>
        <v>7.6923076923076927E-3</v>
      </c>
      <c r="AG189" s="32">
        <f t="shared" si="4"/>
        <v>7.6923076923076927E-3</v>
      </c>
    </row>
    <row r="190" spans="1:33" ht="15.75" customHeight="1" x14ac:dyDescent="0.3">
      <c r="A190" s="6" t="s">
        <v>50</v>
      </c>
      <c r="B190" s="6" t="s">
        <v>185</v>
      </c>
      <c r="C190" s="6" t="s">
        <v>322</v>
      </c>
      <c r="D190" s="8" t="s">
        <v>561</v>
      </c>
      <c r="E190" s="19">
        <v>1</v>
      </c>
      <c r="F190" s="19">
        <v>0</v>
      </c>
      <c r="G190" s="19">
        <v>0</v>
      </c>
      <c r="H190" s="19">
        <v>0</v>
      </c>
      <c r="I190" s="19">
        <v>0</v>
      </c>
      <c r="J190" s="20">
        <v>0</v>
      </c>
      <c r="K190" s="19">
        <v>0</v>
      </c>
      <c r="L190" s="19">
        <v>0</v>
      </c>
      <c r="M190" s="20">
        <v>0</v>
      </c>
      <c r="N190" s="21">
        <v>0</v>
      </c>
      <c r="O190" s="20">
        <v>0</v>
      </c>
      <c r="P190" s="19">
        <v>1</v>
      </c>
      <c r="Q190" s="19">
        <v>1</v>
      </c>
      <c r="R190" s="20">
        <v>0</v>
      </c>
      <c r="S190" s="20">
        <v>0</v>
      </c>
      <c r="T190" s="19">
        <v>1</v>
      </c>
      <c r="U190" s="20">
        <v>0</v>
      </c>
      <c r="V190" s="25" t="s">
        <v>169</v>
      </c>
      <c r="W190" s="25" t="s">
        <v>169</v>
      </c>
      <c r="X190" s="19">
        <v>1</v>
      </c>
      <c r="Z190" s="6" t="str">
        <f t="shared" ref="Z190:AA190" si="427">D172</f>
        <v>GameSession.getShotsPerTurn</v>
      </c>
      <c r="AA190" s="27">
        <f t="shared" si="427"/>
        <v>1</v>
      </c>
      <c r="AB190" s="27">
        <f t="shared" si="418"/>
        <v>0</v>
      </c>
      <c r="AC190" s="27">
        <f t="shared" si="419"/>
        <v>1</v>
      </c>
      <c r="AD190" s="28">
        <f t="shared" ref="AD190:AF190" si="428">(AA190-MIN(AA$6:AA$236))/(MAX(AA$6:AA$236)-MIN(AA$6:AA$236))</f>
        <v>0</v>
      </c>
      <c r="AE190" s="28">
        <f t="shared" si="428"/>
        <v>0</v>
      </c>
      <c r="AF190" s="28">
        <f t="shared" si="428"/>
        <v>7.6923076923076927E-3</v>
      </c>
      <c r="AG190" s="29">
        <f t="shared" si="4"/>
        <v>7.6923076923076927E-3</v>
      </c>
    </row>
    <row r="191" spans="1:33" ht="15.75" customHeight="1" x14ac:dyDescent="0.3">
      <c r="A191" s="12" t="s">
        <v>50</v>
      </c>
      <c r="B191" s="12" t="s">
        <v>185</v>
      </c>
      <c r="C191" s="12" t="s">
        <v>327</v>
      </c>
      <c r="D191" s="14" t="s">
        <v>562</v>
      </c>
      <c r="E191" s="23">
        <v>1</v>
      </c>
      <c r="F191" s="23">
        <v>0</v>
      </c>
      <c r="G191" s="23">
        <v>0</v>
      </c>
      <c r="H191" s="23">
        <v>0</v>
      </c>
      <c r="I191" s="23">
        <v>0</v>
      </c>
      <c r="J191" s="22">
        <v>0</v>
      </c>
      <c r="K191" s="23">
        <v>0</v>
      </c>
      <c r="L191" s="23">
        <v>0</v>
      </c>
      <c r="M191" s="22">
        <v>0</v>
      </c>
      <c r="N191" s="24">
        <v>0</v>
      </c>
      <c r="O191" s="22">
        <v>0</v>
      </c>
      <c r="P191" s="23">
        <v>1</v>
      </c>
      <c r="Q191" s="23">
        <v>1</v>
      </c>
      <c r="R191" s="22">
        <v>0</v>
      </c>
      <c r="S191" s="22">
        <v>0</v>
      </c>
      <c r="T191" s="23">
        <v>1</v>
      </c>
      <c r="U191" s="22">
        <v>0</v>
      </c>
      <c r="V191" s="26" t="s">
        <v>169</v>
      </c>
      <c r="W191" s="26" t="s">
        <v>169</v>
      </c>
      <c r="X191" s="23">
        <v>1</v>
      </c>
      <c r="Z191" s="12" t="str">
        <f t="shared" ref="Z191:AA191" si="429">D173</f>
        <v>GameSession.getWinner</v>
      </c>
      <c r="AA191" s="30">
        <f t="shared" si="429"/>
        <v>1</v>
      </c>
      <c r="AB191" s="30">
        <f t="shared" si="418"/>
        <v>0</v>
      </c>
      <c r="AC191" s="30">
        <f t="shared" si="419"/>
        <v>1</v>
      </c>
      <c r="AD191" s="31">
        <f t="shared" ref="AD191:AF191" si="430">(AA191-MIN(AA$6:AA$236))/(MAX(AA$6:AA$236)-MIN(AA$6:AA$236))</f>
        <v>0</v>
      </c>
      <c r="AE191" s="31">
        <f t="shared" si="430"/>
        <v>0</v>
      </c>
      <c r="AF191" s="31">
        <f t="shared" si="430"/>
        <v>7.6923076923076927E-3</v>
      </c>
      <c r="AG191" s="32">
        <f t="shared" si="4"/>
        <v>7.6923076923076927E-3</v>
      </c>
    </row>
    <row r="192" spans="1:33" ht="15.75" customHeight="1" x14ac:dyDescent="0.3">
      <c r="A192" s="6" t="s">
        <v>50</v>
      </c>
      <c r="B192" s="6" t="s">
        <v>185</v>
      </c>
      <c r="C192" s="6" t="s">
        <v>330</v>
      </c>
      <c r="D192" s="8" t="s">
        <v>563</v>
      </c>
      <c r="E192" s="19">
        <v>1</v>
      </c>
      <c r="F192" s="19">
        <v>0</v>
      </c>
      <c r="G192" s="19">
        <v>0</v>
      </c>
      <c r="H192" s="19">
        <v>0</v>
      </c>
      <c r="I192" s="19">
        <v>0</v>
      </c>
      <c r="J192" s="20">
        <v>0</v>
      </c>
      <c r="K192" s="19">
        <v>0</v>
      </c>
      <c r="L192" s="19">
        <v>0</v>
      </c>
      <c r="M192" s="20">
        <v>0</v>
      </c>
      <c r="N192" s="25" t="s">
        <v>222</v>
      </c>
      <c r="O192" s="25" t="s">
        <v>222</v>
      </c>
      <c r="P192" s="19">
        <v>0</v>
      </c>
      <c r="Q192" s="19">
        <v>0</v>
      </c>
      <c r="R192" s="25" t="s">
        <v>222</v>
      </c>
      <c r="S192" s="20">
        <v>0</v>
      </c>
      <c r="T192" s="19">
        <v>1</v>
      </c>
      <c r="U192" s="20">
        <v>0</v>
      </c>
      <c r="V192" s="25" t="s">
        <v>169</v>
      </c>
      <c r="W192" s="25" t="s">
        <v>169</v>
      </c>
      <c r="X192" s="19">
        <v>1</v>
      </c>
      <c r="Z192" s="6" t="str">
        <f t="shared" ref="Z192:AA192" si="431">D174</f>
        <v>GameSession.isGameOver</v>
      </c>
      <c r="AA192" s="27">
        <f t="shared" si="431"/>
        <v>1</v>
      </c>
      <c r="AB192" s="27">
        <f t="shared" si="418"/>
        <v>0</v>
      </c>
      <c r="AC192" s="27">
        <f t="shared" si="419"/>
        <v>1</v>
      </c>
      <c r="AD192" s="28">
        <f t="shared" ref="AD192:AF192" si="432">(AA192-MIN(AA$6:AA$236))/(MAX(AA$6:AA$236)-MIN(AA$6:AA$236))</f>
        <v>0</v>
      </c>
      <c r="AE192" s="28">
        <f t="shared" si="432"/>
        <v>0</v>
      </c>
      <c r="AF192" s="28">
        <f t="shared" si="432"/>
        <v>7.6923076923076927E-3</v>
      </c>
      <c r="AG192" s="29">
        <f t="shared" si="4"/>
        <v>7.6923076923076927E-3</v>
      </c>
    </row>
    <row r="193" spans="1:33" ht="15.75" customHeight="1" x14ac:dyDescent="0.3">
      <c r="A193" s="12" t="s">
        <v>50</v>
      </c>
      <c r="B193" s="12" t="s">
        <v>185</v>
      </c>
      <c r="C193" s="12" t="s">
        <v>334</v>
      </c>
      <c r="D193" s="14" t="s">
        <v>564</v>
      </c>
      <c r="E193" s="23">
        <v>1</v>
      </c>
      <c r="F193" s="23">
        <v>0</v>
      </c>
      <c r="G193" s="23">
        <v>0</v>
      </c>
      <c r="H193" s="23">
        <v>0</v>
      </c>
      <c r="I193" s="23">
        <v>0</v>
      </c>
      <c r="J193" s="22">
        <v>0</v>
      </c>
      <c r="K193" s="23">
        <v>0</v>
      </c>
      <c r="L193" s="23">
        <v>0</v>
      </c>
      <c r="M193" s="22">
        <v>0</v>
      </c>
      <c r="N193" s="26" t="s">
        <v>222</v>
      </c>
      <c r="O193" s="26" t="s">
        <v>222</v>
      </c>
      <c r="P193" s="23">
        <v>0</v>
      </c>
      <c r="Q193" s="23">
        <v>0</v>
      </c>
      <c r="R193" s="26" t="s">
        <v>222</v>
      </c>
      <c r="S193" s="22">
        <v>0</v>
      </c>
      <c r="T193" s="23">
        <v>1</v>
      </c>
      <c r="U193" s="22">
        <v>0</v>
      </c>
      <c r="V193" s="26" t="s">
        <v>169</v>
      </c>
      <c r="W193" s="26" t="s">
        <v>169</v>
      </c>
      <c r="X193" s="23">
        <v>1</v>
      </c>
      <c r="Z193" s="12" t="str">
        <f t="shared" ref="Z193:AA193" si="433">D176</f>
        <v>CellState.values</v>
      </c>
      <c r="AA193" s="30">
        <f t="shared" si="433"/>
        <v>1</v>
      </c>
      <c r="AB193" s="30">
        <f>G176</f>
        <v>0</v>
      </c>
      <c r="AC193" s="30">
        <f>F176</f>
        <v>0</v>
      </c>
      <c r="AD193" s="31">
        <f t="shared" ref="AD193:AF193" si="434">(AA193-MIN(AA$6:AA$236))/(MAX(AA$6:AA$236)-MIN(AA$6:AA$236))</f>
        <v>0</v>
      </c>
      <c r="AE193" s="31">
        <f t="shared" si="434"/>
        <v>0</v>
      </c>
      <c r="AF193" s="31">
        <f t="shared" si="434"/>
        <v>0</v>
      </c>
      <c r="AG193" s="32">
        <f t="shared" si="4"/>
        <v>0</v>
      </c>
    </row>
    <row r="194" spans="1:33" ht="15.75" customHeight="1" x14ac:dyDescent="0.3">
      <c r="A194" s="6" t="s">
        <v>50</v>
      </c>
      <c r="B194" s="6" t="s">
        <v>185</v>
      </c>
      <c r="C194" s="6" t="s">
        <v>336</v>
      </c>
      <c r="D194" s="8" t="s">
        <v>565</v>
      </c>
      <c r="E194" s="19">
        <v>1</v>
      </c>
      <c r="F194" s="19">
        <v>0</v>
      </c>
      <c r="G194" s="19">
        <v>0</v>
      </c>
      <c r="H194" s="19">
        <v>0</v>
      </c>
      <c r="I194" s="19">
        <v>0</v>
      </c>
      <c r="J194" s="20">
        <v>0</v>
      </c>
      <c r="K194" s="19">
        <v>0</v>
      </c>
      <c r="L194" s="19">
        <v>0</v>
      </c>
      <c r="M194" s="20">
        <v>0</v>
      </c>
      <c r="N194" s="21">
        <v>0</v>
      </c>
      <c r="O194" s="20">
        <v>0</v>
      </c>
      <c r="P194" s="19">
        <v>1</v>
      </c>
      <c r="Q194" s="19">
        <v>1</v>
      </c>
      <c r="R194" s="20">
        <v>0</v>
      </c>
      <c r="S194" s="20">
        <v>0</v>
      </c>
      <c r="T194" s="19">
        <v>1</v>
      </c>
      <c r="U194" s="20">
        <v>0</v>
      </c>
      <c r="V194" s="25" t="s">
        <v>169</v>
      </c>
      <c r="W194" s="25" t="s">
        <v>169</v>
      </c>
      <c r="X194" s="19">
        <v>1</v>
      </c>
      <c r="Z194" s="6" t="str">
        <f t="shared" ref="Z194:AA194" si="435">D178</f>
        <v>Compass.values</v>
      </c>
      <c r="AA194" s="27">
        <f t="shared" si="435"/>
        <v>1</v>
      </c>
      <c r="AB194" s="27">
        <f>G178</f>
        <v>0</v>
      </c>
      <c r="AC194" s="27">
        <f>F178</f>
        <v>0</v>
      </c>
      <c r="AD194" s="28">
        <f t="shared" ref="AD194:AF194" si="436">(AA194-MIN(AA$6:AA$236))/(MAX(AA$6:AA$236)-MIN(AA$6:AA$236))</f>
        <v>0</v>
      </c>
      <c r="AE194" s="28">
        <f t="shared" si="436"/>
        <v>0</v>
      </c>
      <c r="AF194" s="28">
        <f t="shared" si="436"/>
        <v>0</v>
      </c>
      <c r="AG194" s="29">
        <f t="shared" si="4"/>
        <v>0</v>
      </c>
    </row>
    <row r="195" spans="1:33" ht="15.75" customHeight="1" x14ac:dyDescent="0.3">
      <c r="A195" s="12" t="s">
        <v>50</v>
      </c>
      <c r="B195" s="12" t="s">
        <v>185</v>
      </c>
      <c r="C195" s="12" t="s">
        <v>341</v>
      </c>
      <c r="D195" s="14" t="s">
        <v>566</v>
      </c>
      <c r="E195" s="23">
        <v>1</v>
      </c>
      <c r="F195" s="23">
        <v>0</v>
      </c>
      <c r="G195" s="23">
        <v>0</v>
      </c>
      <c r="H195" s="23">
        <v>0</v>
      </c>
      <c r="I195" s="23">
        <v>0</v>
      </c>
      <c r="J195" s="22">
        <v>0</v>
      </c>
      <c r="K195" s="23">
        <v>0</v>
      </c>
      <c r="L195" s="23">
        <v>0</v>
      </c>
      <c r="M195" s="22">
        <v>0</v>
      </c>
      <c r="N195" s="24">
        <v>0</v>
      </c>
      <c r="O195" s="22">
        <v>0</v>
      </c>
      <c r="P195" s="23">
        <v>1</v>
      </c>
      <c r="Q195" s="23">
        <v>1</v>
      </c>
      <c r="R195" s="22">
        <v>0</v>
      </c>
      <c r="S195" s="22">
        <v>0</v>
      </c>
      <c r="T195" s="23">
        <v>1</v>
      </c>
      <c r="U195" s="22">
        <v>0</v>
      </c>
      <c r="V195" s="26" t="s">
        <v>169</v>
      </c>
      <c r="W195" s="26" t="s">
        <v>169</v>
      </c>
      <c r="X195" s="23">
        <v>1</v>
      </c>
      <c r="Z195" s="12" t="str">
        <f t="shared" ref="Z195:AA195" si="437">D180</f>
        <v>IFleet.getFloatingShips</v>
      </c>
      <c r="AA195" s="30">
        <f t="shared" si="437"/>
        <v>1</v>
      </c>
      <c r="AB195" s="30">
        <f t="shared" ref="AB195:AB196" si="438">G180</f>
        <v>0</v>
      </c>
      <c r="AC195" s="30">
        <f t="shared" ref="AC195:AC196" si="439">F180</f>
        <v>0</v>
      </c>
      <c r="AD195" s="31">
        <f t="shared" ref="AD195:AF195" si="440">(AA195-MIN(AA$6:AA$236))/(MAX(AA$6:AA$236)-MIN(AA$6:AA$236))</f>
        <v>0</v>
      </c>
      <c r="AE195" s="31">
        <f t="shared" si="440"/>
        <v>0</v>
      </c>
      <c r="AF195" s="31">
        <f t="shared" si="440"/>
        <v>0</v>
      </c>
      <c r="AG195" s="32">
        <f t="shared" si="4"/>
        <v>0</v>
      </c>
    </row>
    <row r="196" spans="1:33" ht="15.75" customHeight="1" x14ac:dyDescent="0.3">
      <c r="A196" s="6" t="s">
        <v>50</v>
      </c>
      <c r="B196" s="6" t="s">
        <v>185</v>
      </c>
      <c r="C196" s="6" t="s">
        <v>260</v>
      </c>
      <c r="D196" s="8" t="s">
        <v>567</v>
      </c>
      <c r="E196" s="19">
        <v>1</v>
      </c>
      <c r="F196" s="19">
        <v>0</v>
      </c>
      <c r="G196" s="19">
        <v>0</v>
      </c>
      <c r="H196" s="19">
        <v>0</v>
      </c>
      <c r="I196" s="19">
        <v>0</v>
      </c>
      <c r="J196" s="20">
        <v>0</v>
      </c>
      <c r="K196" s="19">
        <v>0</v>
      </c>
      <c r="L196" s="19">
        <v>0</v>
      </c>
      <c r="M196" s="20">
        <v>0</v>
      </c>
      <c r="N196" s="21">
        <v>0</v>
      </c>
      <c r="O196" s="20">
        <v>0</v>
      </c>
      <c r="P196" s="19">
        <v>1</v>
      </c>
      <c r="Q196" s="19">
        <v>1</v>
      </c>
      <c r="R196" s="20">
        <v>0</v>
      </c>
      <c r="S196" s="20">
        <v>0</v>
      </c>
      <c r="T196" s="19">
        <v>1</v>
      </c>
      <c r="U196" s="20">
        <v>0</v>
      </c>
      <c r="V196" s="25" t="s">
        <v>169</v>
      </c>
      <c r="W196" s="25" t="s">
        <v>169</v>
      </c>
      <c r="X196" s="19">
        <v>1</v>
      </c>
      <c r="Z196" s="6" t="str">
        <f t="shared" ref="Z196:AA196" si="441">D181</f>
        <v>IFleet.getShips</v>
      </c>
      <c r="AA196" s="27">
        <f t="shared" si="441"/>
        <v>1</v>
      </c>
      <c r="AB196" s="27">
        <f t="shared" si="438"/>
        <v>0</v>
      </c>
      <c r="AC196" s="27">
        <f t="shared" si="439"/>
        <v>0</v>
      </c>
      <c r="AD196" s="28">
        <f t="shared" ref="AD196:AF196" si="442">(AA196-MIN(AA$6:AA$236))/(MAX(AA$6:AA$236)-MIN(AA$6:AA$236))</f>
        <v>0</v>
      </c>
      <c r="AE196" s="28">
        <f t="shared" si="442"/>
        <v>0</v>
      </c>
      <c r="AF196" s="28">
        <f t="shared" si="442"/>
        <v>0</v>
      </c>
      <c r="AG196" s="29">
        <f t="shared" si="4"/>
        <v>0</v>
      </c>
    </row>
    <row r="197" spans="1:33" ht="15.75" customHeight="1" x14ac:dyDescent="0.3">
      <c r="A197" s="12" t="s">
        <v>50</v>
      </c>
      <c r="B197" s="12" t="s">
        <v>185</v>
      </c>
      <c r="C197" s="12" t="s">
        <v>347</v>
      </c>
      <c r="D197" s="14" t="s">
        <v>568</v>
      </c>
      <c r="E197" s="23">
        <v>1</v>
      </c>
      <c r="F197" s="23">
        <v>0</v>
      </c>
      <c r="G197" s="23">
        <v>0</v>
      </c>
      <c r="H197" s="23">
        <v>0</v>
      </c>
      <c r="I197" s="23">
        <v>0</v>
      </c>
      <c r="J197" s="22">
        <v>0</v>
      </c>
      <c r="K197" s="23">
        <v>0</v>
      </c>
      <c r="L197" s="23">
        <v>0</v>
      </c>
      <c r="M197" s="22">
        <v>0</v>
      </c>
      <c r="N197" s="24">
        <v>0</v>
      </c>
      <c r="O197" s="22">
        <v>0</v>
      </c>
      <c r="P197" s="23">
        <v>1</v>
      </c>
      <c r="Q197" s="23">
        <v>1</v>
      </c>
      <c r="R197" s="22">
        <v>0</v>
      </c>
      <c r="S197" s="22">
        <v>0</v>
      </c>
      <c r="T197" s="23">
        <v>1</v>
      </c>
      <c r="U197" s="22">
        <v>0</v>
      </c>
      <c r="V197" s="26" t="s">
        <v>169</v>
      </c>
      <c r="W197" s="26" t="s">
        <v>169</v>
      </c>
      <c r="X197" s="23">
        <v>1</v>
      </c>
      <c r="Z197" s="12" t="str">
        <f t="shared" ref="Z197:AA197" si="443">D183</f>
        <v>IFleet.getSunkShips</v>
      </c>
      <c r="AA197" s="30">
        <f t="shared" si="443"/>
        <v>1</v>
      </c>
      <c r="AB197" s="30">
        <f t="shared" ref="AB197:AB198" si="444">G183</f>
        <v>0</v>
      </c>
      <c r="AC197" s="30">
        <f t="shared" ref="AC197:AC198" si="445">F183</f>
        <v>0</v>
      </c>
      <c r="AD197" s="31">
        <f t="shared" ref="AD197:AF197" si="446">(AA197-MIN(AA$6:AA$236))/(MAX(AA$6:AA$236)-MIN(AA$6:AA$236))</f>
        <v>0</v>
      </c>
      <c r="AE197" s="31">
        <f t="shared" si="446"/>
        <v>0</v>
      </c>
      <c r="AF197" s="31">
        <f t="shared" si="446"/>
        <v>0</v>
      </c>
      <c r="AG197" s="32">
        <f t="shared" si="4"/>
        <v>0</v>
      </c>
    </row>
    <row r="198" spans="1:33" ht="15.75" customHeight="1" x14ac:dyDescent="0.3">
      <c r="A198" s="6" t="s">
        <v>50</v>
      </c>
      <c r="B198" s="6" t="s">
        <v>185</v>
      </c>
      <c r="C198" s="6" t="s">
        <v>349</v>
      </c>
      <c r="D198" s="8" t="s">
        <v>569</v>
      </c>
      <c r="E198" s="19">
        <v>1</v>
      </c>
      <c r="F198" s="19">
        <v>0</v>
      </c>
      <c r="G198" s="19">
        <v>2</v>
      </c>
      <c r="H198" s="19">
        <v>0</v>
      </c>
      <c r="I198" s="19">
        <v>0</v>
      </c>
      <c r="J198" s="20">
        <v>0</v>
      </c>
      <c r="K198" s="19">
        <v>0</v>
      </c>
      <c r="L198" s="19">
        <v>0</v>
      </c>
      <c r="M198" s="20">
        <v>0</v>
      </c>
      <c r="N198" s="21">
        <v>0</v>
      </c>
      <c r="O198" s="20">
        <v>0</v>
      </c>
      <c r="P198" s="19">
        <v>3</v>
      </c>
      <c r="Q198" s="19">
        <v>2</v>
      </c>
      <c r="R198" s="20">
        <v>3</v>
      </c>
      <c r="S198" s="20">
        <v>0</v>
      </c>
      <c r="T198" s="19">
        <v>1</v>
      </c>
      <c r="U198" s="20">
        <v>0</v>
      </c>
      <c r="V198" s="25" t="s">
        <v>169</v>
      </c>
      <c r="W198" s="25" t="s">
        <v>169</v>
      </c>
      <c r="X198" s="19">
        <v>1</v>
      </c>
      <c r="Z198" s="6" t="str">
        <f t="shared" ref="Z198:AA198" si="447">D184</f>
        <v>IFleet.printStatus</v>
      </c>
      <c r="AA198" s="27">
        <f t="shared" si="447"/>
        <v>1</v>
      </c>
      <c r="AB198" s="27">
        <f t="shared" si="444"/>
        <v>0</v>
      </c>
      <c r="AC198" s="27">
        <f t="shared" si="445"/>
        <v>0</v>
      </c>
      <c r="AD198" s="28">
        <f t="shared" ref="AD198:AF198" si="448">(AA198-MIN(AA$6:AA$236))/(MAX(AA$6:AA$236)-MIN(AA$6:AA$236))</f>
        <v>0</v>
      </c>
      <c r="AE198" s="28">
        <f t="shared" si="448"/>
        <v>0</v>
      </c>
      <c r="AF198" s="28">
        <f t="shared" si="448"/>
        <v>0</v>
      </c>
      <c r="AG198" s="29">
        <f t="shared" si="4"/>
        <v>0</v>
      </c>
    </row>
    <row r="199" spans="1:33" ht="15.75" customHeight="1" x14ac:dyDescent="0.3">
      <c r="A199" s="12" t="s">
        <v>50</v>
      </c>
      <c r="B199" s="12" t="s">
        <v>185</v>
      </c>
      <c r="C199" s="12" t="s">
        <v>358</v>
      </c>
      <c r="D199" s="14" t="s">
        <v>570</v>
      </c>
      <c r="E199" s="23">
        <v>1</v>
      </c>
      <c r="F199" s="23">
        <v>0</v>
      </c>
      <c r="G199" s="23">
        <v>2</v>
      </c>
      <c r="H199" s="23">
        <v>0</v>
      </c>
      <c r="I199" s="23">
        <v>0</v>
      </c>
      <c r="J199" s="22">
        <v>0</v>
      </c>
      <c r="K199" s="23">
        <v>0</v>
      </c>
      <c r="L199" s="23">
        <v>0</v>
      </c>
      <c r="M199" s="22">
        <v>0</v>
      </c>
      <c r="N199" s="24">
        <v>0</v>
      </c>
      <c r="O199" s="22">
        <v>0</v>
      </c>
      <c r="P199" s="23">
        <v>3</v>
      </c>
      <c r="Q199" s="23">
        <v>2</v>
      </c>
      <c r="R199" s="22">
        <v>3</v>
      </c>
      <c r="S199" s="22">
        <v>0</v>
      </c>
      <c r="T199" s="23">
        <v>1</v>
      </c>
      <c r="U199" s="22">
        <v>0</v>
      </c>
      <c r="V199" s="26" t="s">
        <v>169</v>
      </c>
      <c r="W199" s="26" t="s">
        <v>169</v>
      </c>
      <c r="X199" s="23">
        <v>1</v>
      </c>
      <c r="Z199" s="12" t="str">
        <f t="shared" ref="Z199:AA199" si="449">D188</f>
        <v>IGame.getAlienFleet</v>
      </c>
      <c r="AA199" s="30">
        <f t="shared" si="449"/>
        <v>1</v>
      </c>
      <c r="AB199" s="30">
        <f t="shared" ref="AB199:AB208" si="450">G188</f>
        <v>0</v>
      </c>
      <c r="AC199" s="30">
        <f t="shared" ref="AC199:AC208" si="451">F188</f>
        <v>0</v>
      </c>
      <c r="AD199" s="31">
        <f t="shared" ref="AD199:AF199" si="452">(AA199-MIN(AA$6:AA$236))/(MAX(AA$6:AA$236)-MIN(AA$6:AA$236))</f>
        <v>0</v>
      </c>
      <c r="AE199" s="31">
        <f t="shared" si="452"/>
        <v>0</v>
      </c>
      <c r="AF199" s="31">
        <f t="shared" si="452"/>
        <v>0</v>
      </c>
      <c r="AG199" s="32">
        <f t="shared" si="4"/>
        <v>0</v>
      </c>
    </row>
    <row r="200" spans="1:33" ht="15.75" customHeight="1" x14ac:dyDescent="0.3">
      <c r="A200" s="6" t="s">
        <v>50</v>
      </c>
      <c r="B200" s="6" t="s">
        <v>185</v>
      </c>
      <c r="C200" s="6" t="s">
        <v>249</v>
      </c>
      <c r="D200" s="8" t="s">
        <v>571</v>
      </c>
      <c r="E200" s="19">
        <v>1</v>
      </c>
      <c r="F200" s="19">
        <v>0</v>
      </c>
      <c r="G200" s="19">
        <v>0</v>
      </c>
      <c r="H200" s="19">
        <v>0</v>
      </c>
      <c r="I200" s="19">
        <v>0</v>
      </c>
      <c r="J200" s="20">
        <v>0</v>
      </c>
      <c r="K200" s="19">
        <v>0</v>
      </c>
      <c r="L200" s="19">
        <v>0</v>
      </c>
      <c r="M200" s="20">
        <v>0</v>
      </c>
      <c r="N200" s="25" t="s">
        <v>222</v>
      </c>
      <c r="O200" s="25" t="s">
        <v>222</v>
      </c>
      <c r="P200" s="19">
        <v>0</v>
      </c>
      <c r="Q200" s="19">
        <v>0</v>
      </c>
      <c r="R200" s="25" t="s">
        <v>222</v>
      </c>
      <c r="S200" s="20">
        <v>0</v>
      </c>
      <c r="T200" s="19">
        <v>1</v>
      </c>
      <c r="U200" s="20">
        <v>0</v>
      </c>
      <c r="V200" s="25" t="s">
        <v>169</v>
      </c>
      <c r="W200" s="25" t="s">
        <v>169</v>
      </c>
      <c r="X200" s="19">
        <v>1</v>
      </c>
      <c r="Z200" s="6" t="str">
        <f t="shared" ref="Z200:AA200" si="453">D189</f>
        <v>IGame.getAlienMoves</v>
      </c>
      <c r="AA200" s="27">
        <f t="shared" si="453"/>
        <v>1</v>
      </c>
      <c r="AB200" s="27">
        <f t="shared" si="450"/>
        <v>0</v>
      </c>
      <c r="AC200" s="27">
        <f t="shared" si="451"/>
        <v>0</v>
      </c>
      <c r="AD200" s="28">
        <f t="shared" ref="AD200:AF200" si="454">(AA200-MIN(AA$6:AA$236))/(MAX(AA$6:AA$236)-MIN(AA$6:AA$236))</f>
        <v>0</v>
      </c>
      <c r="AE200" s="28">
        <f t="shared" si="454"/>
        <v>0</v>
      </c>
      <c r="AF200" s="28">
        <f t="shared" si="454"/>
        <v>0</v>
      </c>
      <c r="AG200" s="29">
        <f t="shared" si="4"/>
        <v>0</v>
      </c>
    </row>
    <row r="201" spans="1:33" ht="15.75" customHeight="1" x14ac:dyDescent="0.3">
      <c r="A201" s="12" t="s">
        <v>50</v>
      </c>
      <c r="B201" s="12" t="s">
        <v>185</v>
      </c>
      <c r="C201" s="12" t="s">
        <v>274</v>
      </c>
      <c r="D201" s="14" t="s">
        <v>572</v>
      </c>
      <c r="E201" s="23">
        <v>1</v>
      </c>
      <c r="F201" s="23">
        <v>0</v>
      </c>
      <c r="G201" s="23">
        <v>1</v>
      </c>
      <c r="H201" s="23">
        <v>0</v>
      </c>
      <c r="I201" s="23">
        <v>0</v>
      </c>
      <c r="J201" s="22">
        <v>0</v>
      </c>
      <c r="K201" s="23">
        <v>0</v>
      </c>
      <c r="L201" s="23">
        <v>0</v>
      </c>
      <c r="M201" s="22">
        <v>0</v>
      </c>
      <c r="N201" s="26" t="s">
        <v>222</v>
      </c>
      <c r="O201" s="26" t="s">
        <v>222</v>
      </c>
      <c r="P201" s="23">
        <v>0</v>
      </c>
      <c r="Q201" s="23">
        <v>0</v>
      </c>
      <c r="R201" s="26" t="s">
        <v>222</v>
      </c>
      <c r="S201" s="22">
        <v>0</v>
      </c>
      <c r="T201" s="23">
        <v>1</v>
      </c>
      <c r="U201" s="22">
        <v>0</v>
      </c>
      <c r="V201" s="26" t="s">
        <v>169</v>
      </c>
      <c r="W201" s="26" t="s">
        <v>169</v>
      </c>
      <c r="X201" s="23">
        <v>1</v>
      </c>
      <c r="Z201" s="12" t="str">
        <f t="shared" ref="Z201:AA201" si="455">D190</f>
        <v>IGame.getHits</v>
      </c>
      <c r="AA201" s="30">
        <f t="shared" si="455"/>
        <v>1</v>
      </c>
      <c r="AB201" s="30">
        <f t="shared" si="450"/>
        <v>0</v>
      </c>
      <c r="AC201" s="30">
        <f t="shared" si="451"/>
        <v>0</v>
      </c>
      <c r="AD201" s="31">
        <f t="shared" ref="AD201:AF201" si="456">(AA201-MIN(AA$6:AA$236))/(MAX(AA$6:AA$236)-MIN(AA$6:AA$236))</f>
        <v>0</v>
      </c>
      <c r="AE201" s="31">
        <f t="shared" si="456"/>
        <v>0</v>
      </c>
      <c r="AF201" s="31">
        <f t="shared" si="456"/>
        <v>0</v>
      </c>
      <c r="AG201" s="32">
        <f t="shared" si="4"/>
        <v>0</v>
      </c>
    </row>
    <row r="202" spans="1:33" ht="15.75" customHeight="1" x14ac:dyDescent="0.3">
      <c r="A202" s="6" t="s">
        <v>50</v>
      </c>
      <c r="B202" s="6" t="s">
        <v>185</v>
      </c>
      <c r="C202" s="6" t="s">
        <v>365</v>
      </c>
      <c r="D202" s="8" t="s">
        <v>573</v>
      </c>
      <c r="E202" s="19">
        <v>1</v>
      </c>
      <c r="F202" s="19">
        <v>0</v>
      </c>
      <c r="G202" s="19">
        <v>2</v>
      </c>
      <c r="H202" s="19">
        <v>0</v>
      </c>
      <c r="I202" s="19">
        <v>0</v>
      </c>
      <c r="J202" s="20">
        <v>0</v>
      </c>
      <c r="K202" s="19">
        <v>0</v>
      </c>
      <c r="L202" s="19">
        <v>0</v>
      </c>
      <c r="M202" s="20">
        <v>0</v>
      </c>
      <c r="N202" s="21">
        <v>0</v>
      </c>
      <c r="O202" s="20">
        <v>0</v>
      </c>
      <c r="P202" s="19">
        <v>1</v>
      </c>
      <c r="Q202" s="19">
        <v>1</v>
      </c>
      <c r="R202" s="20">
        <v>0</v>
      </c>
      <c r="S202" s="20">
        <v>0</v>
      </c>
      <c r="T202" s="19">
        <v>1</v>
      </c>
      <c r="U202" s="20">
        <v>0</v>
      </c>
      <c r="V202" s="25" t="s">
        <v>169</v>
      </c>
      <c r="W202" s="25" t="s">
        <v>169</v>
      </c>
      <c r="X202" s="19">
        <v>1</v>
      </c>
      <c r="Z202" s="6" t="str">
        <f t="shared" ref="Z202:AA202" si="457">D191</f>
        <v>IGame.getInvalidShots</v>
      </c>
      <c r="AA202" s="27">
        <f t="shared" si="457"/>
        <v>1</v>
      </c>
      <c r="AB202" s="27">
        <f t="shared" si="450"/>
        <v>0</v>
      </c>
      <c r="AC202" s="27">
        <f t="shared" si="451"/>
        <v>0</v>
      </c>
      <c r="AD202" s="28">
        <f t="shared" ref="AD202:AF202" si="458">(AA202-MIN(AA$6:AA$236))/(MAX(AA$6:AA$236)-MIN(AA$6:AA$236))</f>
        <v>0</v>
      </c>
      <c r="AE202" s="28">
        <f t="shared" si="458"/>
        <v>0</v>
      </c>
      <c r="AF202" s="28">
        <f t="shared" si="458"/>
        <v>0</v>
      </c>
      <c r="AG202" s="29">
        <f t="shared" si="4"/>
        <v>0</v>
      </c>
    </row>
    <row r="203" spans="1:33" ht="15.75" customHeight="1" x14ac:dyDescent="0.3">
      <c r="A203" s="12" t="s">
        <v>50</v>
      </c>
      <c r="B203" s="12" t="s">
        <v>188</v>
      </c>
      <c r="C203" s="12" t="s">
        <v>458</v>
      </c>
      <c r="D203" s="14" t="s">
        <v>574</v>
      </c>
      <c r="E203" s="23">
        <v>1</v>
      </c>
      <c r="F203" s="23">
        <v>0</v>
      </c>
      <c r="G203" s="23">
        <v>0</v>
      </c>
      <c r="H203" s="23">
        <v>0</v>
      </c>
      <c r="I203" s="23">
        <v>0</v>
      </c>
      <c r="J203" s="22">
        <v>0</v>
      </c>
      <c r="K203" s="23">
        <v>0</v>
      </c>
      <c r="L203" s="23">
        <v>0</v>
      </c>
      <c r="M203" s="22">
        <v>0</v>
      </c>
      <c r="N203" s="24">
        <v>0</v>
      </c>
      <c r="O203" s="22">
        <v>0</v>
      </c>
      <c r="P203" s="23">
        <v>1</v>
      </c>
      <c r="Q203" s="23">
        <v>1</v>
      </c>
      <c r="R203" s="22">
        <v>0</v>
      </c>
      <c r="S203" s="22">
        <v>0</v>
      </c>
      <c r="T203" s="23">
        <v>1</v>
      </c>
      <c r="U203" s="22">
        <v>0</v>
      </c>
      <c r="V203" s="26" t="s">
        <v>169</v>
      </c>
      <c r="W203" s="26" t="s">
        <v>169</v>
      </c>
      <c r="X203" s="23">
        <v>1</v>
      </c>
      <c r="Z203" s="12" t="str">
        <f t="shared" ref="Z203:AA203" si="459">D192</f>
        <v>IGame.getMyFleet</v>
      </c>
      <c r="AA203" s="30">
        <f t="shared" si="459"/>
        <v>1</v>
      </c>
      <c r="AB203" s="30">
        <f t="shared" si="450"/>
        <v>0</v>
      </c>
      <c r="AC203" s="30">
        <f t="shared" si="451"/>
        <v>0</v>
      </c>
      <c r="AD203" s="31">
        <f t="shared" ref="AD203:AF203" si="460">(AA203-MIN(AA$6:AA$236))/(MAX(AA$6:AA$236)-MIN(AA$6:AA$236))</f>
        <v>0</v>
      </c>
      <c r="AE203" s="31">
        <f t="shared" si="460"/>
        <v>0</v>
      </c>
      <c r="AF203" s="31">
        <f t="shared" si="460"/>
        <v>0</v>
      </c>
      <c r="AG203" s="32">
        <f t="shared" si="4"/>
        <v>0</v>
      </c>
    </row>
    <row r="204" spans="1:33" ht="15.75" customHeight="1" x14ac:dyDescent="0.3">
      <c r="A204" s="6" t="s">
        <v>50</v>
      </c>
      <c r="B204" s="6" t="s">
        <v>188</v>
      </c>
      <c r="C204" s="6" t="s">
        <v>461</v>
      </c>
      <c r="D204" s="8" t="s">
        <v>575</v>
      </c>
      <c r="E204" s="19">
        <v>1</v>
      </c>
      <c r="F204" s="19">
        <v>0</v>
      </c>
      <c r="G204" s="19">
        <v>0</v>
      </c>
      <c r="H204" s="19">
        <v>0</v>
      </c>
      <c r="I204" s="19">
        <v>0</v>
      </c>
      <c r="J204" s="20">
        <v>0</v>
      </c>
      <c r="K204" s="19">
        <v>0</v>
      </c>
      <c r="L204" s="19">
        <v>0</v>
      </c>
      <c r="M204" s="20">
        <v>0</v>
      </c>
      <c r="N204" s="25" t="s">
        <v>222</v>
      </c>
      <c r="O204" s="25" t="s">
        <v>222</v>
      </c>
      <c r="P204" s="19">
        <v>0</v>
      </c>
      <c r="Q204" s="19">
        <v>0</v>
      </c>
      <c r="R204" s="25" t="s">
        <v>222</v>
      </c>
      <c r="S204" s="20">
        <v>0</v>
      </c>
      <c r="T204" s="19">
        <v>1</v>
      </c>
      <c r="U204" s="20">
        <v>0</v>
      </c>
      <c r="V204" s="25" t="s">
        <v>169</v>
      </c>
      <c r="W204" s="25" t="s">
        <v>169</v>
      </c>
      <c r="X204" s="19">
        <v>1</v>
      </c>
      <c r="Z204" s="6" t="str">
        <f t="shared" ref="Z204:AA204" si="461">D193</f>
        <v>IGame.getMyMoves</v>
      </c>
      <c r="AA204" s="27">
        <f t="shared" si="461"/>
        <v>1</v>
      </c>
      <c r="AB204" s="27">
        <f t="shared" si="450"/>
        <v>0</v>
      </c>
      <c r="AC204" s="27">
        <f t="shared" si="451"/>
        <v>0</v>
      </c>
      <c r="AD204" s="28">
        <f t="shared" ref="AD204:AF204" si="462">(AA204-MIN(AA$6:AA$236))/(MAX(AA$6:AA$236)-MIN(AA$6:AA$236))</f>
        <v>0</v>
      </c>
      <c r="AE204" s="28">
        <f t="shared" si="462"/>
        <v>0</v>
      </c>
      <c r="AF204" s="28">
        <f t="shared" si="462"/>
        <v>0</v>
      </c>
      <c r="AG204" s="29">
        <f t="shared" si="4"/>
        <v>0</v>
      </c>
    </row>
    <row r="205" spans="1:33" ht="15.75" customHeight="1" x14ac:dyDescent="0.3">
      <c r="A205" s="12" t="s">
        <v>50</v>
      </c>
      <c r="B205" s="12" t="s">
        <v>188</v>
      </c>
      <c r="C205" s="12" t="s">
        <v>463</v>
      </c>
      <c r="D205" s="14" t="s">
        <v>576</v>
      </c>
      <c r="E205" s="23">
        <v>1</v>
      </c>
      <c r="F205" s="23">
        <v>0</v>
      </c>
      <c r="G205" s="23">
        <v>0</v>
      </c>
      <c r="H205" s="23">
        <v>0</v>
      </c>
      <c r="I205" s="23">
        <v>0</v>
      </c>
      <c r="J205" s="22">
        <v>0</v>
      </c>
      <c r="K205" s="23">
        <v>0</v>
      </c>
      <c r="L205" s="23">
        <v>0</v>
      </c>
      <c r="M205" s="22">
        <v>0</v>
      </c>
      <c r="N205" s="26" t="s">
        <v>222</v>
      </c>
      <c r="O205" s="26" t="s">
        <v>222</v>
      </c>
      <c r="P205" s="23">
        <v>0</v>
      </c>
      <c r="Q205" s="23">
        <v>0</v>
      </c>
      <c r="R205" s="26" t="s">
        <v>222</v>
      </c>
      <c r="S205" s="22">
        <v>0</v>
      </c>
      <c r="T205" s="23">
        <v>1</v>
      </c>
      <c r="U205" s="22">
        <v>0</v>
      </c>
      <c r="V205" s="26" t="s">
        <v>169</v>
      </c>
      <c r="W205" s="26" t="s">
        <v>169</v>
      </c>
      <c r="X205" s="23">
        <v>1</v>
      </c>
      <c r="Z205" s="12" t="str">
        <f t="shared" ref="Z205:AA205" si="463">D194</f>
        <v>IGame.getRemainingShips</v>
      </c>
      <c r="AA205" s="30">
        <f t="shared" si="463"/>
        <v>1</v>
      </c>
      <c r="AB205" s="30">
        <f t="shared" si="450"/>
        <v>0</v>
      </c>
      <c r="AC205" s="30">
        <f t="shared" si="451"/>
        <v>0</v>
      </c>
      <c r="AD205" s="31">
        <f t="shared" ref="AD205:AF205" si="464">(AA205-MIN(AA$6:AA$236))/(MAX(AA$6:AA$236)-MIN(AA$6:AA$236))</f>
        <v>0</v>
      </c>
      <c r="AE205" s="31">
        <f t="shared" si="464"/>
        <v>0</v>
      </c>
      <c r="AF205" s="31">
        <f t="shared" si="464"/>
        <v>0</v>
      </c>
      <c r="AG205" s="32">
        <f t="shared" si="4"/>
        <v>0</v>
      </c>
    </row>
    <row r="206" spans="1:33" ht="15.75" customHeight="1" x14ac:dyDescent="0.3">
      <c r="A206" s="6" t="s">
        <v>50</v>
      </c>
      <c r="B206" s="6" t="s">
        <v>188</v>
      </c>
      <c r="C206" s="6" t="s">
        <v>236</v>
      </c>
      <c r="D206" s="8" t="s">
        <v>577</v>
      </c>
      <c r="E206" s="19">
        <v>1</v>
      </c>
      <c r="F206" s="19">
        <v>0</v>
      </c>
      <c r="G206" s="19">
        <v>1</v>
      </c>
      <c r="H206" s="19">
        <v>0</v>
      </c>
      <c r="I206" s="19">
        <v>0</v>
      </c>
      <c r="J206" s="20">
        <v>0</v>
      </c>
      <c r="K206" s="19">
        <v>0</v>
      </c>
      <c r="L206" s="19">
        <v>0</v>
      </c>
      <c r="M206" s="20">
        <v>0</v>
      </c>
      <c r="N206" s="21">
        <v>0</v>
      </c>
      <c r="O206" s="20">
        <v>0</v>
      </c>
      <c r="P206" s="19">
        <v>1</v>
      </c>
      <c r="Q206" s="19">
        <v>1</v>
      </c>
      <c r="R206" s="20">
        <v>0</v>
      </c>
      <c r="S206" s="20">
        <v>0</v>
      </c>
      <c r="T206" s="19">
        <v>1</v>
      </c>
      <c r="U206" s="20">
        <v>0</v>
      </c>
      <c r="V206" s="25" t="s">
        <v>169</v>
      </c>
      <c r="W206" s="25" t="s">
        <v>169</v>
      </c>
      <c r="X206" s="19">
        <v>1</v>
      </c>
      <c r="Z206" s="6" t="str">
        <f t="shared" ref="Z206:AA206" si="465">D195</f>
        <v>IGame.getRepeatedShots</v>
      </c>
      <c r="AA206" s="27">
        <f t="shared" si="465"/>
        <v>1</v>
      </c>
      <c r="AB206" s="27">
        <f t="shared" si="450"/>
        <v>0</v>
      </c>
      <c r="AC206" s="27">
        <f t="shared" si="451"/>
        <v>0</v>
      </c>
      <c r="AD206" s="28">
        <f t="shared" ref="AD206:AF206" si="466">(AA206-MIN(AA$6:AA$236))/(MAX(AA$6:AA$236)-MIN(AA$6:AA$236))</f>
        <v>0</v>
      </c>
      <c r="AE206" s="28">
        <f t="shared" si="466"/>
        <v>0</v>
      </c>
      <c r="AF206" s="28">
        <f t="shared" si="466"/>
        <v>0</v>
      </c>
      <c r="AG206" s="29">
        <f t="shared" si="4"/>
        <v>0</v>
      </c>
    </row>
    <row r="207" spans="1:33" ht="15.75" customHeight="1" x14ac:dyDescent="0.3">
      <c r="A207" s="12" t="s">
        <v>50</v>
      </c>
      <c r="B207" s="12" t="s">
        <v>188</v>
      </c>
      <c r="C207" s="12" t="s">
        <v>229</v>
      </c>
      <c r="D207" s="14" t="s">
        <v>578</v>
      </c>
      <c r="E207" s="23">
        <v>1</v>
      </c>
      <c r="F207" s="23">
        <v>0</v>
      </c>
      <c r="G207" s="23">
        <v>0</v>
      </c>
      <c r="H207" s="23">
        <v>0</v>
      </c>
      <c r="I207" s="23">
        <v>0</v>
      </c>
      <c r="J207" s="22">
        <v>0</v>
      </c>
      <c r="K207" s="23">
        <v>0</v>
      </c>
      <c r="L207" s="23">
        <v>0</v>
      </c>
      <c r="M207" s="22">
        <v>0</v>
      </c>
      <c r="N207" s="26" t="s">
        <v>222</v>
      </c>
      <c r="O207" s="26" t="s">
        <v>222</v>
      </c>
      <c r="P207" s="23">
        <v>0</v>
      </c>
      <c r="Q207" s="23">
        <v>0</v>
      </c>
      <c r="R207" s="26" t="s">
        <v>222</v>
      </c>
      <c r="S207" s="22">
        <v>0</v>
      </c>
      <c r="T207" s="23">
        <v>1</v>
      </c>
      <c r="U207" s="22">
        <v>0</v>
      </c>
      <c r="V207" s="26" t="s">
        <v>169</v>
      </c>
      <c r="W207" s="26" t="s">
        <v>169</v>
      </c>
      <c r="X207" s="23">
        <v>1</v>
      </c>
      <c r="Z207" s="12" t="str">
        <f t="shared" ref="Z207:AA207" si="467">D196</f>
        <v>IGame.getSunkShips</v>
      </c>
      <c r="AA207" s="30">
        <f t="shared" si="467"/>
        <v>1</v>
      </c>
      <c r="AB207" s="30">
        <f t="shared" si="450"/>
        <v>0</v>
      </c>
      <c r="AC207" s="30">
        <f t="shared" si="451"/>
        <v>0</v>
      </c>
      <c r="AD207" s="31">
        <f t="shared" ref="AD207:AF207" si="468">(AA207-MIN(AA$6:AA$236))/(MAX(AA$6:AA$236)-MIN(AA$6:AA$236))</f>
        <v>0</v>
      </c>
      <c r="AE207" s="31">
        <f t="shared" si="468"/>
        <v>0</v>
      </c>
      <c r="AF207" s="31">
        <f t="shared" si="468"/>
        <v>0</v>
      </c>
      <c r="AG207" s="32">
        <f t="shared" si="4"/>
        <v>0</v>
      </c>
    </row>
    <row r="208" spans="1:33" ht="15.75" customHeight="1" x14ac:dyDescent="0.3">
      <c r="A208" s="6" t="s">
        <v>50</v>
      </c>
      <c r="B208" s="6" t="s">
        <v>189</v>
      </c>
      <c r="C208" s="6" t="s">
        <v>332</v>
      </c>
      <c r="D208" s="8" t="s">
        <v>579</v>
      </c>
      <c r="E208" s="19">
        <v>1</v>
      </c>
      <c r="F208" s="19">
        <v>0</v>
      </c>
      <c r="G208" s="19">
        <v>0</v>
      </c>
      <c r="H208" s="19">
        <v>0</v>
      </c>
      <c r="I208" s="19">
        <v>0</v>
      </c>
      <c r="J208" s="20">
        <v>0</v>
      </c>
      <c r="K208" s="19">
        <v>0</v>
      </c>
      <c r="L208" s="19">
        <v>0</v>
      </c>
      <c r="M208" s="20">
        <v>0</v>
      </c>
      <c r="N208" s="25" t="s">
        <v>222</v>
      </c>
      <c r="O208" s="25" t="s">
        <v>222</v>
      </c>
      <c r="P208" s="19">
        <v>0</v>
      </c>
      <c r="Q208" s="19">
        <v>0</v>
      </c>
      <c r="R208" s="25" t="s">
        <v>222</v>
      </c>
      <c r="S208" s="20">
        <v>0</v>
      </c>
      <c r="T208" s="19">
        <v>1</v>
      </c>
      <c r="U208" s="20">
        <v>0</v>
      </c>
      <c r="V208" s="25" t="s">
        <v>169</v>
      </c>
      <c r="W208" s="25" t="s">
        <v>169</v>
      </c>
      <c r="X208" s="19">
        <v>4</v>
      </c>
      <c r="Z208" s="6" t="str">
        <f t="shared" ref="Z208:AA208" si="469">D197</f>
        <v>IGame.over</v>
      </c>
      <c r="AA208" s="27">
        <f t="shared" si="469"/>
        <v>1</v>
      </c>
      <c r="AB208" s="27">
        <f t="shared" si="450"/>
        <v>0</v>
      </c>
      <c r="AC208" s="27">
        <f t="shared" si="451"/>
        <v>0</v>
      </c>
      <c r="AD208" s="28">
        <f t="shared" ref="AD208:AF208" si="470">(AA208-MIN(AA$6:AA$236))/(MAX(AA$6:AA$236)-MIN(AA$6:AA$236))</f>
        <v>0</v>
      </c>
      <c r="AE208" s="28">
        <f t="shared" si="470"/>
        <v>0</v>
      </c>
      <c r="AF208" s="28">
        <f t="shared" si="470"/>
        <v>0</v>
      </c>
      <c r="AG208" s="29">
        <f t="shared" si="4"/>
        <v>0</v>
      </c>
    </row>
    <row r="209" spans="1:33" ht="15.75" customHeight="1" x14ac:dyDescent="0.3">
      <c r="A209" s="12" t="s">
        <v>50</v>
      </c>
      <c r="B209" s="12" t="s">
        <v>189</v>
      </c>
      <c r="C209" s="12" t="s">
        <v>316</v>
      </c>
      <c r="D209" s="14" t="s">
        <v>580</v>
      </c>
      <c r="E209" s="23">
        <v>1</v>
      </c>
      <c r="F209" s="23">
        <v>0</v>
      </c>
      <c r="G209" s="23">
        <v>1</v>
      </c>
      <c r="H209" s="23">
        <v>0</v>
      </c>
      <c r="I209" s="23">
        <v>0</v>
      </c>
      <c r="J209" s="22">
        <v>0</v>
      </c>
      <c r="K209" s="23">
        <v>0</v>
      </c>
      <c r="L209" s="23">
        <v>0</v>
      </c>
      <c r="M209" s="22">
        <v>0</v>
      </c>
      <c r="N209" s="24">
        <v>0</v>
      </c>
      <c r="O209" s="22">
        <v>0</v>
      </c>
      <c r="P209" s="23">
        <v>1</v>
      </c>
      <c r="Q209" s="23">
        <v>1</v>
      </c>
      <c r="R209" s="22">
        <v>0</v>
      </c>
      <c r="S209" s="22">
        <v>0</v>
      </c>
      <c r="T209" s="23">
        <v>1</v>
      </c>
      <c r="U209" s="22">
        <v>0</v>
      </c>
      <c r="V209" s="26" t="s">
        <v>169</v>
      </c>
      <c r="W209" s="26" t="s">
        <v>169</v>
      </c>
      <c r="X209" s="23">
        <v>4</v>
      </c>
      <c r="Z209" s="12" t="str">
        <f t="shared" ref="Z209:AA209" si="471">D200</f>
        <v>IGame.randomEnemyFire</v>
      </c>
      <c r="AA209" s="30">
        <f t="shared" si="471"/>
        <v>1</v>
      </c>
      <c r="AB209" s="30">
        <f>G200</f>
        <v>0</v>
      </c>
      <c r="AC209" s="30">
        <f>F200</f>
        <v>0</v>
      </c>
      <c r="AD209" s="31">
        <f t="shared" ref="AD209:AF209" si="472">(AA209-MIN(AA$6:AA$236))/(MAX(AA$6:AA$236)-MIN(AA$6:AA$236))</f>
        <v>0</v>
      </c>
      <c r="AE209" s="31">
        <f t="shared" si="472"/>
        <v>0</v>
      </c>
      <c r="AF209" s="31">
        <f t="shared" si="472"/>
        <v>0</v>
      </c>
      <c r="AG209" s="32">
        <f t="shared" si="4"/>
        <v>0</v>
      </c>
    </row>
    <row r="210" spans="1:33" ht="15.75" customHeight="1" x14ac:dyDescent="0.3">
      <c r="A210" s="6" t="s">
        <v>50</v>
      </c>
      <c r="B210" s="6" t="s">
        <v>189</v>
      </c>
      <c r="C210" s="6" t="s">
        <v>453</v>
      </c>
      <c r="D210" s="8" t="s">
        <v>581</v>
      </c>
      <c r="E210" s="19">
        <v>1</v>
      </c>
      <c r="F210" s="19">
        <v>0</v>
      </c>
      <c r="G210" s="19">
        <v>0</v>
      </c>
      <c r="H210" s="19">
        <v>0</v>
      </c>
      <c r="I210" s="19">
        <v>0</v>
      </c>
      <c r="J210" s="20">
        <v>0</v>
      </c>
      <c r="K210" s="19">
        <v>0</v>
      </c>
      <c r="L210" s="19">
        <v>0</v>
      </c>
      <c r="M210" s="20">
        <v>0</v>
      </c>
      <c r="N210" s="21">
        <v>0</v>
      </c>
      <c r="O210" s="20">
        <v>0</v>
      </c>
      <c r="P210" s="19">
        <v>1</v>
      </c>
      <c r="Q210" s="19">
        <v>1</v>
      </c>
      <c r="R210" s="20">
        <v>0</v>
      </c>
      <c r="S210" s="20">
        <v>0</v>
      </c>
      <c r="T210" s="19">
        <v>1</v>
      </c>
      <c r="U210" s="20">
        <v>0</v>
      </c>
      <c r="V210" s="25" t="s">
        <v>169</v>
      </c>
      <c r="W210" s="25" t="s">
        <v>169</v>
      </c>
      <c r="X210" s="19">
        <v>4</v>
      </c>
      <c r="Z210" s="6" t="str">
        <f t="shared" ref="Z210:AA210" si="473">D203</f>
        <v>IMove.getNumber</v>
      </c>
      <c r="AA210" s="27">
        <f t="shared" si="473"/>
        <v>1</v>
      </c>
      <c r="AB210" s="27">
        <f t="shared" ref="AB210:AB212" si="474">G203</f>
        <v>0</v>
      </c>
      <c r="AC210" s="27">
        <f t="shared" ref="AC210:AC212" si="475">F203</f>
        <v>0</v>
      </c>
      <c r="AD210" s="28">
        <f t="shared" ref="AD210:AF210" si="476">(AA210-MIN(AA$6:AA$236))/(MAX(AA$6:AA$236)-MIN(AA$6:AA$236))</f>
        <v>0</v>
      </c>
      <c r="AE210" s="28">
        <f t="shared" si="476"/>
        <v>0</v>
      </c>
      <c r="AF210" s="28">
        <f t="shared" si="476"/>
        <v>0</v>
      </c>
      <c r="AG210" s="29">
        <f t="shared" si="4"/>
        <v>0</v>
      </c>
    </row>
    <row r="211" spans="1:33" ht="15.75" customHeight="1" x14ac:dyDescent="0.3">
      <c r="A211" s="12" t="s">
        <v>50</v>
      </c>
      <c r="B211" s="12" t="s">
        <v>189</v>
      </c>
      <c r="C211" s="12" t="s">
        <v>456</v>
      </c>
      <c r="D211" s="14" t="s">
        <v>582</v>
      </c>
      <c r="E211" s="23">
        <v>1</v>
      </c>
      <c r="F211" s="23">
        <v>0</v>
      </c>
      <c r="G211" s="23">
        <v>0</v>
      </c>
      <c r="H211" s="23">
        <v>0</v>
      </c>
      <c r="I211" s="23">
        <v>0</v>
      </c>
      <c r="J211" s="22">
        <v>0</v>
      </c>
      <c r="K211" s="23">
        <v>0</v>
      </c>
      <c r="L211" s="23">
        <v>0</v>
      </c>
      <c r="M211" s="22">
        <v>0</v>
      </c>
      <c r="N211" s="24">
        <v>0</v>
      </c>
      <c r="O211" s="22">
        <v>0</v>
      </c>
      <c r="P211" s="23">
        <v>1</v>
      </c>
      <c r="Q211" s="23">
        <v>1</v>
      </c>
      <c r="R211" s="22">
        <v>0</v>
      </c>
      <c r="S211" s="22">
        <v>0</v>
      </c>
      <c r="T211" s="23">
        <v>1</v>
      </c>
      <c r="U211" s="22">
        <v>0</v>
      </c>
      <c r="V211" s="26" t="s">
        <v>169</v>
      </c>
      <c r="W211" s="26" t="s">
        <v>169</v>
      </c>
      <c r="X211" s="23">
        <v>4</v>
      </c>
      <c r="Z211" s="12" t="str">
        <f t="shared" ref="Z211:AA211" si="477">D204</f>
        <v>IMove.getShotResults</v>
      </c>
      <c r="AA211" s="30">
        <f t="shared" si="477"/>
        <v>1</v>
      </c>
      <c r="AB211" s="30">
        <f t="shared" si="474"/>
        <v>0</v>
      </c>
      <c r="AC211" s="30">
        <f t="shared" si="475"/>
        <v>0</v>
      </c>
      <c r="AD211" s="31">
        <f t="shared" ref="AD211:AF211" si="478">(AA211-MIN(AA$6:AA$236))/(MAX(AA$6:AA$236)-MIN(AA$6:AA$236))</f>
        <v>0</v>
      </c>
      <c r="AE211" s="31">
        <f t="shared" si="478"/>
        <v>0</v>
      </c>
      <c r="AF211" s="31">
        <f t="shared" si="478"/>
        <v>0</v>
      </c>
      <c r="AG211" s="32">
        <f t="shared" si="4"/>
        <v>0</v>
      </c>
    </row>
    <row r="212" spans="1:33" ht="15.75" customHeight="1" x14ac:dyDescent="0.3">
      <c r="A212" s="6" t="s">
        <v>50</v>
      </c>
      <c r="B212" s="6" t="s">
        <v>189</v>
      </c>
      <c r="C212" s="6" t="s">
        <v>432</v>
      </c>
      <c r="D212" s="8" t="s">
        <v>583</v>
      </c>
      <c r="E212" s="19">
        <v>1</v>
      </c>
      <c r="F212" s="19">
        <v>0</v>
      </c>
      <c r="G212" s="19">
        <v>0</v>
      </c>
      <c r="H212" s="19">
        <v>0</v>
      </c>
      <c r="I212" s="19">
        <v>0</v>
      </c>
      <c r="J212" s="20">
        <v>0</v>
      </c>
      <c r="K212" s="19">
        <v>0</v>
      </c>
      <c r="L212" s="19">
        <v>0</v>
      </c>
      <c r="M212" s="20">
        <v>0</v>
      </c>
      <c r="N212" s="21">
        <v>0</v>
      </c>
      <c r="O212" s="20">
        <v>0</v>
      </c>
      <c r="P212" s="19">
        <v>1</v>
      </c>
      <c r="Q212" s="19">
        <v>1</v>
      </c>
      <c r="R212" s="20">
        <v>0</v>
      </c>
      <c r="S212" s="20">
        <v>0</v>
      </c>
      <c r="T212" s="19">
        <v>1</v>
      </c>
      <c r="U212" s="20">
        <v>0</v>
      </c>
      <c r="V212" s="25" t="s">
        <v>169</v>
      </c>
      <c r="W212" s="25" t="s">
        <v>169</v>
      </c>
      <c r="X212" s="19">
        <v>4</v>
      </c>
      <c r="Z212" s="6" t="str">
        <f t="shared" ref="Z212:AA212" si="479">D205</f>
        <v>IMove.getShots</v>
      </c>
      <c r="AA212" s="27">
        <f t="shared" si="479"/>
        <v>1</v>
      </c>
      <c r="AB212" s="27">
        <f t="shared" si="474"/>
        <v>0</v>
      </c>
      <c r="AC212" s="27">
        <f t="shared" si="475"/>
        <v>0</v>
      </c>
      <c r="AD212" s="28">
        <f t="shared" ref="AD212:AF212" si="480">(AA212-MIN(AA$6:AA$236))/(MAX(AA$6:AA$236)-MIN(AA$6:AA$236))</f>
        <v>0</v>
      </c>
      <c r="AE212" s="28">
        <f t="shared" si="480"/>
        <v>0</v>
      </c>
      <c r="AF212" s="28">
        <f t="shared" si="480"/>
        <v>0</v>
      </c>
      <c r="AG212" s="29">
        <f t="shared" si="4"/>
        <v>0</v>
      </c>
    </row>
    <row r="213" spans="1:33" ht="15.75" customHeight="1" x14ac:dyDescent="0.3">
      <c r="A213" s="12" t="s">
        <v>50</v>
      </c>
      <c r="B213" s="12" t="s">
        <v>189</v>
      </c>
      <c r="C213" s="12" t="s">
        <v>434</v>
      </c>
      <c r="D213" s="14" t="s">
        <v>584</v>
      </c>
      <c r="E213" s="23">
        <v>1</v>
      </c>
      <c r="F213" s="23">
        <v>0</v>
      </c>
      <c r="G213" s="23">
        <v>0</v>
      </c>
      <c r="H213" s="23">
        <v>0</v>
      </c>
      <c r="I213" s="23">
        <v>0</v>
      </c>
      <c r="J213" s="22">
        <v>0</v>
      </c>
      <c r="K213" s="23">
        <v>0</v>
      </c>
      <c r="L213" s="23">
        <v>0</v>
      </c>
      <c r="M213" s="22">
        <v>0</v>
      </c>
      <c r="N213" s="24">
        <v>0</v>
      </c>
      <c r="O213" s="22">
        <v>0</v>
      </c>
      <c r="P213" s="23">
        <v>1</v>
      </c>
      <c r="Q213" s="23">
        <v>1</v>
      </c>
      <c r="R213" s="22">
        <v>0</v>
      </c>
      <c r="S213" s="22">
        <v>0</v>
      </c>
      <c r="T213" s="23">
        <v>1</v>
      </c>
      <c r="U213" s="22">
        <v>0</v>
      </c>
      <c r="V213" s="26" t="s">
        <v>169</v>
      </c>
      <c r="W213" s="26" t="s">
        <v>169</v>
      </c>
      <c r="X213" s="23">
        <v>4</v>
      </c>
      <c r="Z213" s="12" t="str">
        <f t="shared" ref="Z213:AA213" si="481">D207</f>
        <v>IMove.toString</v>
      </c>
      <c r="AA213" s="30">
        <f t="shared" si="481"/>
        <v>1</v>
      </c>
      <c r="AB213" s="30">
        <f t="shared" ref="AB213:AB214" si="482">G207</f>
        <v>0</v>
      </c>
      <c r="AC213" s="30">
        <f t="shared" ref="AC213:AC214" si="483">F207</f>
        <v>0</v>
      </c>
      <c r="AD213" s="31">
        <f t="shared" ref="AD213:AF213" si="484">(AA213-MIN(AA$6:AA$236))/(MAX(AA$6:AA$236)-MIN(AA$6:AA$236))</f>
        <v>0</v>
      </c>
      <c r="AE213" s="31">
        <f t="shared" si="484"/>
        <v>0</v>
      </c>
      <c r="AF213" s="31">
        <f t="shared" si="484"/>
        <v>0</v>
      </c>
      <c r="AG213" s="32">
        <f t="shared" si="4"/>
        <v>0</v>
      </c>
    </row>
    <row r="214" spans="1:33" ht="15.75" customHeight="1" x14ac:dyDescent="0.3">
      <c r="A214" s="6" t="s">
        <v>50</v>
      </c>
      <c r="B214" s="6" t="s">
        <v>189</v>
      </c>
      <c r="C214" s="6" t="s">
        <v>384</v>
      </c>
      <c r="D214" s="8" t="s">
        <v>585</v>
      </c>
      <c r="E214" s="19">
        <v>1</v>
      </c>
      <c r="F214" s="19">
        <v>0</v>
      </c>
      <c r="G214" s="19">
        <v>1</v>
      </c>
      <c r="H214" s="19">
        <v>0</v>
      </c>
      <c r="I214" s="19">
        <v>0</v>
      </c>
      <c r="J214" s="20">
        <v>0</v>
      </c>
      <c r="K214" s="19">
        <v>0</v>
      </c>
      <c r="L214" s="19">
        <v>0</v>
      </c>
      <c r="M214" s="20">
        <v>0</v>
      </c>
      <c r="N214" s="21">
        <v>0</v>
      </c>
      <c r="O214" s="20">
        <v>0</v>
      </c>
      <c r="P214" s="19">
        <v>1</v>
      </c>
      <c r="Q214" s="19">
        <v>1</v>
      </c>
      <c r="R214" s="20">
        <v>0</v>
      </c>
      <c r="S214" s="20">
        <v>0</v>
      </c>
      <c r="T214" s="19">
        <v>1</v>
      </c>
      <c r="U214" s="20">
        <v>0</v>
      </c>
      <c r="V214" s="25" t="s">
        <v>169</v>
      </c>
      <c r="W214" s="25" t="s">
        <v>169</v>
      </c>
      <c r="X214" s="19">
        <v>4</v>
      </c>
      <c r="Z214" s="6" t="str">
        <f t="shared" ref="Z214:AA214" si="485">D208</f>
        <v>IPosition.adjacentPositions</v>
      </c>
      <c r="AA214" s="27">
        <f t="shared" si="485"/>
        <v>1</v>
      </c>
      <c r="AB214" s="27">
        <f t="shared" si="482"/>
        <v>0</v>
      </c>
      <c r="AC214" s="27">
        <f t="shared" si="483"/>
        <v>0</v>
      </c>
      <c r="AD214" s="28">
        <f t="shared" ref="AD214:AF214" si="486">(AA214-MIN(AA$6:AA$236))/(MAX(AA$6:AA$236)-MIN(AA$6:AA$236))</f>
        <v>0</v>
      </c>
      <c r="AE214" s="28">
        <f t="shared" si="486"/>
        <v>0</v>
      </c>
      <c r="AF214" s="28">
        <f t="shared" si="486"/>
        <v>0</v>
      </c>
      <c r="AG214" s="29">
        <f t="shared" si="4"/>
        <v>0</v>
      </c>
    </row>
    <row r="215" spans="1:33" ht="15.75" customHeight="1" x14ac:dyDescent="0.3">
      <c r="A215" s="12" t="s">
        <v>50</v>
      </c>
      <c r="B215" s="12" t="s">
        <v>189</v>
      </c>
      <c r="C215" s="12" t="s">
        <v>438</v>
      </c>
      <c r="D215" s="14" t="s">
        <v>586</v>
      </c>
      <c r="E215" s="23">
        <v>1</v>
      </c>
      <c r="F215" s="23">
        <v>0</v>
      </c>
      <c r="G215" s="23">
        <v>0</v>
      </c>
      <c r="H215" s="23">
        <v>0</v>
      </c>
      <c r="I215" s="23">
        <v>0</v>
      </c>
      <c r="J215" s="22">
        <v>0</v>
      </c>
      <c r="K215" s="23">
        <v>0</v>
      </c>
      <c r="L215" s="23">
        <v>0</v>
      </c>
      <c r="M215" s="22">
        <v>0</v>
      </c>
      <c r="N215" s="24">
        <v>0</v>
      </c>
      <c r="O215" s="22">
        <v>0</v>
      </c>
      <c r="P215" s="23">
        <v>1</v>
      </c>
      <c r="Q215" s="23">
        <v>1</v>
      </c>
      <c r="R215" s="22">
        <v>0</v>
      </c>
      <c r="S215" s="22">
        <v>0</v>
      </c>
      <c r="T215" s="23">
        <v>1</v>
      </c>
      <c r="U215" s="22">
        <v>0</v>
      </c>
      <c r="V215" s="26" t="s">
        <v>169</v>
      </c>
      <c r="W215" s="26" t="s">
        <v>169</v>
      </c>
      <c r="X215" s="23">
        <v>4</v>
      </c>
      <c r="Z215" s="12" t="str">
        <f t="shared" ref="Z215:AA215" si="487">D210</f>
        <v>IPosition.getClassicColumn</v>
      </c>
      <c r="AA215" s="30">
        <f t="shared" si="487"/>
        <v>1</v>
      </c>
      <c r="AB215" s="30">
        <f t="shared" ref="AB215:AB218" si="488">G210</f>
        <v>0</v>
      </c>
      <c r="AC215" s="30">
        <f t="shared" ref="AC215:AC218" si="489">F210</f>
        <v>0</v>
      </c>
      <c r="AD215" s="31">
        <f t="shared" ref="AD215:AF215" si="490">(AA215-MIN(AA$6:AA$236))/(MAX(AA$6:AA$236)-MIN(AA$6:AA$236))</f>
        <v>0</v>
      </c>
      <c r="AE215" s="31">
        <f t="shared" si="490"/>
        <v>0</v>
      </c>
      <c r="AF215" s="31">
        <f t="shared" si="490"/>
        <v>0</v>
      </c>
      <c r="AG215" s="32">
        <f t="shared" si="4"/>
        <v>0</v>
      </c>
    </row>
    <row r="216" spans="1:33" ht="15.75" customHeight="1" x14ac:dyDescent="0.3">
      <c r="A216" s="6" t="s">
        <v>50</v>
      </c>
      <c r="B216" s="6" t="s">
        <v>189</v>
      </c>
      <c r="C216" s="6" t="s">
        <v>320</v>
      </c>
      <c r="D216" s="8" t="s">
        <v>587</v>
      </c>
      <c r="E216" s="19">
        <v>1</v>
      </c>
      <c r="F216" s="19">
        <v>0</v>
      </c>
      <c r="G216" s="19">
        <v>0</v>
      </c>
      <c r="H216" s="19">
        <v>0</v>
      </c>
      <c r="I216" s="19">
        <v>0</v>
      </c>
      <c r="J216" s="20">
        <v>0</v>
      </c>
      <c r="K216" s="19">
        <v>0</v>
      </c>
      <c r="L216" s="19">
        <v>0</v>
      </c>
      <c r="M216" s="20">
        <v>0</v>
      </c>
      <c r="N216" s="21">
        <v>0</v>
      </c>
      <c r="O216" s="20">
        <v>0</v>
      </c>
      <c r="P216" s="19">
        <v>1</v>
      </c>
      <c r="Q216" s="19">
        <v>1</v>
      </c>
      <c r="R216" s="20">
        <v>0</v>
      </c>
      <c r="S216" s="20">
        <v>0</v>
      </c>
      <c r="T216" s="19">
        <v>1</v>
      </c>
      <c r="U216" s="20">
        <v>0</v>
      </c>
      <c r="V216" s="25" t="s">
        <v>169</v>
      </c>
      <c r="W216" s="25" t="s">
        <v>169</v>
      </c>
      <c r="X216" s="19">
        <v>4</v>
      </c>
      <c r="Z216" s="6" t="str">
        <f t="shared" ref="Z216:AA216" si="491">D211</f>
        <v>IPosition.getClassicRow</v>
      </c>
      <c r="AA216" s="27">
        <f t="shared" si="491"/>
        <v>1</v>
      </c>
      <c r="AB216" s="27">
        <f t="shared" si="488"/>
        <v>0</v>
      </c>
      <c r="AC216" s="27">
        <f t="shared" si="489"/>
        <v>0</v>
      </c>
      <c r="AD216" s="28">
        <f t="shared" ref="AD216:AF216" si="492">(AA216-MIN(AA$6:AA$236))/(MAX(AA$6:AA$236)-MIN(AA$6:AA$236))</f>
        <v>0</v>
      </c>
      <c r="AE216" s="28">
        <f t="shared" si="492"/>
        <v>0</v>
      </c>
      <c r="AF216" s="28">
        <f t="shared" si="492"/>
        <v>0</v>
      </c>
      <c r="AG216" s="29">
        <f t="shared" si="4"/>
        <v>0</v>
      </c>
    </row>
    <row r="217" spans="1:33" ht="15.75" customHeight="1" x14ac:dyDescent="0.3">
      <c r="A217" s="12" t="s">
        <v>50</v>
      </c>
      <c r="B217" s="12" t="s">
        <v>189</v>
      </c>
      <c r="C217" s="12" t="s">
        <v>440</v>
      </c>
      <c r="D217" s="14" t="s">
        <v>588</v>
      </c>
      <c r="E217" s="23">
        <v>1</v>
      </c>
      <c r="F217" s="23">
        <v>0</v>
      </c>
      <c r="G217" s="23">
        <v>0</v>
      </c>
      <c r="H217" s="23">
        <v>0</v>
      </c>
      <c r="I217" s="23">
        <v>0</v>
      </c>
      <c r="J217" s="22">
        <v>0</v>
      </c>
      <c r="K217" s="23">
        <v>0</v>
      </c>
      <c r="L217" s="23">
        <v>0</v>
      </c>
      <c r="M217" s="22">
        <v>0</v>
      </c>
      <c r="N217" s="24">
        <v>0</v>
      </c>
      <c r="O217" s="22">
        <v>0</v>
      </c>
      <c r="P217" s="23">
        <v>1</v>
      </c>
      <c r="Q217" s="23">
        <v>1</v>
      </c>
      <c r="R217" s="22">
        <v>0</v>
      </c>
      <c r="S217" s="22">
        <v>0</v>
      </c>
      <c r="T217" s="23">
        <v>1</v>
      </c>
      <c r="U217" s="22">
        <v>0</v>
      </c>
      <c r="V217" s="26" t="s">
        <v>169</v>
      </c>
      <c r="W217" s="26" t="s">
        <v>169</v>
      </c>
      <c r="X217" s="23">
        <v>4</v>
      </c>
      <c r="Z217" s="12" t="str">
        <f t="shared" ref="Z217:AA217" si="493">D212</f>
        <v>IPosition.getColumn</v>
      </c>
      <c r="AA217" s="30">
        <f t="shared" si="493"/>
        <v>1</v>
      </c>
      <c r="AB217" s="30">
        <f t="shared" si="488"/>
        <v>0</v>
      </c>
      <c r="AC217" s="30">
        <f t="shared" si="489"/>
        <v>0</v>
      </c>
      <c r="AD217" s="31">
        <f t="shared" ref="AD217:AF217" si="494">(AA217-MIN(AA$6:AA$236))/(MAX(AA$6:AA$236)-MIN(AA$6:AA$236))</f>
        <v>0</v>
      </c>
      <c r="AE217" s="31">
        <f t="shared" si="494"/>
        <v>0</v>
      </c>
      <c r="AF217" s="31">
        <f t="shared" si="494"/>
        <v>0</v>
      </c>
      <c r="AG217" s="32">
        <f t="shared" si="4"/>
        <v>0</v>
      </c>
    </row>
    <row r="218" spans="1:33" ht="15.75" customHeight="1" x14ac:dyDescent="0.3">
      <c r="A218" s="6" t="s">
        <v>50</v>
      </c>
      <c r="B218" s="6" t="s">
        <v>189</v>
      </c>
      <c r="C218" s="6" t="s">
        <v>466</v>
      </c>
      <c r="D218" s="8" t="s">
        <v>589</v>
      </c>
      <c r="E218" s="19">
        <v>1</v>
      </c>
      <c r="F218" s="19">
        <v>0</v>
      </c>
      <c r="G218" s="19">
        <v>0</v>
      </c>
      <c r="H218" s="19">
        <v>0</v>
      </c>
      <c r="I218" s="19">
        <v>0</v>
      </c>
      <c r="J218" s="20">
        <v>0</v>
      </c>
      <c r="K218" s="19">
        <v>0</v>
      </c>
      <c r="L218" s="19">
        <v>0</v>
      </c>
      <c r="M218" s="20">
        <v>0</v>
      </c>
      <c r="N218" s="21">
        <v>0</v>
      </c>
      <c r="O218" s="20">
        <v>0</v>
      </c>
      <c r="P218" s="19">
        <v>1</v>
      </c>
      <c r="Q218" s="19">
        <v>1</v>
      </c>
      <c r="R218" s="20">
        <v>0</v>
      </c>
      <c r="S218" s="20">
        <v>0</v>
      </c>
      <c r="T218" s="19">
        <v>1</v>
      </c>
      <c r="U218" s="20">
        <v>0</v>
      </c>
      <c r="V218" s="25" t="s">
        <v>169</v>
      </c>
      <c r="W218" s="25" t="s">
        <v>169</v>
      </c>
      <c r="X218" s="19">
        <v>4</v>
      </c>
      <c r="Z218" s="6" t="str">
        <f t="shared" ref="Z218:AA218" si="495">D213</f>
        <v>IPosition.getRow</v>
      </c>
      <c r="AA218" s="27">
        <f t="shared" si="495"/>
        <v>1</v>
      </c>
      <c r="AB218" s="27">
        <f t="shared" si="488"/>
        <v>0</v>
      </c>
      <c r="AC218" s="27">
        <f t="shared" si="489"/>
        <v>0</v>
      </c>
      <c r="AD218" s="28">
        <f t="shared" ref="AD218:AF218" si="496">(AA218-MIN(AA$6:AA$236))/(MAX(AA$6:AA$236)-MIN(AA$6:AA$236))</f>
        <v>0</v>
      </c>
      <c r="AE218" s="28">
        <f t="shared" si="496"/>
        <v>0</v>
      </c>
      <c r="AF218" s="28">
        <f t="shared" si="496"/>
        <v>0</v>
      </c>
      <c r="AG218" s="29">
        <f t="shared" si="4"/>
        <v>0</v>
      </c>
    </row>
    <row r="219" spans="1:33" ht="15.75" customHeight="1" x14ac:dyDescent="0.3">
      <c r="A219" s="12" t="s">
        <v>50</v>
      </c>
      <c r="B219" s="12" t="s">
        <v>189</v>
      </c>
      <c r="C219" s="12" t="s">
        <v>470</v>
      </c>
      <c r="D219" s="14" t="s">
        <v>590</v>
      </c>
      <c r="E219" s="23">
        <v>1</v>
      </c>
      <c r="F219" s="23">
        <v>0</v>
      </c>
      <c r="G219" s="23">
        <v>0</v>
      </c>
      <c r="H219" s="23">
        <v>0</v>
      </c>
      <c r="I219" s="23">
        <v>0</v>
      </c>
      <c r="J219" s="22">
        <v>0</v>
      </c>
      <c r="K219" s="23">
        <v>0</v>
      </c>
      <c r="L219" s="23">
        <v>0</v>
      </c>
      <c r="M219" s="22">
        <v>0</v>
      </c>
      <c r="N219" s="24">
        <v>0</v>
      </c>
      <c r="O219" s="22">
        <v>0</v>
      </c>
      <c r="P219" s="23">
        <v>1</v>
      </c>
      <c r="Q219" s="23">
        <v>1</v>
      </c>
      <c r="R219" s="22">
        <v>0</v>
      </c>
      <c r="S219" s="22">
        <v>0</v>
      </c>
      <c r="T219" s="23">
        <v>1</v>
      </c>
      <c r="U219" s="22">
        <v>0</v>
      </c>
      <c r="V219" s="26" t="s">
        <v>169</v>
      </c>
      <c r="W219" s="26" t="s">
        <v>169</v>
      </c>
      <c r="X219" s="23">
        <v>4</v>
      </c>
      <c r="Z219" s="12" t="str">
        <f t="shared" ref="Z219:AA219" si="497">D215</f>
        <v>IPosition.isHit</v>
      </c>
      <c r="AA219" s="30">
        <f t="shared" si="497"/>
        <v>1</v>
      </c>
      <c r="AB219" s="30">
        <f t="shared" ref="AB219:AB234" si="498">G215</f>
        <v>0</v>
      </c>
      <c r="AC219" s="30">
        <f t="shared" ref="AC219:AC234" si="499">F215</f>
        <v>0</v>
      </c>
      <c r="AD219" s="31">
        <f t="shared" ref="AD219:AF219" si="500">(AA219-MIN(AA$6:AA$236))/(MAX(AA$6:AA$236)-MIN(AA$6:AA$236))</f>
        <v>0</v>
      </c>
      <c r="AE219" s="31">
        <f t="shared" si="500"/>
        <v>0</v>
      </c>
      <c r="AF219" s="31">
        <f t="shared" si="500"/>
        <v>0</v>
      </c>
      <c r="AG219" s="32">
        <f t="shared" si="4"/>
        <v>0</v>
      </c>
    </row>
    <row r="220" spans="1:33" ht="15.75" customHeight="1" x14ac:dyDescent="0.3">
      <c r="A220" s="6" t="s">
        <v>50</v>
      </c>
      <c r="B220" s="6" t="s">
        <v>190</v>
      </c>
      <c r="C220" s="6" t="s">
        <v>300</v>
      </c>
      <c r="D220" s="8" t="s">
        <v>591</v>
      </c>
      <c r="E220" s="19">
        <v>1</v>
      </c>
      <c r="F220" s="19">
        <v>0</v>
      </c>
      <c r="G220" s="19">
        <v>0</v>
      </c>
      <c r="H220" s="19">
        <v>0</v>
      </c>
      <c r="I220" s="19">
        <v>0</v>
      </c>
      <c r="J220" s="20">
        <v>0</v>
      </c>
      <c r="K220" s="19">
        <v>0</v>
      </c>
      <c r="L220" s="19">
        <v>0</v>
      </c>
      <c r="M220" s="20">
        <v>0</v>
      </c>
      <c r="N220" s="25" t="s">
        <v>222</v>
      </c>
      <c r="O220" s="25" t="s">
        <v>222</v>
      </c>
      <c r="P220" s="19">
        <v>0</v>
      </c>
      <c r="Q220" s="19">
        <v>0</v>
      </c>
      <c r="R220" s="25" t="s">
        <v>222</v>
      </c>
      <c r="S220" s="20">
        <v>0</v>
      </c>
      <c r="T220" s="19">
        <v>0</v>
      </c>
      <c r="U220" s="20">
        <v>0</v>
      </c>
      <c r="V220" s="25" t="s">
        <v>169</v>
      </c>
      <c r="W220" s="25" t="s">
        <v>169</v>
      </c>
      <c r="X220" s="19">
        <v>0</v>
      </c>
      <c r="Z220" s="6" t="str">
        <f t="shared" ref="Z220:AA220" si="501">D216</f>
        <v>IPosition.isInside</v>
      </c>
      <c r="AA220" s="27">
        <f t="shared" si="501"/>
        <v>1</v>
      </c>
      <c r="AB220" s="27">
        <f t="shared" si="498"/>
        <v>0</v>
      </c>
      <c r="AC220" s="27">
        <f t="shared" si="499"/>
        <v>0</v>
      </c>
      <c r="AD220" s="28">
        <f t="shared" ref="AD220:AF220" si="502">(AA220-MIN(AA$6:AA$236))/(MAX(AA$6:AA$236)-MIN(AA$6:AA$236))</f>
        <v>0</v>
      </c>
      <c r="AE220" s="28">
        <f t="shared" si="502"/>
        <v>0</v>
      </c>
      <c r="AF220" s="28">
        <f t="shared" si="502"/>
        <v>0</v>
      </c>
      <c r="AG220" s="29">
        <f t="shared" si="4"/>
        <v>0</v>
      </c>
    </row>
    <row r="221" spans="1:33" ht="15.75" customHeight="1" x14ac:dyDescent="0.3">
      <c r="A221" s="12" t="s">
        <v>50</v>
      </c>
      <c r="B221" s="12" t="s">
        <v>190</v>
      </c>
      <c r="C221" s="12" t="s">
        <v>406</v>
      </c>
      <c r="D221" s="14" t="s">
        <v>592</v>
      </c>
      <c r="E221" s="23">
        <v>1</v>
      </c>
      <c r="F221" s="23">
        <v>0</v>
      </c>
      <c r="G221" s="23">
        <v>0</v>
      </c>
      <c r="H221" s="23">
        <v>0</v>
      </c>
      <c r="I221" s="23">
        <v>0</v>
      </c>
      <c r="J221" s="22">
        <v>0</v>
      </c>
      <c r="K221" s="23">
        <v>0</v>
      </c>
      <c r="L221" s="23">
        <v>0</v>
      </c>
      <c r="M221" s="22">
        <v>0</v>
      </c>
      <c r="N221" s="26" t="s">
        <v>222</v>
      </c>
      <c r="O221" s="26" t="s">
        <v>222</v>
      </c>
      <c r="P221" s="23">
        <v>0</v>
      </c>
      <c r="Q221" s="23">
        <v>0</v>
      </c>
      <c r="R221" s="26" t="s">
        <v>222</v>
      </c>
      <c r="S221" s="22">
        <v>0</v>
      </c>
      <c r="T221" s="23">
        <v>0</v>
      </c>
      <c r="U221" s="22">
        <v>0</v>
      </c>
      <c r="V221" s="26" t="s">
        <v>169</v>
      </c>
      <c r="W221" s="26" t="s">
        <v>169</v>
      </c>
      <c r="X221" s="23">
        <v>0</v>
      </c>
      <c r="Z221" s="12" t="str">
        <f t="shared" ref="Z221:AA221" si="503">D217</f>
        <v>IPosition.isOccupied</v>
      </c>
      <c r="AA221" s="30">
        <f t="shared" si="503"/>
        <v>1</v>
      </c>
      <c r="AB221" s="30">
        <f t="shared" si="498"/>
        <v>0</v>
      </c>
      <c r="AC221" s="30">
        <f t="shared" si="499"/>
        <v>0</v>
      </c>
      <c r="AD221" s="31">
        <f t="shared" ref="AD221:AF221" si="504">(AA221-MIN(AA$6:AA$236))/(MAX(AA$6:AA$236)-MIN(AA$6:AA$236))</f>
        <v>0</v>
      </c>
      <c r="AE221" s="31">
        <f t="shared" si="504"/>
        <v>0</v>
      </c>
      <c r="AF221" s="31">
        <f t="shared" si="504"/>
        <v>0</v>
      </c>
      <c r="AG221" s="32">
        <f t="shared" si="4"/>
        <v>0</v>
      </c>
    </row>
    <row r="222" spans="1:33" ht="15.75" customHeight="1" x14ac:dyDescent="0.3">
      <c r="A222" s="6" t="s">
        <v>50</v>
      </c>
      <c r="B222" s="6" t="s">
        <v>190</v>
      </c>
      <c r="C222" s="6" t="s">
        <v>350</v>
      </c>
      <c r="D222" s="8" t="s">
        <v>593</v>
      </c>
      <c r="E222" s="19">
        <v>1</v>
      </c>
      <c r="F222" s="19">
        <v>0</v>
      </c>
      <c r="G222" s="19">
        <v>0</v>
      </c>
      <c r="H222" s="19">
        <v>0</v>
      </c>
      <c r="I222" s="19">
        <v>0</v>
      </c>
      <c r="J222" s="20">
        <v>0</v>
      </c>
      <c r="K222" s="19">
        <v>0</v>
      </c>
      <c r="L222" s="19">
        <v>0</v>
      </c>
      <c r="M222" s="20">
        <v>0</v>
      </c>
      <c r="N222" s="21">
        <v>0</v>
      </c>
      <c r="O222" s="20">
        <v>0</v>
      </c>
      <c r="P222" s="19">
        <v>1</v>
      </c>
      <c r="Q222" s="19">
        <v>1</v>
      </c>
      <c r="R222" s="20">
        <v>0</v>
      </c>
      <c r="S222" s="20">
        <v>0</v>
      </c>
      <c r="T222" s="19">
        <v>0</v>
      </c>
      <c r="U222" s="20">
        <v>0</v>
      </c>
      <c r="V222" s="25" t="s">
        <v>169</v>
      </c>
      <c r="W222" s="25" t="s">
        <v>169</v>
      </c>
      <c r="X222" s="19">
        <v>0</v>
      </c>
      <c r="Z222" s="6" t="str">
        <f t="shared" ref="Z222:AA222" si="505">D218</f>
        <v>IPosition.occupy</v>
      </c>
      <c r="AA222" s="27">
        <f t="shared" si="505"/>
        <v>1</v>
      </c>
      <c r="AB222" s="27">
        <f t="shared" si="498"/>
        <v>0</v>
      </c>
      <c r="AC222" s="27">
        <f t="shared" si="499"/>
        <v>0</v>
      </c>
      <c r="AD222" s="28">
        <f t="shared" ref="AD222:AF222" si="506">(AA222-MIN(AA$6:AA$236))/(MAX(AA$6:AA$236)-MIN(AA$6:AA$236))</f>
        <v>0</v>
      </c>
      <c r="AE222" s="28">
        <f t="shared" si="506"/>
        <v>0</v>
      </c>
      <c r="AF222" s="28">
        <f t="shared" si="506"/>
        <v>0</v>
      </c>
      <c r="AG222" s="29">
        <f t="shared" si="4"/>
        <v>0</v>
      </c>
    </row>
    <row r="223" spans="1:33" ht="15.75" customHeight="1" x14ac:dyDescent="0.3">
      <c r="A223" s="12" t="s">
        <v>50</v>
      </c>
      <c r="B223" s="12" t="s">
        <v>190</v>
      </c>
      <c r="C223" s="12" t="s">
        <v>409</v>
      </c>
      <c r="D223" s="14" t="s">
        <v>594</v>
      </c>
      <c r="E223" s="23">
        <v>1</v>
      </c>
      <c r="F223" s="23">
        <v>0</v>
      </c>
      <c r="G223" s="23">
        <v>0</v>
      </c>
      <c r="H223" s="23">
        <v>0</v>
      </c>
      <c r="I223" s="23">
        <v>0</v>
      </c>
      <c r="J223" s="22">
        <v>0</v>
      </c>
      <c r="K223" s="23">
        <v>0</v>
      </c>
      <c r="L223" s="23">
        <v>0</v>
      </c>
      <c r="M223" s="22">
        <v>0</v>
      </c>
      <c r="N223" s="26" t="s">
        <v>222</v>
      </c>
      <c r="O223" s="26" t="s">
        <v>222</v>
      </c>
      <c r="P223" s="23">
        <v>0</v>
      </c>
      <c r="Q223" s="23">
        <v>0</v>
      </c>
      <c r="R223" s="26" t="s">
        <v>222</v>
      </c>
      <c r="S223" s="22">
        <v>0</v>
      </c>
      <c r="T223" s="23">
        <v>0</v>
      </c>
      <c r="U223" s="22">
        <v>0</v>
      </c>
      <c r="V223" s="26" t="s">
        <v>169</v>
      </c>
      <c r="W223" s="26" t="s">
        <v>169</v>
      </c>
      <c r="X223" s="23">
        <v>0</v>
      </c>
      <c r="Z223" s="12" t="str">
        <f t="shared" ref="Z223:AA223" si="507">D219</f>
        <v>IPosition.shoot</v>
      </c>
      <c r="AA223" s="30">
        <f t="shared" si="507"/>
        <v>1</v>
      </c>
      <c r="AB223" s="30">
        <f t="shared" si="498"/>
        <v>0</v>
      </c>
      <c r="AC223" s="30">
        <f t="shared" si="499"/>
        <v>0</v>
      </c>
      <c r="AD223" s="31">
        <f t="shared" ref="AD223:AF223" si="508">(AA223-MIN(AA$6:AA$236))/(MAX(AA$6:AA$236)-MIN(AA$6:AA$236))</f>
        <v>0</v>
      </c>
      <c r="AE223" s="31">
        <f t="shared" si="508"/>
        <v>0</v>
      </c>
      <c r="AF223" s="31">
        <f t="shared" si="508"/>
        <v>0</v>
      </c>
      <c r="AG223" s="32">
        <f t="shared" si="4"/>
        <v>0</v>
      </c>
    </row>
    <row r="224" spans="1:33" ht="15.75" customHeight="1" x14ac:dyDescent="0.3">
      <c r="A224" s="6" t="s">
        <v>50</v>
      </c>
      <c r="B224" s="6" t="s">
        <v>190</v>
      </c>
      <c r="C224" s="6" t="s">
        <v>352</v>
      </c>
      <c r="D224" s="8" t="s">
        <v>595</v>
      </c>
      <c r="E224" s="19">
        <v>1</v>
      </c>
      <c r="F224" s="19">
        <v>0</v>
      </c>
      <c r="G224" s="19">
        <v>0</v>
      </c>
      <c r="H224" s="19">
        <v>0</v>
      </c>
      <c r="I224" s="19">
        <v>0</v>
      </c>
      <c r="J224" s="20">
        <v>0</v>
      </c>
      <c r="K224" s="19">
        <v>0</v>
      </c>
      <c r="L224" s="19">
        <v>0</v>
      </c>
      <c r="M224" s="20">
        <v>0</v>
      </c>
      <c r="N224" s="21">
        <v>0</v>
      </c>
      <c r="O224" s="20">
        <v>0</v>
      </c>
      <c r="P224" s="19">
        <v>1</v>
      </c>
      <c r="Q224" s="19">
        <v>1</v>
      </c>
      <c r="R224" s="20">
        <v>0</v>
      </c>
      <c r="S224" s="20">
        <v>0</v>
      </c>
      <c r="T224" s="19">
        <v>0</v>
      </c>
      <c r="U224" s="20">
        <v>0</v>
      </c>
      <c r="V224" s="25" t="s">
        <v>169</v>
      </c>
      <c r="W224" s="25" t="s">
        <v>169</v>
      </c>
      <c r="X224" s="19">
        <v>0</v>
      </c>
      <c r="Z224" s="6" t="str">
        <f t="shared" ref="Z224:AA224" si="509">D220</f>
        <v>IShip.getAdjacentPositions</v>
      </c>
      <c r="AA224" s="27">
        <f t="shared" si="509"/>
        <v>1</v>
      </c>
      <c r="AB224" s="27">
        <f t="shared" si="498"/>
        <v>0</v>
      </c>
      <c r="AC224" s="27">
        <f t="shared" si="499"/>
        <v>0</v>
      </c>
      <c r="AD224" s="28">
        <f t="shared" ref="AD224:AF224" si="510">(AA224-MIN(AA$6:AA$236))/(MAX(AA$6:AA$236)-MIN(AA$6:AA$236))</f>
        <v>0</v>
      </c>
      <c r="AE224" s="28">
        <f t="shared" si="510"/>
        <v>0</v>
      </c>
      <c r="AF224" s="28">
        <f t="shared" si="510"/>
        <v>0</v>
      </c>
      <c r="AG224" s="29">
        <f t="shared" si="4"/>
        <v>0</v>
      </c>
    </row>
    <row r="225" spans="1:33" ht="15.75" customHeight="1" x14ac:dyDescent="0.3">
      <c r="A225" s="12" t="s">
        <v>50</v>
      </c>
      <c r="B225" s="12" t="s">
        <v>190</v>
      </c>
      <c r="C225" s="12" t="s">
        <v>411</v>
      </c>
      <c r="D225" s="14" t="s">
        <v>596</v>
      </c>
      <c r="E225" s="23">
        <v>1</v>
      </c>
      <c r="F225" s="23">
        <v>0</v>
      </c>
      <c r="G225" s="23">
        <v>0</v>
      </c>
      <c r="H225" s="23">
        <v>0</v>
      </c>
      <c r="I225" s="23">
        <v>0</v>
      </c>
      <c r="J225" s="22">
        <v>0</v>
      </c>
      <c r="K225" s="23">
        <v>0</v>
      </c>
      <c r="L225" s="23">
        <v>0</v>
      </c>
      <c r="M225" s="22">
        <v>0</v>
      </c>
      <c r="N225" s="26" t="s">
        <v>222</v>
      </c>
      <c r="O225" s="26" t="s">
        <v>222</v>
      </c>
      <c r="P225" s="23">
        <v>0</v>
      </c>
      <c r="Q225" s="23">
        <v>0</v>
      </c>
      <c r="R225" s="26" t="s">
        <v>222</v>
      </c>
      <c r="S225" s="22">
        <v>0</v>
      </c>
      <c r="T225" s="23">
        <v>0</v>
      </c>
      <c r="U225" s="22">
        <v>0</v>
      </c>
      <c r="V225" s="26" t="s">
        <v>169</v>
      </c>
      <c r="W225" s="26" t="s">
        <v>169</v>
      </c>
      <c r="X225" s="23">
        <v>0</v>
      </c>
      <c r="Z225" s="12" t="str">
        <f t="shared" ref="Z225:AA225" si="511">D221</f>
        <v>IShip.getBearing</v>
      </c>
      <c r="AA225" s="30">
        <f t="shared" si="511"/>
        <v>1</v>
      </c>
      <c r="AB225" s="30">
        <f t="shared" si="498"/>
        <v>0</v>
      </c>
      <c r="AC225" s="30">
        <f t="shared" si="499"/>
        <v>0</v>
      </c>
      <c r="AD225" s="31">
        <f t="shared" ref="AD225:AF225" si="512">(AA225-MIN(AA$6:AA$236))/(MAX(AA$6:AA$236)-MIN(AA$6:AA$236))</f>
        <v>0</v>
      </c>
      <c r="AE225" s="31">
        <f t="shared" si="512"/>
        <v>0</v>
      </c>
      <c r="AF225" s="31">
        <f t="shared" si="512"/>
        <v>0</v>
      </c>
      <c r="AG225" s="32">
        <f t="shared" si="4"/>
        <v>0</v>
      </c>
    </row>
    <row r="226" spans="1:33" ht="15.75" customHeight="1" x14ac:dyDescent="0.3">
      <c r="A226" s="6" t="s">
        <v>50</v>
      </c>
      <c r="B226" s="6" t="s">
        <v>190</v>
      </c>
      <c r="C226" s="6" t="s">
        <v>442</v>
      </c>
      <c r="D226" s="8" t="s">
        <v>597</v>
      </c>
      <c r="E226" s="19">
        <v>1</v>
      </c>
      <c r="F226" s="19">
        <v>0</v>
      </c>
      <c r="G226" s="19">
        <v>0</v>
      </c>
      <c r="H226" s="19">
        <v>0</v>
      </c>
      <c r="I226" s="19">
        <v>0</v>
      </c>
      <c r="J226" s="20">
        <v>0</v>
      </c>
      <c r="K226" s="19">
        <v>0</v>
      </c>
      <c r="L226" s="19">
        <v>0</v>
      </c>
      <c r="M226" s="20">
        <v>0</v>
      </c>
      <c r="N226" s="25" t="s">
        <v>222</v>
      </c>
      <c r="O226" s="25" t="s">
        <v>222</v>
      </c>
      <c r="P226" s="19">
        <v>0</v>
      </c>
      <c r="Q226" s="19">
        <v>0</v>
      </c>
      <c r="R226" s="25" t="s">
        <v>222</v>
      </c>
      <c r="S226" s="20">
        <v>0</v>
      </c>
      <c r="T226" s="19">
        <v>0</v>
      </c>
      <c r="U226" s="20">
        <v>0</v>
      </c>
      <c r="V226" s="25" t="s">
        <v>169</v>
      </c>
      <c r="W226" s="25" t="s">
        <v>169</v>
      </c>
      <c r="X226" s="19">
        <v>0</v>
      </c>
      <c r="Z226" s="6" t="str">
        <f t="shared" ref="Z226:AA226" si="513">D222</f>
        <v>IShip.getBottomMostPos</v>
      </c>
      <c r="AA226" s="27">
        <f t="shared" si="513"/>
        <v>1</v>
      </c>
      <c r="AB226" s="27">
        <f t="shared" si="498"/>
        <v>0</v>
      </c>
      <c r="AC226" s="27">
        <f t="shared" si="499"/>
        <v>0</v>
      </c>
      <c r="AD226" s="28">
        <f t="shared" ref="AD226:AF226" si="514">(AA226-MIN(AA$6:AA$236))/(MAX(AA$6:AA$236)-MIN(AA$6:AA$236))</f>
        <v>0</v>
      </c>
      <c r="AE226" s="28">
        <f t="shared" si="514"/>
        <v>0</v>
      </c>
      <c r="AF226" s="28">
        <f t="shared" si="514"/>
        <v>0</v>
      </c>
      <c r="AG226" s="29">
        <f t="shared" si="4"/>
        <v>0</v>
      </c>
    </row>
    <row r="227" spans="1:33" ht="15.75" customHeight="1" x14ac:dyDescent="0.3">
      <c r="A227" s="12" t="s">
        <v>50</v>
      </c>
      <c r="B227" s="12" t="s">
        <v>190</v>
      </c>
      <c r="C227" s="12" t="s">
        <v>354</v>
      </c>
      <c r="D227" s="14" t="s">
        <v>598</v>
      </c>
      <c r="E227" s="23">
        <v>1</v>
      </c>
      <c r="F227" s="23">
        <v>0</v>
      </c>
      <c r="G227" s="23">
        <v>0</v>
      </c>
      <c r="H227" s="23">
        <v>0</v>
      </c>
      <c r="I227" s="23">
        <v>0</v>
      </c>
      <c r="J227" s="22">
        <v>0</v>
      </c>
      <c r="K227" s="23">
        <v>0</v>
      </c>
      <c r="L227" s="23">
        <v>0</v>
      </c>
      <c r="M227" s="22">
        <v>0</v>
      </c>
      <c r="N227" s="24">
        <v>0</v>
      </c>
      <c r="O227" s="22">
        <v>0</v>
      </c>
      <c r="P227" s="23">
        <v>1</v>
      </c>
      <c r="Q227" s="23">
        <v>1</v>
      </c>
      <c r="R227" s="22">
        <v>0</v>
      </c>
      <c r="S227" s="22">
        <v>0</v>
      </c>
      <c r="T227" s="23">
        <v>0</v>
      </c>
      <c r="U227" s="22">
        <v>0</v>
      </c>
      <c r="V227" s="26" t="s">
        <v>169</v>
      </c>
      <c r="W227" s="26" t="s">
        <v>169</v>
      </c>
      <c r="X227" s="23">
        <v>0</v>
      </c>
      <c r="Z227" s="12" t="str">
        <f t="shared" ref="Z227:AA227" si="515">D223</f>
        <v>IShip.getCategory</v>
      </c>
      <c r="AA227" s="30">
        <f t="shared" si="515"/>
        <v>1</v>
      </c>
      <c r="AB227" s="30">
        <f t="shared" si="498"/>
        <v>0</v>
      </c>
      <c r="AC227" s="30">
        <f t="shared" si="499"/>
        <v>0</v>
      </c>
      <c r="AD227" s="31">
        <f t="shared" ref="AD227:AF227" si="516">(AA227-MIN(AA$6:AA$236))/(MAX(AA$6:AA$236)-MIN(AA$6:AA$236))</f>
        <v>0</v>
      </c>
      <c r="AE227" s="31">
        <f t="shared" si="516"/>
        <v>0</v>
      </c>
      <c r="AF227" s="31">
        <f t="shared" si="516"/>
        <v>0</v>
      </c>
      <c r="AG227" s="32">
        <f t="shared" si="4"/>
        <v>0</v>
      </c>
    </row>
    <row r="228" spans="1:33" ht="15.75" customHeight="1" x14ac:dyDescent="0.3">
      <c r="A228" s="6" t="s">
        <v>50</v>
      </c>
      <c r="B228" s="6" t="s">
        <v>190</v>
      </c>
      <c r="C228" s="6" t="s">
        <v>444</v>
      </c>
      <c r="D228" s="8" t="s">
        <v>599</v>
      </c>
      <c r="E228" s="19">
        <v>1</v>
      </c>
      <c r="F228" s="19">
        <v>0</v>
      </c>
      <c r="G228" s="19">
        <v>0</v>
      </c>
      <c r="H228" s="19">
        <v>0</v>
      </c>
      <c r="I228" s="19">
        <v>0</v>
      </c>
      <c r="J228" s="20">
        <v>0</v>
      </c>
      <c r="K228" s="19">
        <v>0</v>
      </c>
      <c r="L228" s="19">
        <v>0</v>
      </c>
      <c r="M228" s="20">
        <v>0</v>
      </c>
      <c r="N228" s="25" t="s">
        <v>222</v>
      </c>
      <c r="O228" s="25" t="s">
        <v>222</v>
      </c>
      <c r="P228" s="19">
        <v>0</v>
      </c>
      <c r="Q228" s="19">
        <v>0</v>
      </c>
      <c r="R228" s="25" t="s">
        <v>222</v>
      </c>
      <c r="S228" s="20">
        <v>0</v>
      </c>
      <c r="T228" s="19">
        <v>0</v>
      </c>
      <c r="U228" s="20">
        <v>0</v>
      </c>
      <c r="V228" s="25" t="s">
        <v>169</v>
      </c>
      <c r="W228" s="25" t="s">
        <v>169</v>
      </c>
      <c r="X228" s="19">
        <v>0</v>
      </c>
      <c r="Z228" s="6" t="str">
        <f t="shared" ref="Z228:AA228" si="517">D224</f>
        <v>IShip.getLeftMostPos</v>
      </c>
      <c r="AA228" s="27">
        <f t="shared" si="517"/>
        <v>1</v>
      </c>
      <c r="AB228" s="27">
        <f t="shared" si="498"/>
        <v>0</v>
      </c>
      <c r="AC228" s="27">
        <f t="shared" si="499"/>
        <v>0</v>
      </c>
      <c r="AD228" s="28">
        <f t="shared" ref="AD228:AF228" si="518">(AA228-MIN(AA$6:AA$236))/(MAX(AA$6:AA$236)-MIN(AA$6:AA$236))</f>
        <v>0</v>
      </c>
      <c r="AE228" s="28">
        <f t="shared" si="518"/>
        <v>0</v>
      </c>
      <c r="AF228" s="28">
        <f t="shared" si="518"/>
        <v>0</v>
      </c>
      <c r="AG228" s="29">
        <f t="shared" si="4"/>
        <v>0</v>
      </c>
    </row>
    <row r="229" spans="1:33" ht="15.75" customHeight="1" x14ac:dyDescent="0.3">
      <c r="A229" s="12" t="s">
        <v>50</v>
      </c>
      <c r="B229" s="12" t="s">
        <v>190</v>
      </c>
      <c r="C229" s="12" t="s">
        <v>356</v>
      </c>
      <c r="D229" s="14" t="s">
        <v>600</v>
      </c>
      <c r="E229" s="23">
        <v>1</v>
      </c>
      <c r="F229" s="23">
        <v>0</v>
      </c>
      <c r="G229" s="23">
        <v>0</v>
      </c>
      <c r="H229" s="23">
        <v>0</v>
      </c>
      <c r="I229" s="23">
        <v>0</v>
      </c>
      <c r="J229" s="22">
        <v>0</v>
      </c>
      <c r="K229" s="23">
        <v>0</v>
      </c>
      <c r="L229" s="23">
        <v>0</v>
      </c>
      <c r="M229" s="22">
        <v>0</v>
      </c>
      <c r="N229" s="24">
        <v>0</v>
      </c>
      <c r="O229" s="22">
        <v>0</v>
      </c>
      <c r="P229" s="23">
        <v>1</v>
      </c>
      <c r="Q229" s="23">
        <v>1</v>
      </c>
      <c r="R229" s="22">
        <v>0</v>
      </c>
      <c r="S229" s="22">
        <v>0</v>
      </c>
      <c r="T229" s="23">
        <v>0</v>
      </c>
      <c r="U229" s="22">
        <v>0</v>
      </c>
      <c r="V229" s="26" t="s">
        <v>169</v>
      </c>
      <c r="W229" s="26" t="s">
        <v>169</v>
      </c>
      <c r="X229" s="23">
        <v>0</v>
      </c>
      <c r="Z229" s="12" t="str">
        <f t="shared" ref="Z229:AA229" si="519">D225</f>
        <v>IShip.getPosition</v>
      </c>
      <c r="AA229" s="30">
        <f t="shared" si="519"/>
        <v>1</v>
      </c>
      <c r="AB229" s="30">
        <f t="shared" si="498"/>
        <v>0</v>
      </c>
      <c r="AC229" s="30">
        <f t="shared" si="499"/>
        <v>0</v>
      </c>
      <c r="AD229" s="31">
        <f t="shared" ref="AD229:AF229" si="520">(AA229-MIN(AA$6:AA$236))/(MAX(AA$6:AA$236)-MIN(AA$6:AA$236))</f>
        <v>0</v>
      </c>
      <c r="AE229" s="31">
        <f t="shared" si="520"/>
        <v>0</v>
      </c>
      <c r="AF229" s="31">
        <f t="shared" si="520"/>
        <v>0</v>
      </c>
      <c r="AG229" s="32">
        <f t="shared" si="4"/>
        <v>0</v>
      </c>
    </row>
    <row r="230" spans="1:33" ht="15.75" customHeight="1" x14ac:dyDescent="0.3">
      <c r="A230" s="6" t="s">
        <v>50</v>
      </c>
      <c r="B230" s="6" t="s">
        <v>190</v>
      </c>
      <c r="C230" s="6" t="s">
        <v>323</v>
      </c>
      <c r="D230" s="8" t="s">
        <v>601</v>
      </c>
      <c r="E230" s="19">
        <v>1</v>
      </c>
      <c r="F230" s="19">
        <v>0</v>
      </c>
      <c r="G230" s="19">
        <v>0</v>
      </c>
      <c r="H230" s="19">
        <v>0</v>
      </c>
      <c r="I230" s="19">
        <v>0</v>
      </c>
      <c r="J230" s="20">
        <v>0</v>
      </c>
      <c r="K230" s="19">
        <v>0</v>
      </c>
      <c r="L230" s="19">
        <v>0</v>
      </c>
      <c r="M230" s="20">
        <v>0</v>
      </c>
      <c r="N230" s="21">
        <v>0</v>
      </c>
      <c r="O230" s="20">
        <v>0</v>
      </c>
      <c r="P230" s="19">
        <v>1</v>
      </c>
      <c r="Q230" s="19">
        <v>1</v>
      </c>
      <c r="R230" s="20">
        <v>0</v>
      </c>
      <c r="S230" s="20">
        <v>0</v>
      </c>
      <c r="T230" s="19">
        <v>0</v>
      </c>
      <c r="U230" s="20">
        <v>0</v>
      </c>
      <c r="V230" s="25" t="s">
        <v>169</v>
      </c>
      <c r="W230" s="25" t="s">
        <v>169</v>
      </c>
      <c r="X230" s="19">
        <v>0</v>
      </c>
      <c r="Z230" s="6" t="str">
        <f t="shared" ref="Z230:AA230" si="521">D226</f>
        <v>IShip.getPositions</v>
      </c>
      <c r="AA230" s="27">
        <f t="shared" si="521"/>
        <v>1</v>
      </c>
      <c r="AB230" s="27">
        <f t="shared" si="498"/>
        <v>0</v>
      </c>
      <c r="AC230" s="27">
        <f t="shared" si="499"/>
        <v>0</v>
      </c>
      <c r="AD230" s="28">
        <f t="shared" ref="AD230:AF230" si="522">(AA230-MIN(AA$6:AA$236))/(MAX(AA$6:AA$236)-MIN(AA$6:AA$236))</f>
        <v>0</v>
      </c>
      <c r="AE230" s="28">
        <f t="shared" si="522"/>
        <v>0</v>
      </c>
      <c r="AF230" s="28">
        <f t="shared" si="522"/>
        <v>0</v>
      </c>
      <c r="AG230" s="29">
        <f t="shared" si="4"/>
        <v>0</v>
      </c>
    </row>
    <row r="231" spans="1:33" ht="15.75" customHeight="1" x14ac:dyDescent="0.3">
      <c r="A231" s="12" t="s">
        <v>50</v>
      </c>
      <c r="B231" s="12" t="s">
        <v>190</v>
      </c>
      <c r="C231" s="12" t="s">
        <v>343</v>
      </c>
      <c r="D231" s="14" t="s">
        <v>602</v>
      </c>
      <c r="E231" s="23">
        <v>1</v>
      </c>
      <c r="F231" s="23">
        <v>0</v>
      </c>
      <c r="G231" s="23">
        <v>1</v>
      </c>
      <c r="H231" s="23">
        <v>0</v>
      </c>
      <c r="I231" s="23">
        <v>0</v>
      </c>
      <c r="J231" s="22">
        <v>0</v>
      </c>
      <c r="K231" s="23">
        <v>0</v>
      </c>
      <c r="L231" s="23">
        <v>0</v>
      </c>
      <c r="M231" s="22">
        <v>0</v>
      </c>
      <c r="N231" s="24">
        <v>0</v>
      </c>
      <c r="O231" s="22">
        <v>0</v>
      </c>
      <c r="P231" s="23">
        <v>1</v>
      </c>
      <c r="Q231" s="23">
        <v>1</v>
      </c>
      <c r="R231" s="22">
        <v>0</v>
      </c>
      <c r="S231" s="22">
        <v>0</v>
      </c>
      <c r="T231" s="23">
        <v>0</v>
      </c>
      <c r="U231" s="22">
        <v>0</v>
      </c>
      <c r="V231" s="26" t="s">
        <v>169</v>
      </c>
      <c r="W231" s="26" t="s">
        <v>169</v>
      </c>
      <c r="X231" s="23">
        <v>0</v>
      </c>
      <c r="Z231" s="12" t="str">
        <f t="shared" ref="Z231:AA231" si="523">D227</f>
        <v>IShip.getRightMostPos</v>
      </c>
      <c r="AA231" s="30">
        <f t="shared" si="523"/>
        <v>1</v>
      </c>
      <c r="AB231" s="30">
        <f t="shared" si="498"/>
        <v>0</v>
      </c>
      <c r="AC231" s="30">
        <f t="shared" si="499"/>
        <v>0</v>
      </c>
      <c r="AD231" s="31">
        <f t="shared" ref="AD231:AF231" si="524">(AA231-MIN(AA$6:AA$236))/(MAX(AA$6:AA$236)-MIN(AA$6:AA$236))</f>
        <v>0</v>
      </c>
      <c r="AE231" s="31">
        <f t="shared" si="524"/>
        <v>0</v>
      </c>
      <c r="AF231" s="31">
        <f t="shared" si="524"/>
        <v>0</v>
      </c>
      <c r="AG231" s="32">
        <f t="shared" si="4"/>
        <v>0</v>
      </c>
    </row>
    <row r="232" spans="1:33" ht="15.75" customHeight="1" x14ac:dyDescent="0.3">
      <c r="A232" s="6" t="s">
        <v>50</v>
      </c>
      <c r="B232" s="6" t="s">
        <v>190</v>
      </c>
      <c r="C232" s="6" t="s">
        <v>337</v>
      </c>
      <c r="D232" s="8" t="s">
        <v>603</v>
      </c>
      <c r="E232" s="19">
        <v>1</v>
      </c>
      <c r="F232" s="19">
        <v>0</v>
      </c>
      <c r="G232" s="19">
        <v>1</v>
      </c>
      <c r="H232" s="19">
        <v>0</v>
      </c>
      <c r="I232" s="19">
        <v>0</v>
      </c>
      <c r="J232" s="20">
        <v>0</v>
      </c>
      <c r="K232" s="19">
        <v>0</v>
      </c>
      <c r="L232" s="19">
        <v>0</v>
      </c>
      <c r="M232" s="20">
        <v>0</v>
      </c>
      <c r="N232" s="21">
        <v>0</v>
      </c>
      <c r="O232" s="20">
        <v>0</v>
      </c>
      <c r="P232" s="19">
        <v>1</v>
      </c>
      <c r="Q232" s="19">
        <v>1</v>
      </c>
      <c r="R232" s="20">
        <v>0</v>
      </c>
      <c r="S232" s="20">
        <v>0</v>
      </c>
      <c r="T232" s="19">
        <v>0</v>
      </c>
      <c r="U232" s="20">
        <v>0</v>
      </c>
      <c r="V232" s="25" t="s">
        <v>169</v>
      </c>
      <c r="W232" s="25" t="s">
        <v>169</v>
      </c>
      <c r="X232" s="19">
        <v>0</v>
      </c>
      <c r="Z232" s="6" t="str">
        <f t="shared" ref="Z232:AA232" si="525">D228</f>
        <v>IShip.getSize</v>
      </c>
      <c r="AA232" s="27">
        <f t="shared" si="525"/>
        <v>1</v>
      </c>
      <c r="AB232" s="27">
        <f t="shared" si="498"/>
        <v>0</v>
      </c>
      <c r="AC232" s="27">
        <f t="shared" si="499"/>
        <v>0</v>
      </c>
      <c r="AD232" s="28">
        <f t="shared" ref="AD232:AF232" si="526">(AA232-MIN(AA$6:AA$236))/(MAX(AA$6:AA$236)-MIN(AA$6:AA$236))</f>
        <v>0</v>
      </c>
      <c r="AE232" s="28">
        <f t="shared" si="526"/>
        <v>0</v>
      </c>
      <c r="AF232" s="28">
        <f t="shared" si="526"/>
        <v>0</v>
      </c>
      <c r="AG232" s="29">
        <f t="shared" si="4"/>
        <v>0</v>
      </c>
    </row>
    <row r="233" spans="1:33" ht="15.75" customHeight="1" x14ac:dyDescent="0.3">
      <c r="A233" s="12" t="s">
        <v>50</v>
      </c>
      <c r="B233" s="12" t="s">
        <v>190</v>
      </c>
      <c r="C233" s="12" t="s">
        <v>372</v>
      </c>
      <c r="D233" s="14" t="s">
        <v>604</v>
      </c>
      <c r="E233" s="23">
        <v>1</v>
      </c>
      <c r="F233" s="23">
        <v>0</v>
      </c>
      <c r="G233" s="23">
        <v>0</v>
      </c>
      <c r="H233" s="23">
        <v>0</v>
      </c>
      <c r="I233" s="23">
        <v>0</v>
      </c>
      <c r="J233" s="22">
        <v>0</v>
      </c>
      <c r="K233" s="23">
        <v>0</v>
      </c>
      <c r="L233" s="23">
        <v>0</v>
      </c>
      <c r="M233" s="22">
        <v>0</v>
      </c>
      <c r="N233" s="24">
        <v>0</v>
      </c>
      <c r="O233" s="22">
        <v>0</v>
      </c>
      <c r="P233" s="23">
        <v>1</v>
      </c>
      <c r="Q233" s="23">
        <v>1</v>
      </c>
      <c r="R233" s="22">
        <v>0</v>
      </c>
      <c r="S233" s="22">
        <v>0</v>
      </c>
      <c r="T233" s="23">
        <v>0</v>
      </c>
      <c r="U233" s="22">
        <v>0</v>
      </c>
      <c r="V233" s="26" t="s">
        <v>169</v>
      </c>
      <c r="W233" s="26" t="s">
        <v>169</v>
      </c>
      <c r="X233" s="23">
        <v>0</v>
      </c>
      <c r="Z233" s="12" t="str">
        <f t="shared" ref="Z233:AA233" si="527">D229</f>
        <v>IShip.getTopMostPos</v>
      </c>
      <c r="AA233" s="30">
        <f t="shared" si="527"/>
        <v>1</v>
      </c>
      <c r="AB233" s="30">
        <f t="shared" si="498"/>
        <v>0</v>
      </c>
      <c r="AC233" s="30">
        <f t="shared" si="499"/>
        <v>0</v>
      </c>
      <c r="AD233" s="31">
        <f t="shared" ref="AD233:AF233" si="528">(AA233-MIN(AA$6:AA$236))/(MAX(AA$6:AA$236)-MIN(AA$6:AA$236))</f>
        <v>0</v>
      </c>
      <c r="AE233" s="31">
        <f t="shared" si="528"/>
        <v>0</v>
      </c>
      <c r="AF233" s="31">
        <f t="shared" si="528"/>
        <v>0</v>
      </c>
      <c r="AG233" s="32">
        <f t="shared" si="4"/>
        <v>0</v>
      </c>
    </row>
    <row r="234" spans="1:33" ht="15.75" customHeight="1" x14ac:dyDescent="0.3">
      <c r="A234" s="6" t="s">
        <v>50</v>
      </c>
      <c r="B234" s="6" t="s">
        <v>190</v>
      </c>
      <c r="C234" s="6" t="s">
        <v>359</v>
      </c>
      <c r="D234" s="8" t="s">
        <v>605</v>
      </c>
      <c r="E234" s="19">
        <v>1</v>
      </c>
      <c r="F234" s="19">
        <v>0</v>
      </c>
      <c r="G234" s="19">
        <v>0</v>
      </c>
      <c r="H234" s="19">
        <v>0</v>
      </c>
      <c r="I234" s="19">
        <v>0</v>
      </c>
      <c r="J234" s="20">
        <v>0</v>
      </c>
      <c r="K234" s="19">
        <v>0</v>
      </c>
      <c r="L234" s="19">
        <v>0</v>
      </c>
      <c r="M234" s="20">
        <v>0</v>
      </c>
      <c r="N234" s="21">
        <v>0</v>
      </c>
      <c r="O234" s="20">
        <v>0</v>
      </c>
      <c r="P234" s="19">
        <v>1</v>
      </c>
      <c r="Q234" s="19">
        <v>1</v>
      </c>
      <c r="R234" s="20">
        <v>0</v>
      </c>
      <c r="S234" s="20">
        <v>0</v>
      </c>
      <c r="T234" s="19">
        <v>0</v>
      </c>
      <c r="U234" s="20">
        <v>0</v>
      </c>
      <c r="V234" s="25" t="s">
        <v>169</v>
      </c>
      <c r="W234" s="25" t="s">
        <v>169</v>
      </c>
      <c r="X234" s="19">
        <v>0</v>
      </c>
      <c r="Z234" s="6" t="str">
        <f t="shared" ref="Z234:AA234" si="529">D230</f>
        <v>IShip.isInsideBoard</v>
      </c>
      <c r="AA234" s="27">
        <f t="shared" si="529"/>
        <v>1</v>
      </c>
      <c r="AB234" s="27">
        <f t="shared" si="498"/>
        <v>0</v>
      </c>
      <c r="AC234" s="27">
        <f t="shared" si="499"/>
        <v>0</v>
      </c>
      <c r="AD234" s="28">
        <f t="shared" ref="AD234:AF234" si="530">(AA234-MIN(AA$6:AA$236))/(MAX(AA$6:AA$236)-MIN(AA$6:AA$236))</f>
        <v>0</v>
      </c>
      <c r="AE234" s="28">
        <f t="shared" si="530"/>
        <v>0</v>
      </c>
      <c r="AF234" s="28">
        <f t="shared" si="530"/>
        <v>0</v>
      </c>
      <c r="AG234" s="29">
        <f t="shared" si="4"/>
        <v>0</v>
      </c>
    </row>
    <row r="235" spans="1:33" ht="15.75" customHeight="1" x14ac:dyDescent="0.3">
      <c r="A235" s="12" t="s">
        <v>50</v>
      </c>
      <c r="B235" s="12" t="s">
        <v>190</v>
      </c>
      <c r="C235" s="12" t="s">
        <v>345</v>
      </c>
      <c r="D235" s="14" t="s">
        <v>606</v>
      </c>
      <c r="E235" s="23">
        <v>1</v>
      </c>
      <c r="F235" s="23">
        <v>0</v>
      </c>
      <c r="G235" s="23">
        <v>1</v>
      </c>
      <c r="H235" s="23">
        <v>0</v>
      </c>
      <c r="I235" s="23">
        <v>0</v>
      </c>
      <c r="J235" s="22">
        <v>0</v>
      </c>
      <c r="K235" s="23">
        <v>0</v>
      </c>
      <c r="L235" s="23">
        <v>0</v>
      </c>
      <c r="M235" s="22">
        <v>0</v>
      </c>
      <c r="N235" s="24">
        <v>0</v>
      </c>
      <c r="O235" s="22">
        <v>0</v>
      </c>
      <c r="P235" s="23">
        <v>1</v>
      </c>
      <c r="Q235" s="23">
        <v>1</v>
      </c>
      <c r="R235" s="22">
        <v>0</v>
      </c>
      <c r="S235" s="22">
        <v>0</v>
      </c>
      <c r="T235" s="23">
        <v>0</v>
      </c>
      <c r="U235" s="22">
        <v>0</v>
      </c>
      <c r="V235" s="26" t="s">
        <v>169</v>
      </c>
      <c r="W235" s="26" t="s">
        <v>169</v>
      </c>
      <c r="X235" s="23">
        <v>0</v>
      </c>
      <c r="Z235" s="12" t="str">
        <f t="shared" ref="Z235:AA235" si="531">D233</f>
        <v>IShip.sink</v>
      </c>
      <c r="AA235" s="30">
        <f t="shared" si="531"/>
        <v>1</v>
      </c>
      <c r="AB235" s="30">
        <f t="shared" ref="AB235:AB236" si="532">G233</f>
        <v>0</v>
      </c>
      <c r="AC235" s="30">
        <f t="shared" ref="AC235:AC236" si="533">F233</f>
        <v>0</v>
      </c>
      <c r="AD235" s="31">
        <f t="shared" ref="AD235:AF235" si="534">(AA235-MIN(AA$6:AA$236))/(MAX(AA$6:AA$236)-MIN(AA$6:AA$236))</f>
        <v>0</v>
      </c>
      <c r="AE235" s="31">
        <f t="shared" si="534"/>
        <v>0</v>
      </c>
      <c r="AF235" s="31">
        <f t="shared" si="534"/>
        <v>0</v>
      </c>
      <c r="AG235" s="32">
        <f t="shared" si="4"/>
        <v>0</v>
      </c>
    </row>
    <row r="236" spans="1:33" ht="15.75" customHeight="1" x14ac:dyDescent="0.3">
      <c r="A236" s="6" t="s">
        <v>50</v>
      </c>
      <c r="B236" s="6" t="s">
        <v>190</v>
      </c>
      <c r="C236" s="6" t="s">
        <v>339</v>
      </c>
      <c r="D236" s="8" t="s">
        <v>606</v>
      </c>
      <c r="E236" s="19">
        <v>1</v>
      </c>
      <c r="F236" s="19">
        <v>0</v>
      </c>
      <c r="G236" s="19">
        <v>1</v>
      </c>
      <c r="H236" s="19">
        <v>0</v>
      </c>
      <c r="I236" s="19">
        <v>0</v>
      </c>
      <c r="J236" s="20">
        <v>0</v>
      </c>
      <c r="K236" s="19">
        <v>0</v>
      </c>
      <c r="L236" s="19">
        <v>0</v>
      </c>
      <c r="M236" s="20">
        <v>0</v>
      </c>
      <c r="N236" s="21">
        <v>0</v>
      </c>
      <c r="O236" s="20">
        <v>0</v>
      </c>
      <c r="P236" s="19">
        <v>1</v>
      </c>
      <c r="Q236" s="19">
        <v>1</v>
      </c>
      <c r="R236" s="20">
        <v>0</v>
      </c>
      <c r="S236" s="20">
        <v>0</v>
      </c>
      <c r="T236" s="19">
        <v>0</v>
      </c>
      <c r="U236" s="20">
        <v>0</v>
      </c>
      <c r="V236" s="25" t="s">
        <v>169</v>
      </c>
      <c r="W236" s="25" t="s">
        <v>169</v>
      </c>
      <c r="X236" s="19">
        <v>0</v>
      </c>
      <c r="Z236" s="6" t="str">
        <f t="shared" ref="Z236:AA236" si="535">D234</f>
        <v>IShip.stillFloating</v>
      </c>
      <c r="AA236" s="27">
        <f t="shared" si="535"/>
        <v>1</v>
      </c>
      <c r="AB236" s="27">
        <f t="shared" si="532"/>
        <v>0</v>
      </c>
      <c r="AC236" s="27">
        <f t="shared" si="533"/>
        <v>0</v>
      </c>
      <c r="AD236" s="28">
        <f t="shared" ref="AD236:AF236" si="536">(AA236-MIN(AA$6:AA$236))/(MAX(AA$6:AA$236)-MIN(AA$6:AA$236))</f>
        <v>0</v>
      </c>
      <c r="AE236" s="28">
        <f t="shared" si="536"/>
        <v>0</v>
      </c>
      <c r="AF236" s="28">
        <f t="shared" si="536"/>
        <v>0</v>
      </c>
      <c r="AG236" s="29">
        <f t="shared" si="4"/>
        <v>0</v>
      </c>
    </row>
    <row r="237" spans="1:33" ht="15.75" customHeight="1" x14ac:dyDescent="0.3"/>
    <row r="238" spans="1:33" ht="15.75" customHeight="1" x14ac:dyDescent="0.3"/>
    <row r="239" spans="1:33" ht="15.75" customHeight="1" x14ac:dyDescent="0.3"/>
    <row r="240" spans="1:33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5:X236" xr:uid="{00000000-0009-0000-0000-000004000000}"/>
  <mergeCells count="1">
    <mergeCell ref="Z4:AG4"/>
  </mergeCells>
  <conditionalFormatting sqref="E6:E236">
    <cfRule type="expression" dxfId="26" priority="1">
      <formula>AND(ISNUMBER(E6),E6&gt;7)</formula>
    </cfRule>
    <cfRule type="expression" dxfId="25" priority="2">
      <formula>AND(ISNUMBER(E6),E6&gt;5)</formula>
    </cfRule>
    <cfRule type="expression" dxfId="24" priority="3">
      <formula>AND(ISNUMBER(E6),E6&gt;3)</formula>
    </cfRule>
  </conditionalFormatting>
  <conditionalFormatting sqref="F6:F236">
    <cfRule type="expression" dxfId="23" priority="4">
      <formula>AND(ISNUMBER(F6),F6&gt;47)</formula>
    </cfRule>
    <cfRule type="expression" dxfId="22" priority="5">
      <formula>AND(ISNUMBER(F6),F6&gt;31)</formula>
    </cfRule>
    <cfRule type="expression" dxfId="21" priority="6">
      <formula>AND(ISNUMBER(F6),F6&gt;11)</formula>
    </cfRule>
  </conditionalFormatting>
  <conditionalFormatting sqref="G6:G236">
    <cfRule type="expression" dxfId="20" priority="7">
      <formula>AND(ISNUMBER(G6),G6&gt;5)</formula>
    </cfRule>
    <cfRule type="expression" dxfId="19" priority="8">
      <formula>AND(ISNUMBER(G6),G6&gt;4)</formula>
    </cfRule>
    <cfRule type="expression" dxfId="18" priority="9">
      <formula>AND(ISNUMBER(G6),G6&gt;3)</formula>
    </cfRule>
  </conditionalFormatting>
  <conditionalFormatting sqref="H6:H236">
    <cfRule type="expression" dxfId="17" priority="10">
      <formula>AND(ISNUMBER(H6),H6&gt;16)</formula>
    </cfRule>
    <cfRule type="expression" dxfId="16" priority="11">
      <formula>AND(ISNUMBER(H6),H6&gt;12)</formula>
    </cfRule>
    <cfRule type="expression" dxfId="15" priority="12">
      <formula>AND(ISNUMBER(H6),H6&gt;8)</formula>
    </cfRule>
  </conditionalFormatting>
  <conditionalFormatting sqref="I6:I236">
    <cfRule type="expression" dxfId="14" priority="13">
      <formula>AND(ISNUMBER(I6),I6&gt;4)</formula>
    </cfRule>
    <cfRule type="expression" dxfId="13" priority="14">
      <formula>AND(ISNUMBER(I6),I6&gt;3)</formula>
    </cfRule>
    <cfRule type="expression" dxfId="12" priority="15">
      <formula>AND(ISNUMBER(I6),I6&gt;2)</formula>
    </cfRule>
  </conditionalFormatting>
  <conditionalFormatting sqref="K6:K236">
    <cfRule type="expression" dxfId="11" priority="16">
      <formula>AND(ISNUMBER(K6),K6&gt;15)</formula>
    </cfRule>
    <cfRule type="expression" dxfId="10" priority="17">
      <formula>AND(ISNUMBER(K6),K6&gt;11)</formula>
    </cfRule>
    <cfRule type="expression" dxfId="9" priority="18">
      <formula>AND(ISNUMBER(K6),K6&gt;7)</formula>
    </cfRule>
  </conditionalFormatting>
  <conditionalFormatting sqref="L6:L236">
    <cfRule type="expression" dxfId="8" priority="19">
      <formula>AND(ISNUMBER(L6),L6&gt;7)</formula>
    </cfRule>
    <cfRule type="expression" dxfId="7" priority="20">
      <formula>AND(ISNUMBER(L6),L6&gt;5)</formula>
    </cfRule>
    <cfRule type="expression" dxfId="6" priority="21">
      <formula>AND(ISNUMBER(L6),L6&gt;3)</formula>
    </cfRule>
  </conditionalFormatting>
  <conditionalFormatting sqref="T6:T236">
    <cfRule type="expression" dxfId="5" priority="22">
      <formula>AND(ISNUMBER(T6),T6&gt;4)</formula>
    </cfRule>
    <cfRule type="expression" dxfId="4" priority="23">
      <formula>AND(ISNUMBER(T6),T6&gt;3)</formula>
    </cfRule>
    <cfRule type="expression" dxfId="3" priority="24">
      <formula>AND(ISNUMBER(T6),T6&gt;2)</formula>
    </cfRule>
  </conditionalFormatting>
  <conditionalFormatting sqref="V6:W236">
    <cfRule type="expression" dxfId="2" priority="25">
      <formula>AND(ISNUMBER(V6),V6&gt;7)</formula>
    </cfRule>
    <cfRule type="expression" dxfId="1" priority="26">
      <formula>AND(ISNUMBER(V6),V6&gt;5)</formula>
    </cfRule>
    <cfRule type="expression" dxfId="0" priority="27">
      <formula>AND(ISNUMBER(V6),V6&gt;3)</formula>
    </cfRule>
  </conditionalFormatting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LEI-104983-Metrics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Gonçalo Maria Castel-Branco da Silveira de Sena Esteve</cp:lastModifiedBy>
  <dcterms:modified xsi:type="dcterms:W3CDTF">2026-10-23T13:02:16Z</dcterms:modified>
</cp:coreProperties>
</file>